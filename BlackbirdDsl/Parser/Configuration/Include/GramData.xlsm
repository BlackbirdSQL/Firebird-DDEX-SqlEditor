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erver\Dev\Projects2022\Blackbird\BlackbirdSql.DslParser\Configuration\Include\"/>
    </mc:Choice>
  </mc:AlternateContent>
  <xr:revisionPtr revIDLastSave="0" documentId="13_ncr:1_{669FB421-814D-4E9A-94ED-D75DC69B5268}" xr6:coauthVersionLast="47" xr6:coauthVersionMax="47" xr10:uidLastSave="{00000000-0000-0000-0000-000000000000}"/>
  <bookViews>
    <workbookView xWindow="-120" yWindow="-120" windowWidth="29040" windowHeight="16440" xr2:uid="{27B0EDEE-852B-45E5-A51D-C3D67328A9ED}"/>
  </bookViews>
  <sheets>
    <sheet name="Final" sheetId="9" r:id="rId1"/>
    <sheet name="PgSqlRaw" sheetId="1" r:id="rId2"/>
    <sheet name="FirebirdRaw" sheetId="6" r:id="rId3"/>
    <sheet name="PhpReserved" sheetId="10" r:id="rId4"/>
    <sheet name="PhpFunctions" sheetId="12" r:id="rId5"/>
    <sheet name="PhpParamFunc" sheetId="11" r:id="rId6"/>
    <sheet name="PhpAggrFunc" sheetId="1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31" i="9" l="1"/>
  <c r="S530" i="9"/>
  <c r="S529" i="9"/>
  <c r="S528" i="9"/>
  <c r="S527" i="9"/>
  <c r="S526" i="9"/>
  <c r="S525" i="9"/>
  <c r="S524" i="9"/>
  <c r="S523" i="9"/>
  <c r="S522" i="9"/>
  <c r="S521" i="9"/>
  <c r="S520" i="9"/>
  <c r="S519" i="9"/>
  <c r="S518" i="9"/>
  <c r="S517" i="9"/>
  <c r="S516" i="9"/>
  <c r="S515" i="9"/>
  <c r="S514" i="9"/>
  <c r="S513" i="9"/>
  <c r="S512" i="9"/>
  <c r="S511" i="9"/>
  <c r="S510" i="9"/>
  <c r="S509" i="9"/>
  <c r="S508" i="9"/>
  <c r="S507" i="9"/>
  <c r="S506" i="9"/>
  <c r="S505" i="9"/>
  <c r="S504" i="9"/>
  <c r="S503" i="9"/>
  <c r="S502" i="9"/>
  <c r="S501" i="9"/>
  <c r="S500" i="9"/>
  <c r="S499" i="9"/>
  <c r="S498" i="9"/>
  <c r="S497" i="9"/>
  <c r="S496" i="9"/>
  <c r="S495" i="9"/>
  <c r="S494" i="9"/>
  <c r="S493" i="9"/>
  <c r="S492" i="9"/>
  <c r="S491" i="9"/>
  <c r="S490" i="9"/>
  <c r="S489" i="9"/>
  <c r="S488" i="9"/>
  <c r="S487" i="9"/>
  <c r="S486" i="9"/>
  <c r="S485" i="9"/>
  <c r="S484" i="9"/>
  <c r="S483" i="9"/>
  <c r="S482" i="9"/>
  <c r="S481" i="9"/>
  <c r="S480" i="9"/>
  <c r="S479" i="9"/>
  <c r="S478" i="9"/>
  <c r="S477" i="9"/>
  <c r="S476" i="9"/>
  <c r="S475" i="9"/>
  <c r="S474" i="9"/>
  <c r="S473" i="9"/>
  <c r="S472" i="9"/>
  <c r="S471" i="9"/>
  <c r="S470" i="9"/>
  <c r="S469" i="9"/>
  <c r="S468" i="9"/>
  <c r="S467" i="9"/>
  <c r="S466" i="9"/>
  <c r="S465" i="9"/>
  <c r="S464" i="9"/>
  <c r="S463" i="9"/>
  <c r="S462" i="9"/>
  <c r="S461" i="9"/>
  <c r="S460" i="9"/>
  <c r="S459" i="9"/>
  <c r="S458" i="9"/>
  <c r="S457" i="9"/>
  <c r="S456" i="9"/>
  <c r="S455" i="9"/>
  <c r="S454" i="9"/>
  <c r="S453" i="9"/>
  <c r="S452" i="9"/>
  <c r="S451" i="9"/>
  <c r="S450" i="9"/>
  <c r="S449" i="9"/>
  <c r="S448" i="9"/>
  <c r="S447" i="9"/>
  <c r="S446" i="9"/>
  <c r="S445" i="9"/>
  <c r="S444" i="9"/>
  <c r="S443" i="9"/>
  <c r="S442" i="9"/>
  <c r="S441" i="9"/>
  <c r="S440" i="9"/>
  <c r="S439" i="9"/>
  <c r="S438" i="9"/>
  <c r="S437" i="9"/>
  <c r="S436" i="9"/>
  <c r="S435" i="9"/>
  <c r="S434" i="9"/>
  <c r="S433" i="9"/>
  <c r="S432" i="9"/>
  <c r="S431" i="9"/>
  <c r="S430" i="9"/>
  <c r="S429" i="9"/>
  <c r="S428" i="9"/>
  <c r="S427" i="9"/>
  <c r="S426" i="9"/>
  <c r="S425" i="9"/>
  <c r="S424" i="9"/>
  <c r="S423" i="9"/>
  <c r="S422" i="9"/>
  <c r="S421" i="9"/>
  <c r="S420" i="9"/>
  <c r="S419" i="9"/>
  <c r="S418" i="9"/>
  <c r="S417" i="9"/>
  <c r="S416" i="9"/>
  <c r="S415" i="9"/>
  <c r="S414" i="9"/>
  <c r="S413" i="9"/>
  <c r="S412" i="9"/>
  <c r="S411" i="9"/>
  <c r="S410" i="9"/>
  <c r="S409" i="9"/>
  <c r="S408" i="9"/>
  <c r="S407" i="9"/>
  <c r="S406" i="9"/>
  <c r="S405" i="9"/>
  <c r="S404" i="9"/>
  <c r="S403" i="9"/>
  <c r="S402" i="9"/>
  <c r="S401" i="9"/>
  <c r="S400" i="9"/>
  <c r="S399" i="9"/>
  <c r="S398" i="9"/>
  <c r="S397" i="9"/>
  <c r="S396" i="9"/>
  <c r="S395" i="9"/>
  <c r="S394" i="9"/>
  <c r="S393" i="9"/>
  <c r="S392" i="9"/>
  <c r="S391" i="9"/>
  <c r="S390" i="9"/>
  <c r="S389" i="9"/>
  <c r="S388" i="9"/>
  <c r="S387" i="9"/>
  <c r="S386" i="9"/>
  <c r="S385" i="9"/>
  <c r="S384" i="9"/>
  <c r="S383" i="9"/>
  <c r="S382" i="9"/>
  <c r="S381" i="9"/>
  <c r="S380" i="9"/>
  <c r="S379" i="9"/>
  <c r="S378" i="9"/>
  <c r="S377" i="9"/>
  <c r="S376" i="9"/>
  <c r="S375" i="9"/>
  <c r="S374" i="9"/>
  <c r="S373" i="9"/>
  <c r="S372" i="9"/>
  <c r="S371" i="9"/>
  <c r="S370" i="9"/>
  <c r="S369" i="9"/>
  <c r="S368" i="9"/>
  <c r="S367" i="9"/>
  <c r="S366" i="9"/>
  <c r="S365" i="9"/>
  <c r="S364" i="9"/>
  <c r="S363" i="9"/>
  <c r="S362" i="9"/>
  <c r="S361" i="9"/>
  <c r="S360" i="9"/>
  <c r="S359" i="9"/>
  <c r="S358" i="9"/>
  <c r="S357" i="9"/>
  <c r="S356" i="9"/>
  <c r="S355" i="9"/>
  <c r="S354" i="9"/>
  <c r="S353" i="9"/>
  <c r="S352" i="9"/>
  <c r="S351" i="9"/>
  <c r="S350" i="9"/>
  <c r="S349" i="9"/>
  <c r="S348" i="9"/>
  <c r="S347" i="9"/>
  <c r="S346" i="9"/>
  <c r="S345" i="9"/>
  <c r="S344" i="9"/>
  <c r="S343" i="9"/>
  <c r="S342" i="9"/>
  <c r="S341" i="9"/>
  <c r="S340" i="9"/>
  <c r="S339" i="9"/>
  <c r="S338" i="9"/>
  <c r="S337" i="9"/>
  <c r="S336" i="9"/>
  <c r="S335" i="9"/>
  <c r="S334" i="9"/>
  <c r="S333" i="9"/>
  <c r="S332" i="9"/>
  <c r="S331" i="9"/>
  <c r="S330" i="9"/>
  <c r="S329" i="9"/>
  <c r="S328" i="9"/>
  <c r="S327" i="9"/>
  <c r="S326" i="9"/>
  <c r="S325" i="9"/>
  <c r="S324" i="9"/>
  <c r="S323" i="9"/>
  <c r="S322" i="9"/>
  <c r="S321" i="9"/>
  <c r="S320" i="9"/>
  <c r="S319" i="9"/>
  <c r="S318" i="9"/>
  <c r="S317" i="9"/>
  <c r="S316" i="9"/>
  <c r="S315" i="9"/>
  <c r="S314" i="9"/>
  <c r="S313" i="9"/>
  <c r="S312" i="9"/>
  <c r="S311" i="9"/>
  <c r="S310" i="9"/>
  <c r="S309" i="9"/>
  <c r="S308" i="9"/>
  <c r="S307" i="9"/>
  <c r="S306" i="9"/>
  <c r="S305" i="9"/>
  <c r="S304" i="9"/>
  <c r="S303" i="9"/>
  <c r="S302" i="9"/>
  <c r="S301" i="9"/>
  <c r="S300" i="9"/>
  <c r="S299" i="9"/>
  <c r="S298" i="9"/>
  <c r="S297" i="9"/>
  <c r="S296" i="9"/>
  <c r="S295" i="9"/>
  <c r="S294" i="9"/>
  <c r="S293" i="9"/>
  <c r="S292" i="9"/>
  <c r="S291" i="9"/>
  <c r="S290" i="9"/>
  <c r="S289" i="9"/>
  <c r="S288" i="9"/>
  <c r="S287" i="9"/>
  <c r="S286" i="9"/>
  <c r="S285" i="9"/>
  <c r="S284" i="9"/>
  <c r="S283" i="9"/>
  <c r="S282" i="9"/>
  <c r="S281" i="9"/>
  <c r="S280" i="9"/>
  <c r="S279" i="9"/>
  <c r="S278" i="9"/>
  <c r="S277" i="9"/>
  <c r="S276" i="9"/>
  <c r="S275" i="9"/>
  <c r="S274" i="9"/>
  <c r="S273" i="9"/>
  <c r="S272" i="9"/>
  <c r="S271" i="9"/>
  <c r="S270" i="9"/>
  <c r="S269" i="9"/>
  <c r="S268" i="9"/>
  <c r="S267" i="9"/>
  <c r="S266" i="9"/>
  <c r="S265" i="9"/>
  <c r="S264" i="9"/>
  <c r="S263" i="9"/>
  <c r="S262" i="9"/>
  <c r="S261" i="9"/>
  <c r="S260" i="9"/>
  <c r="S259" i="9"/>
  <c r="S258" i="9"/>
  <c r="S257" i="9"/>
  <c r="S256" i="9"/>
  <c r="S255" i="9"/>
  <c r="S254" i="9"/>
  <c r="S253" i="9"/>
  <c r="S252" i="9"/>
  <c r="S251" i="9"/>
  <c r="S250" i="9"/>
  <c r="S249" i="9"/>
  <c r="S248" i="9"/>
  <c r="S247" i="9"/>
  <c r="S246" i="9"/>
  <c r="S245" i="9"/>
  <c r="S244" i="9"/>
  <c r="S243" i="9"/>
  <c r="S242" i="9"/>
  <c r="S241" i="9"/>
  <c r="S240" i="9"/>
  <c r="S239" i="9"/>
  <c r="S238" i="9"/>
  <c r="S237" i="9"/>
  <c r="S236" i="9"/>
  <c r="S235" i="9"/>
  <c r="S234" i="9"/>
  <c r="S233" i="9"/>
  <c r="S232" i="9"/>
  <c r="S231" i="9"/>
  <c r="S230" i="9"/>
  <c r="S229" i="9"/>
  <c r="S228" i="9"/>
  <c r="S227" i="9"/>
  <c r="S226" i="9"/>
  <c r="S225" i="9"/>
  <c r="S224" i="9"/>
  <c r="S223" i="9"/>
  <c r="S222" i="9"/>
  <c r="S221" i="9"/>
  <c r="S220" i="9"/>
  <c r="S219" i="9"/>
  <c r="S218" i="9"/>
  <c r="S217" i="9"/>
  <c r="S216" i="9"/>
  <c r="S215" i="9"/>
  <c r="S214" i="9"/>
  <c r="S213" i="9"/>
  <c r="S212" i="9"/>
  <c r="S211" i="9"/>
  <c r="S210" i="9"/>
  <c r="S209" i="9"/>
  <c r="S208" i="9"/>
  <c r="S207" i="9"/>
  <c r="S206" i="9"/>
  <c r="S205" i="9"/>
  <c r="S204" i="9"/>
  <c r="S203" i="9"/>
  <c r="S202" i="9"/>
  <c r="S201" i="9"/>
  <c r="S200" i="9"/>
  <c r="S199" i="9"/>
  <c r="S198" i="9"/>
  <c r="S197" i="9"/>
  <c r="S196" i="9"/>
  <c r="S195" i="9"/>
  <c r="S194" i="9"/>
  <c r="S193" i="9"/>
  <c r="S192" i="9"/>
  <c r="S191" i="9"/>
  <c r="S189" i="9"/>
  <c r="S188" i="9"/>
  <c r="S187" i="9"/>
  <c r="S186" i="9"/>
  <c r="S185" i="9"/>
  <c r="S184" i="9"/>
  <c r="S183" i="9"/>
  <c r="S182" i="9"/>
  <c r="S181" i="9"/>
  <c r="S180" i="9"/>
  <c r="S179" i="9"/>
  <c r="S178" i="9"/>
  <c r="S177" i="9"/>
  <c r="S176" i="9"/>
  <c r="S175" i="9"/>
  <c r="S174" i="9"/>
  <c r="S173" i="9"/>
  <c r="S172" i="9"/>
  <c r="S171" i="9"/>
  <c r="S170" i="9"/>
  <c r="S169" i="9"/>
  <c r="S168" i="9"/>
  <c r="S167" i="9"/>
  <c r="S166" i="9"/>
  <c r="S165" i="9"/>
  <c r="S164" i="9"/>
  <c r="S163" i="9"/>
  <c r="S162" i="9"/>
  <c r="S161" i="9"/>
  <c r="S160" i="9"/>
  <c r="S159" i="9"/>
  <c r="S158" i="9"/>
  <c r="S157" i="9"/>
  <c r="S156" i="9"/>
  <c r="S155" i="9"/>
  <c r="S154" i="9"/>
  <c r="S153" i="9"/>
  <c r="S152" i="9"/>
  <c r="S151" i="9"/>
  <c r="S150" i="9"/>
  <c r="S149" i="9"/>
  <c r="S148" i="9"/>
  <c r="S147" i="9"/>
  <c r="S146" i="9"/>
  <c r="S145" i="9"/>
  <c r="S144" i="9"/>
  <c r="S143" i="9"/>
  <c r="S142" i="9"/>
  <c r="S141" i="9"/>
  <c r="S140" i="9"/>
  <c r="S139" i="9"/>
  <c r="S138" i="9"/>
  <c r="S137" i="9"/>
  <c r="S136" i="9"/>
  <c r="S135" i="9"/>
  <c r="S134" i="9"/>
  <c r="S133" i="9"/>
  <c r="S132" i="9"/>
  <c r="S131" i="9"/>
  <c r="S130" i="9"/>
  <c r="S129" i="9"/>
  <c r="S128" i="9"/>
  <c r="S127" i="9"/>
  <c r="S126" i="9"/>
  <c r="S125" i="9"/>
  <c r="S124" i="9"/>
  <c r="S123" i="9"/>
  <c r="S122" i="9"/>
  <c r="S121" i="9"/>
  <c r="S120" i="9"/>
  <c r="S119" i="9"/>
  <c r="S118" i="9"/>
  <c r="S117" i="9"/>
  <c r="S116" i="9"/>
  <c r="S115" i="9"/>
  <c r="S114" i="9"/>
  <c r="S113" i="9"/>
  <c r="S112" i="9"/>
  <c r="S111" i="9"/>
  <c r="S110" i="9"/>
  <c r="S109" i="9"/>
  <c r="S108" i="9"/>
  <c r="S107" i="9"/>
  <c r="S106" i="9"/>
  <c r="S105" i="9"/>
  <c r="S104" i="9"/>
  <c r="S103" i="9"/>
  <c r="S102" i="9"/>
  <c r="S101" i="9"/>
  <c r="S100" i="9"/>
  <c r="S99" i="9"/>
  <c r="S98" i="9"/>
  <c r="S97" i="9"/>
  <c r="S96" i="9"/>
  <c r="S95" i="9"/>
  <c r="S94" i="9"/>
  <c r="S93" i="9"/>
  <c r="S92" i="9"/>
  <c r="S91" i="9"/>
  <c r="S90" i="9"/>
  <c r="S89" i="9"/>
  <c r="S88" i="9"/>
  <c r="S87" i="9"/>
  <c r="S86" i="9"/>
  <c r="S85" i="9"/>
  <c r="S84" i="9"/>
  <c r="S83" i="9"/>
  <c r="S82" i="9"/>
  <c r="S81" i="9"/>
  <c r="S80" i="9"/>
  <c r="S79" i="9"/>
  <c r="S78" i="9"/>
  <c r="S77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S190" i="9" s="1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P93" i="9"/>
  <c r="P92" i="9"/>
  <c r="P91" i="9"/>
  <c r="P90" i="9"/>
  <c r="P89" i="9"/>
  <c r="P88" i="9"/>
  <c r="P87" i="9"/>
  <c r="P86" i="9"/>
  <c r="P85" i="9"/>
  <c r="P84" i="9"/>
  <c r="P83" i="9"/>
  <c r="P82" i="9"/>
  <c r="P81" i="9"/>
  <c r="P80" i="9"/>
  <c r="P79" i="9"/>
  <c r="P78" i="9"/>
  <c r="P77" i="9"/>
  <c r="P76" i="9"/>
  <c r="P75" i="9"/>
  <c r="P74" i="9"/>
  <c r="P73" i="9"/>
  <c r="P72" i="9"/>
  <c r="P71" i="9"/>
  <c r="P70" i="9"/>
  <c r="P69" i="9"/>
  <c r="P68" i="9"/>
  <c r="P67" i="9"/>
  <c r="P66" i="9"/>
  <c r="P65" i="9"/>
  <c r="P64" i="9"/>
  <c r="P63" i="9"/>
  <c r="P62" i="9"/>
  <c r="P61" i="9"/>
  <c r="P60" i="9"/>
  <c r="P59" i="9"/>
  <c r="P58" i="9"/>
  <c r="P57" i="9"/>
  <c r="P56" i="9"/>
  <c r="P55" i="9"/>
  <c r="P54" i="9"/>
  <c r="P53" i="9"/>
  <c r="P52" i="9"/>
  <c r="P51" i="9"/>
  <c r="P50" i="9"/>
  <c r="P49" i="9"/>
  <c r="P48" i="9"/>
  <c r="P47" i="9"/>
  <c r="P46" i="9"/>
  <c r="P45" i="9"/>
  <c r="P44" i="9"/>
  <c r="P43" i="9"/>
  <c r="P42" i="9"/>
  <c r="P41" i="9"/>
  <c r="P40" i="9"/>
  <c r="P39" i="9"/>
  <c r="P38" i="9"/>
  <c r="P37" i="9"/>
  <c r="P36" i="9"/>
  <c r="P35" i="9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P5" i="9"/>
  <c r="P4" i="9"/>
  <c r="P3" i="9"/>
  <c r="R531" i="9"/>
  <c r="Q531" i="9"/>
  <c r="R530" i="9"/>
  <c r="Q530" i="9"/>
  <c r="R529" i="9"/>
  <c r="Q529" i="9"/>
  <c r="R528" i="9"/>
  <c r="Q528" i="9"/>
  <c r="R527" i="9"/>
  <c r="Q527" i="9"/>
  <c r="R526" i="9"/>
  <c r="Q526" i="9"/>
  <c r="R525" i="9"/>
  <c r="Q525" i="9"/>
  <c r="R524" i="9"/>
  <c r="Q524" i="9"/>
  <c r="R523" i="9"/>
  <c r="Q523" i="9"/>
  <c r="R522" i="9"/>
  <c r="Q522" i="9"/>
  <c r="R521" i="9"/>
  <c r="Q521" i="9"/>
  <c r="R520" i="9"/>
  <c r="Q520" i="9"/>
  <c r="R519" i="9"/>
  <c r="Q519" i="9"/>
  <c r="R518" i="9"/>
  <c r="Q518" i="9"/>
  <c r="R517" i="9"/>
  <c r="Q517" i="9"/>
  <c r="R516" i="9"/>
  <c r="Q516" i="9"/>
  <c r="R515" i="9"/>
  <c r="Q515" i="9"/>
  <c r="R514" i="9"/>
  <c r="Q514" i="9"/>
  <c r="R513" i="9"/>
  <c r="Q513" i="9"/>
  <c r="R512" i="9"/>
  <c r="Q512" i="9"/>
  <c r="R511" i="9"/>
  <c r="Q511" i="9"/>
  <c r="R510" i="9"/>
  <c r="Q510" i="9"/>
  <c r="R509" i="9"/>
  <c r="Q509" i="9"/>
  <c r="R508" i="9"/>
  <c r="Q508" i="9"/>
  <c r="R507" i="9"/>
  <c r="Q507" i="9"/>
  <c r="R506" i="9"/>
  <c r="Q506" i="9"/>
  <c r="R505" i="9"/>
  <c r="Q505" i="9"/>
  <c r="R504" i="9"/>
  <c r="Q504" i="9"/>
  <c r="R503" i="9"/>
  <c r="Q503" i="9"/>
  <c r="R502" i="9"/>
  <c r="Q502" i="9"/>
  <c r="R501" i="9"/>
  <c r="Q501" i="9"/>
  <c r="R500" i="9"/>
  <c r="Q500" i="9"/>
  <c r="R499" i="9"/>
  <c r="Q499" i="9"/>
  <c r="R498" i="9"/>
  <c r="Q498" i="9"/>
  <c r="R497" i="9"/>
  <c r="Q497" i="9"/>
  <c r="R496" i="9"/>
  <c r="Q496" i="9"/>
  <c r="R495" i="9"/>
  <c r="Q495" i="9"/>
  <c r="R494" i="9"/>
  <c r="Q494" i="9"/>
  <c r="R493" i="9"/>
  <c r="Q493" i="9"/>
  <c r="R492" i="9"/>
  <c r="Q492" i="9"/>
  <c r="R491" i="9"/>
  <c r="Q491" i="9"/>
  <c r="R490" i="9"/>
  <c r="Q490" i="9"/>
  <c r="R489" i="9"/>
  <c r="Q489" i="9"/>
  <c r="R488" i="9"/>
  <c r="Q488" i="9"/>
  <c r="R487" i="9"/>
  <c r="Q487" i="9"/>
  <c r="R486" i="9"/>
  <c r="Q486" i="9"/>
  <c r="R485" i="9"/>
  <c r="Q485" i="9"/>
  <c r="R484" i="9"/>
  <c r="Q484" i="9"/>
  <c r="R483" i="9"/>
  <c r="Q483" i="9"/>
  <c r="R482" i="9"/>
  <c r="Q482" i="9"/>
  <c r="R481" i="9"/>
  <c r="Q481" i="9"/>
  <c r="R480" i="9"/>
  <c r="Q480" i="9"/>
  <c r="R479" i="9"/>
  <c r="Q479" i="9"/>
  <c r="R478" i="9"/>
  <c r="Q478" i="9"/>
  <c r="R477" i="9"/>
  <c r="Q477" i="9"/>
  <c r="R476" i="9"/>
  <c r="Q476" i="9"/>
  <c r="R475" i="9"/>
  <c r="Q475" i="9"/>
  <c r="R474" i="9"/>
  <c r="Q474" i="9"/>
  <c r="R473" i="9"/>
  <c r="Q473" i="9"/>
  <c r="R472" i="9"/>
  <c r="Q472" i="9"/>
  <c r="R471" i="9"/>
  <c r="Q471" i="9"/>
  <c r="R470" i="9"/>
  <c r="Q470" i="9"/>
  <c r="R469" i="9"/>
  <c r="Q469" i="9"/>
  <c r="R468" i="9"/>
  <c r="Q468" i="9"/>
  <c r="R467" i="9"/>
  <c r="Q467" i="9"/>
  <c r="R466" i="9"/>
  <c r="Q466" i="9"/>
  <c r="R465" i="9"/>
  <c r="Q465" i="9"/>
  <c r="R464" i="9"/>
  <c r="Q464" i="9"/>
  <c r="R463" i="9"/>
  <c r="Q463" i="9"/>
  <c r="R462" i="9"/>
  <c r="Q462" i="9"/>
  <c r="R461" i="9"/>
  <c r="Q461" i="9"/>
  <c r="R460" i="9"/>
  <c r="Q460" i="9"/>
  <c r="R459" i="9"/>
  <c r="Q459" i="9"/>
  <c r="R458" i="9"/>
  <c r="Q458" i="9"/>
  <c r="R457" i="9"/>
  <c r="Q457" i="9"/>
  <c r="R456" i="9"/>
  <c r="Q456" i="9"/>
  <c r="R455" i="9"/>
  <c r="Q455" i="9"/>
  <c r="R454" i="9"/>
  <c r="Q454" i="9"/>
  <c r="R453" i="9"/>
  <c r="Q453" i="9"/>
  <c r="R452" i="9"/>
  <c r="Q452" i="9"/>
  <c r="R451" i="9"/>
  <c r="Q451" i="9"/>
  <c r="R450" i="9"/>
  <c r="Q450" i="9"/>
  <c r="R449" i="9"/>
  <c r="Q449" i="9"/>
  <c r="R448" i="9"/>
  <c r="Q448" i="9"/>
  <c r="R447" i="9"/>
  <c r="Q447" i="9"/>
  <c r="R446" i="9"/>
  <c r="Q446" i="9"/>
  <c r="R445" i="9"/>
  <c r="Q445" i="9"/>
  <c r="R444" i="9"/>
  <c r="Q444" i="9"/>
  <c r="R443" i="9"/>
  <c r="Q443" i="9"/>
  <c r="R442" i="9"/>
  <c r="Q442" i="9"/>
  <c r="R441" i="9"/>
  <c r="Q441" i="9"/>
  <c r="R440" i="9"/>
  <c r="Q440" i="9"/>
  <c r="R439" i="9"/>
  <c r="Q439" i="9"/>
  <c r="R438" i="9"/>
  <c r="Q438" i="9"/>
  <c r="R437" i="9"/>
  <c r="Q437" i="9"/>
  <c r="R436" i="9"/>
  <c r="Q436" i="9"/>
  <c r="R435" i="9"/>
  <c r="Q435" i="9"/>
  <c r="R434" i="9"/>
  <c r="Q434" i="9"/>
  <c r="R433" i="9"/>
  <c r="Q433" i="9"/>
  <c r="R432" i="9"/>
  <c r="Q432" i="9"/>
  <c r="R431" i="9"/>
  <c r="Q431" i="9"/>
  <c r="R430" i="9"/>
  <c r="Q430" i="9"/>
  <c r="R429" i="9"/>
  <c r="Q429" i="9"/>
  <c r="R428" i="9"/>
  <c r="Q428" i="9"/>
  <c r="R427" i="9"/>
  <c r="Q427" i="9"/>
  <c r="R426" i="9"/>
  <c r="Q426" i="9"/>
  <c r="R425" i="9"/>
  <c r="Q425" i="9"/>
  <c r="R424" i="9"/>
  <c r="Q424" i="9"/>
  <c r="R423" i="9"/>
  <c r="Q423" i="9"/>
  <c r="R422" i="9"/>
  <c r="Q422" i="9"/>
  <c r="R421" i="9"/>
  <c r="Q421" i="9"/>
  <c r="R420" i="9"/>
  <c r="Q420" i="9"/>
  <c r="R419" i="9"/>
  <c r="Q419" i="9"/>
  <c r="R418" i="9"/>
  <c r="Q418" i="9"/>
  <c r="R417" i="9"/>
  <c r="Q417" i="9"/>
  <c r="R416" i="9"/>
  <c r="Q416" i="9"/>
  <c r="R415" i="9"/>
  <c r="Q415" i="9"/>
  <c r="R414" i="9"/>
  <c r="Q414" i="9"/>
  <c r="R413" i="9"/>
  <c r="Q413" i="9"/>
  <c r="R412" i="9"/>
  <c r="Q412" i="9"/>
  <c r="R411" i="9"/>
  <c r="Q411" i="9"/>
  <c r="R410" i="9"/>
  <c r="Q410" i="9"/>
  <c r="R409" i="9"/>
  <c r="Q409" i="9"/>
  <c r="R408" i="9"/>
  <c r="Q408" i="9"/>
  <c r="R407" i="9"/>
  <c r="Q407" i="9"/>
  <c r="R406" i="9"/>
  <c r="Q406" i="9"/>
  <c r="R405" i="9"/>
  <c r="Q405" i="9"/>
  <c r="R404" i="9"/>
  <c r="Q404" i="9"/>
  <c r="R403" i="9"/>
  <c r="Q403" i="9"/>
  <c r="R402" i="9"/>
  <c r="Q402" i="9"/>
  <c r="R401" i="9"/>
  <c r="Q401" i="9"/>
  <c r="R400" i="9"/>
  <c r="Q400" i="9"/>
  <c r="R399" i="9"/>
  <c r="Q399" i="9"/>
  <c r="R398" i="9"/>
  <c r="Q398" i="9"/>
  <c r="R397" i="9"/>
  <c r="Q397" i="9"/>
  <c r="R396" i="9"/>
  <c r="Q396" i="9"/>
  <c r="R395" i="9"/>
  <c r="Q395" i="9"/>
  <c r="R394" i="9"/>
  <c r="Q394" i="9"/>
  <c r="R393" i="9"/>
  <c r="Q393" i="9"/>
  <c r="R392" i="9"/>
  <c r="Q392" i="9"/>
  <c r="R391" i="9"/>
  <c r="Q391" i="9"/>
  <c r="R390" i="9"/>
  <c r="Q390" i="9"/>
  <c r="R389" i="9"/>
  <c r="Q389" i="9"/>
  <c r="R388" i="9"/>
  <c r="Q388" i="9"/>
  <c r="R387" i="9"/>
  <c r="Q387" i="9"/>
  <c r="R386" i="9"/>
  <c r="Q386" i="9"/>
  <c r="R385" i="9"/>
  <c r="Q385" i="9"/>
  <c r="R384" i="9"/>
  <c r="Q384" i="9"/>
  <c r="R383" i="9"/>
  <c r="Q383" i="9"/>
  <c r="R382" i="9"/>
  <c r="Q382" i="9"/>
  <c r="R381" i="9"/>
  <c r="Q381" i="9"/>
  <c r="R380" i="9"/>
  <c r="Q380" i="9"/>
  <c r="R379" i="9"/>
  <c r="Q379" i="9"/>
  <c r="R378" i="9"/>
  <c r="Q378" i="9"/>
  <c r="R377" i="9"/>
  <c r="Q377" i="9"/>
  <c r="R376" i="9"/>
  <c r="Q376" i="9"/>
  <c r="R375" i="9"/>
  <c r="Q375" i="9"/>
  <c r="R374" i="9"/>
  <c r="Q374" i="9"/>
  <c r="R373" i="9"/>
  <c r="Q373" i="9"/>
  <c r="R372" i="9"/>
  <c r="Q372" i="9"/>
  <c r="R371" i="9"/>
  <c r="Q371" i="9"/>
  <c r="R370" i="9"/>
  <c r="Q370" i="9"/>
  <c r="R369" i="9"/>
  <c r="Q369" i="9"/>
  <c r="R368" i="9"/>
  <c r="Q368" i="9"/>
  <c r="R367" i="9"/>
  <c r="Q367" i="9"/>
  <c r="R366" i="9"/>
  <c r="Q366" i="9"/>
  <c r="R365" i="9"/>
  <c r="Q365" i="9"/>
  <c r="R364" i="9"/>
  <c r="Q364" i="9"/>
  <c r="R363" i="9"/>
  <c r="Q363" i="9"/>
  <c r="R362" i="9"/>
  <c r="Q362" i="9"/>
  <c r="R361" i="9"/>
  <c r="Q361" i="9"/>
  <c r="R360" i="9"/>
  <c r="Q360" i="9"/>
  <c r="R359" i="9"/>
  <c r="Q359" i="9"/>
  <c r="R358" i="9"/>
  <c r="Q358" i="9"/>
  <c r="R357" i="9"/>
  <c r="Q357" i="9"/>
  <c r="R356" i="9"/>
  <c r="Q356" i="9"/>
  <c r="R355" i="9"/>
  <c r="Q355" i="9"/>
  <c r="R354" i="9"/>
  <c r="Q354" i="9"/>
  <c r="R353" i="9"/>
  <c r="Q353" i="9"/>
  <c r="R352" i="9"/>
  <c r="Q352" i="9"/>
  <c r="R351" i="9"/>
  <c r="Q351" i="9"/>
  <c r="R350" i="9"/>
  <c r="Q350" i="9"/>
  <c r="R349" i="9"/>
  <c r="Q349" i="9"/>
  <c r="R348" i="9"/>
  <c r="Q348" i="9"/>
  <c r="R347" i="9"/>
  <c r="Q347" i="9"/>
  <c r="R346" i="9"/>
  <c r="Q346" i="9"/>
  <c r="R345" i="9"/>
  <c r="Q345" i="9"/>
  <c r="R344" i="9"/>
  <c r="Q344" i="9"/>
  <c r="R343" i="9"/>
  <c r="Q343" i="9"/>
  <c r="R342" i="9"/>
  <c r="Q342" i="9"/>
  <c r="R341" i="9"/>
  <c r="Q341" i="9"/>
  <c r="R340" i="9"/>
  <c r="Q340" i="9"/>
  <c r="R339" i="9"/>
  <c r="Q339" i="9"/>
  <c r="R338" i="9"/>
  <c r="Q338" i="9"/>
  <c r="R337" i="9"/>
  <c r="Q337" i="9"/>
  <c r="R336" i="9"/>
  <c r="Q336" i="9"/>
  <c r="R335" i="9"/>
  <c r="Q335" i="9"/>
  <c r="R334" i="9"/>
  <c r="Q334" i="9"/>
  <c r="R333" i="9"/>
  <c r="Q333" i="9"/>
  <c r="R332" i="9"/>
  <c r="Q332" i="9"/>
  <c r="R331" i="9"/>
  <c r="Q331" i="9"/>
  <c r="R330" i="9"/>
  <c r="Q330" i="9"/>
  <c r="R329" i="9"/>
  <c r="Q329" i="9"/>
  <c r="R328" i="9"/>
  <c r="Q328" i="9"/>
  <c r="R327" i="9"/>
  <c r="Q327" i="9"/>
  <c r="R326" i="9"/>
  <c r="Q326" i="9"/>
  <c r="R325" i="9"/>
  <c r="Q325" i="9"/>
  <c r="R324" i="9"/>
  <c r="Q324" i="9"/>
  <c r="R323" i="9"/>
  <c r="Q323" i="9"/>
  <c r="R322" i="9"/>
  <c r="Q322" i="9"/>
  <c r="R321" i="9"/>
  <c r="Q321" i="9"/>
  <c r="R320" i="9"/>
  <c r="Q320" i="9"/>
  <c r="R319" i="9"/>
  <c r="Q319" i="9"/>
  <c r="R318" i="9"/>
  <c r="Q318" i="9"/>
  <c r="R317" i="9"/>
  <c r="Q317" i="9"/>
  <c r="R316" i="9"/>
  <c r="Q316" i="9"/>
  <c r="R315" i="9"/>
  <c r="Q315" i="9"/>
  <c r="R314" i="9"/>
  <c r="Q314" i="9"/>
  <c r="R313" i="9"/>
  <c r="Q313" i="9"/>
  <c r="R312" i="9"/>
  <c r="Q312" i="9"/>
  <c r="R311" i="9"/>
  <c r="Q311" i="9"/>
  <c r="R310" i="9"/>
  <c r="Q310" i="9"/>
  <c r="R309" i="9"/>
  <c r="Q309" i="9"/>
  <c r="R308" i="9"/>
  <c r="Q308" i="9"/>
  <c r="R307" i="9"/>
  <c r="Q307" i="9"/>
  <c r="R306" i="9"/>
  <c r="Q306" i="9"/>
  <c r="R305" i="9"/>
  <c r="Q305" i="9"/>
  <c r="R304" i="9"/>
  <c r="Q304" i="9"/>
  <c r="R303" i="9"/>
  <c r="Q303" i="9"/>
  <c r="R302" i="9"/>
  <c r="Q302" i="9"/>
  <c r="R301" i="9"/>
  <c r="Q301" i="9"/>
  <c r="R300" i="9"/>
  <c r="Q300" i="9"/>
  <c r="R299" i="9"/>
  <c r="Q299" i="9"/>
  <c r="R298" i="9"/>
  <c r="Q298" i="9"/>
  <c r="R297" i="9"/>
  <c r="Q297" i="9"/>
  <c r="R296" i="9"/>
  <c r="Q296" i="9"/>
  <c r="R295" i="9"/>
  <c r="Q295" i="9"/>
  <c r="R294" i="9"/>
  <c r="Q294" i="9"/>
  <c r="R293" i="9"/>
  <c r="Q293" i="9"/>
  <c r="R292" i="9"/>
  <c r="Q292" i="9"/>
  <c r="R291" i="9"/>
  <c r="Q291" i="9"/>
  <c r="R290" i="9"/>
  <c r="Q290" i="9"/>
  <c r="R289" i="9"/>
  <c r="Q289" i="9"/>
  <c r="R288" i="9"/>
  <c r="Q288" i="9"/>
  <c r="R287" i="9"/>
  <c r="Q287" i="9"/>
  <c r="R286" i="9"/>
  <c r="Q286" i="9"/>
  <c r="R285" i="9"/>
  <c r="Q285" i="9"/>
  <c r="R284" i="9"/>
  <c r="Q284" i="9"/>
  <c r="R283" i="9"/>
  <c r="Q283" i="9"/>
  <c r="R282" i="9"/>
  <c r="Q282" i="9"/>
  <c r="R281" i="9"/>
  <c r="Q281" i="9"/>
  <c r="R280" i="9"/>
  <c r="Q280" i="9"/>
  <c r="R279" i="9"/>
  <c r="Q279" i="9"/>
  <c r="R278" i="9"/>
  <c r="Q278" i="9"/>
  <c r="R277" i="9"/>
  <c r="Q277" i="9"/>
  <c r="R276" i="9"/>
  <c r="Q276" i="9"/>
  <c r="R275" i="9"/>
  <c r="Q275" i="9"/>
  <c r="R274" i="9"/>
  <c r="Q274" i="9"/>
  <c r="R273" i="9"/>
  <c r="Q273" i="9"/>
  <c r="R272" i="9"/>
  <c r="Q272" i="9"/>
  <c r="R271" i="9"/>
  <c r="Q271" i="9"/>
  <c r="R270" i="9"/>
  <c r="Q270" i="9"/>
  <c r="R269" i="9"/>
  <c r="Q269" i="9"/>
  <c r="R268" i="9"/>
  <c r="Q268" i="9"/>
  <c r="R267" i="9"/>
  <c r="Q267" i="9"/>
  <c r="R266" i="9"/>
  <c r="Q266" i="9"/>
  <c r="R265" i="9"/>
  <c r="Q265" i="9"/>
  <c r="R264" i="9"/>
  <c r="Q264" i="9"/>
  <c r="R263" i="9"/>
  <c r="Q263" i="9"/>
  <c r="R262" i="9"/>
  <c r="Q262" i="9"/>
  <c r="R261" i="9"/>
  <c r="Q261" i="9"/>
  <c r="R260" i="9"/>
  <c r="Q260" i="9"/>
  <c r="R259" i="9"/>
  <c r="Q259" i="9"/>
  <c r="R258" i="9"/>
  <c r="Q258" i="9"/>
  <c r="R257" i="9"/>
  <c r="Q257" i="9"/>
  <c r="R256" i="9"/>
  <c r="Q256" i="9"/>
  <c r="R255" i="9"/>
  <c r="Q255" i="9"/>
  <c r="R254" i="9"/>
  <c r="Q254" i="9"/>
  <c r="R253" i="9"/>
  <c r="Q253" i="9"/>
  <c r="R252" i="9"/>
  <c r="Q252" i="9"/>
  <c r="R251" i="9"/>
  <c r="Q251" i="9"/>
  <c r="R250" i="9"/>
  <c r="Q250" i="9"/>
  <c r="R249" i="9"/>
  <c r="Q249" i="9"/>
  <c r="R248" i="9"/>
  <c r="Q248" i="9"/>
  <c r="R247" i="9"/>
  <c r="Q247" i="9"/>
  <c r="R246" i="9"/>
  <c r="Q246" i="9"/>
  <c r="R245" i="9"/>
  <c r="Q245" i="9"/>
  <c r="R244" i="9"/>
  <c r="Q244" i="9"/>
  <c r="R243" i="9"/>
  <c r="Q243" i="9"/>
  <c r="R242" i="9"/>
  <c r="Q242" i="9"/>
  <c r="R241" i="9"/>
  <c r="Q241" i="9"/>
  <c r="R240" i="9"/>
  <c r="Q240" i="9"/>
  <c r="R239" i="9"/>
  <c r="Q239" i="9"/>
  <c r="R238" i="9"/>
  <c r="Q238" i="9"/>
  <c r="R237" i="9"/>
  <c r="Q237" i="9"/>
  <c r="R236" i="9"/>
  <c r="Q236" i="9"/>
  <c r="R235" i="9"/>
  <c r="Q235" i="9"/>
  <c r="R234" i="9"/>
  <c r="Q234" i="9"/>
  <c r="R233" i="9"/>
  <c r="Q233" i="9"/>
  <c r="R232" i="9"/>
  <c r="Q232" i="9"/>
  <c r="R231" i="9"/>
  <c r="Q231" i="9"/>
  <c r="R230" i="9"/>
  <c r="Q230" i="9"/>
  <c r="R229" i="9"/>
  <c r="Q229" i="9"/>
  <c r="R228" i="9"/>
  <c r="Q228" i="9"/>
  <c r="R227" i="9"/>
  <c r="Q227" i="9"/>
  <c r="R226" i="9"/>
  <c r="Q226" i="9"/>
  <c r="R225" i="9"/>
  <c r="Q225" i="9"/>
  <c r="R224" i="9"/>
  <c r="Q224" i="9"/>
  <c r="R223" i="9"/>
  <c r="Q223" i="9"/>
  <c r="R222" i="9"/>
  <c r="Q222" i="9"/>
  <c r="R221" i="9"/>
  <c r="Q221" i="9"/>
  <c r="R220" i="9"/>
  <c r="Q220" i="9"/>
  <c r="R219" i="9"/>
  <c r="Q219" i="9"/>
  <c r="R218" i="9"/>
  <c r="Q218" i="9"/>
  <c r="R217" i="9"/>
  <c r="Q217" i="9"/>
  <c r="R216" i="9"/>
  <c r="Q216" i="9"/>
  <c r="R215" i="9"/>
  <c r="Q215" i="9"/>
  <c r="R214" i="9"/>
  <c r="Q214" i="9"/>
  <c r="R213" i="9"/>
  <c r="Q213" i="9"/>
  <c r="R212" i="9"/>
  <c r="Q212" i="9"/>
  <c r="R211" i="9"/>
  <c r="Q211" i="9"/>
  <c r="R210" i="9"/>
  <c r="Q210" i="9"/>
  <c r="R209" i="9"/>
  <c r="Q209" i="9"/>
  <c r="R208" i="9"/>
  <c r="Q208" i="9"/>
  <c r="R207" i="9"/>
  <c r="Q207" i="9"/>
  <c r="R206" i="9"/>
  <c r="Q206" i="9"/>
  <c r="R205" i="9"/>
  <c r="Q205" i="9"/>
  <c r="R204" i="9"/>
  <c r="Q204" i="9"/>
  <c r="R203" i="9"/>
  <c r="Q203" i="9"/>
  <c r="R202" i="9"/>
  <c r="Q202" i="9"/>
  <c r="R201" i="9"/>
  <c r="Q201" i="9"/>
  <c r="R200" i="9"/>
  <c r="Q200" i="9"/>
  <c r="R199" i="9"/>
  <c r="Q199" i="9"/>
  <c r="R198" i="9"/>
  <c r="Q198" i="9"/>
  <c r="R197" i="9"/>
  <c r="Q197" i="9"/>
  <c r="R196" i="9"/>
  <c r="Q196" i="9"/>
  <c r="R195" i="9"/>
  <c r="Q195" i="9"/>
  <c r="R194" i="9"/>
  <c r="Q194" i="9"/>
  <c r="R193" i="9"/>
  <c r="Q193" i="9"/>
  <c r="R192" i="9"/>
  <c r="Q192" i="9"/>
  <c r="R191" i="9"/>
  <c r="Q191" i="9"/>
  <c r="R190" i="9"/>
  <c r="Q190" i="9"/>
  <c r="R189" i="9"/>
  <c r="Q189" i="9"/>
  <c r="R188" i="9"/>
  <c r="Q188" i="9"/>
  <c r="R187" i="9"/>
  <c r="Q187" i="9"/>
  <c r="R186" i="9"/>
  <c r="Q186" i="9"/>
  <c r="R185" i="9"/>
  <c r="Q185" i="9"/>
  <c r="R184" i="9"/>
  <c r="Q184" i="9"/>
  <c r="R183" i="9"/>
  <c r="Q183" i="9"/>
  <c r="R182" i="9"/>
  <c r="Q182" i="9"/>
  <c r="R181" i="9"/>
  <c r="Q181" i="9"/>
  <c r="R180" i="9"/>
  <c r="Q180" i="9"/>
  <c r="R179" i="9"/>
  <c r="Q179" i="9"/>
  <c r="R178" i="9"/>
  <c r="Q178" i="9"/>
  <c r="R177" i="9"/>
  <c r="Q177" i="9"/>
  <c r="R176" i="9"/>
  <c r="Q176" i="9"/>
  <c r="R175" i="9"/>
  <c r="Q175" i="9"/>
  <c r="R174" i="9"/>
  <c r="Q174" i="9"/>
  <c r="R173" i="9"/>
  <c r="Q173" i="9"/>
  <c r="R172" i="9"/>
  <c r="Q172" i="9"/>
  <c r="R171" i="9"/>
  <c r="Q171" i="9"/>
  <c r="R170" i="9"/>
  <c r="Q170" i="9"/>
  <c r="R169" i="9"/>
  <c r="Q169" i="9"/>
  <c r="R168" i="9"/>
  <c r="Q168" i="9"/>
  <c r="R167" i="9"/>
  <c r="Q167" i="9"/>
  <c r="R166" i="9"/>
  <c r="Q166" i="9"/>
  <c r="R165" i="9"/>
  <c r="Q165" i="9"/>
  <c r="R164" i="9"/>
  <c r="Q164" i="9"/>
  <c r="R163" i="9"/>
  <c r="Q163" i="9"/>
  <c r="R162" i="9"/>
  <c r="Q162" i="9"/>
  <c r="R161" i="9"/>
  <c r="Q161" i="9"/>
  <c r="R160" i="9"/>
  <c r="Q160" i="9"/>
  <c r="R159" i="9"/>
  <c r="Q159" i="9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131" i="9"/>
  <c r="Q131" i="9"/>
  <c r="R130" i="9"/>
  <c r="Q130" i="9"/>
  <c r="R129" i="9"/>
  <c r="Q129" i="9"/>
  <c r="R128" i="9"/>
  <c r="Q128" i="9"/>
  <c r="R127" i="9"/>
  <c r="Q127" i="9"/>
  <c r="R126" i="9"/>
  <c r="Q126" i="9"/>
  <c r="R125" i="9"/>
  <c r="Q125" i="9"/>
  <c r="R124" i="9"/>
  <c r="Q124" i="9"/>
  <c r="R123" i="9"/>
  <c r="Q123" i="9"/>
  <c r="R122" i="9"/>
  <c r="Q122" i="9"/>
  <c r="R121" i="9"/>
  <c r="Q121" i="9"/>
  <c r="R120" i="9"/>
  <c r="Q120" i="9"/>
  <c r="R119" i="9"/>
  <c r="Q119" i="9"/>
  <c r="R118" i="9"/>
  <c r="Q118" i="9"/>
  <c r="R117" i="9"/>
  <c r="Q117" i="9"/>
  <c r="R116" i="9"/>
  <c r="Q116" i="9"/>
  <c r="R115" i="9"/>
  <c r="Q115" i="9"/>
  <c r="R114" i="9"/>
  <c r="Q114" i="9"/>
  <c r="R113" i="9"/>
  <c r="Q113" i="9"/>
  <c r="R112" i="9"/>
  <c r="Q112" i="9"/>
  <c r="R111" i="9"/>
  <c r="Q111" i="9"/>
  <c r="R110" i="9"/>
  <c r="Q110" i="9"/>
  <c r="R109" i="9"/>
  <c r="Q109" i="9"/>
  <c r="R108" i="9"/>
  <c r="Q108" i="9"/>
  <c r="R107" i="9"/>
  <c r="Q107" i="9"/>
  <c r="R106" i="9"/>
  <c r="Q106" i="9"/>
  <c r="R105" i="9"/>
  <c r="Q105" i="9"/>
  <c r="R104" i="9"/>
  <c r="Q104" i="9"/>
  <c r="R103" i="9"/>
  <c r="Q103" i="9"/>
  <c r="R102" i="9"/>
  <c r="Q102" i="9"/>
  <c r="R101" i="9"/>
  <c r="Q101" i="9"/>
  <c r="R100" i="9"/>
  <c r="Q100" i="9"/>
  <c r="R99" i="9"/>
  <c r="Q99" i="9"/>
  <c r="R98" i="9"/>
  <c r="Q98" i="9"/>
  <c r="R97" i="9"/>
  <c r="Q97" i="9"/>
  <c r="R96" i="9"/>
  <c r="Q96" i="9"/>
  <c r="R95" i="9"/>
  <c r="Q95" i="9"/>
  <c r="R94" i="9"/>
  <c r="Q94" i="9"/>
  <c r="R93" i="9"/>
  <c r="Q93" i="9"/>
  <c r="R92" i="9"/>
  <c r="Q92" i="9"/>
  <c r="R91" i="9"/>
  <c r="Q91" i="9"/>
  <c r="R90" i="9"/>
  <c r="Q90" i="9"/>
  <c r="R89" i="9"/>
  <c r="Q89" i="9"/>
  <c r="R88" i="9"/>
  <c r="Q88" i="9"/>
  <c r="R87" i="9"/>
  <c r="Q87" i="9"/>
  <c r="R86" i="9"/>
  <c r="Q86" i="9"/>
  <c r="R85" i="9"/>
  <c r="Q85" i="9"/>
  <c r="R84" i="9"/>
  <c r="Q84" i="9"/>
  <c r="R83" i="9"/>
  <c r="Q83" i="9"/>
  <c r="R82" i="9"/>
  <c r="Q82" i="9"/>
  <c r="R81" i="9"/>
  <c r="Q81" i="9"/>
  <c r="R80" i="9"/>
  <c r="Q80" i="9"/>
  <c r="R79" i="9"/>
  <c r="Q79" i="9"/>
  <c r="R78" i="9"/>
  <c r="Q78" i="9"/>
  <c r="R77" i="9"/>
  <c r="Q77" i="9"/>
  <c r="R76" i="9"/>
  <c r="Q76" i="9"/>
  <c r="R75" i="9"/>
  <c r="Q75" i="9"/>
  <c r="R74" i="9"/>
  <c r="Q74" i="9"/>
  <c r="R73" i="9"/>
  <c r="Q73" i="9"/>
  <c r="R72" i="9"/>
  <c r="Q72" i="9"/>
  <c r="R71" i="9"/>
  <c r="Q71" i="9"/>
  <c r="R70" i="9"/>
  <c r="Q70" i="9"/>
  <c r="R69" i="9"/>
  <c r="Q69" i="9"/>
  <c r="R68" i="9"/>
  <c r="Q68" i="9"/>
  <c r="R67" i="9"/>
  <c r="Q67" i="9"/>
  <c r="R66" i="9"/>
  <c r="Q66" i="9"/>
  <c r="R65" i="9"/>
  <c r="Q65" i="9"/>
  <c r="R64" i="9"/>
  <c r="Q64" i="9"/>
  <c r="R63" i="9"/>
  <c r="Q63" i="9"/>
  <c r="R62" i="9"/>
  <c r="Q62" i="9"/>
  <c r="R61" i="9"/>
  <c r="Q61" i="9"/>
  <c r="R60" i="9"/>
  <c r="Q60" i="9"/>
  <c r="R59" i="9"/>
  <c r="Q59" i="9"/>
  <c r="R58" i="9"/>
  <c r="Q58" i="9"/>
  <c r="R57" i="9"/>
  <c r="Q57" i="9"/>
  <c r="R56" i="9"/>
  <c r="Q56" i="9"/>
  <c r="R55" i="9"/>
  <c r="Q55" i="9"/>
  <c r="R54" i="9"/>
  <c r="Q54" i="9"/>
  <c r="R53" i="9"/>
  <c r="Q53" i="9"/>
  <c r="R52" i="9"/>
  <c r="Q52" i="9"/>
  <c r="R51" i="9"/>
  <c r="Q51" i="9"/>
  <c r="R50" i="9"/>
  <c r="Q50" i="9"/>
  <c r="R49" i="9"/>
  <c r="Q49" i="9"/>
  <c r="R48" i="9"/>
  <c r="Q48" i="9"/>
  <c r="R47" i="9"/>
  <c r="Q47" i="9"/>
  <c r="R46" i="9"/>
  <c r="Q46" i="9"/>
  <c r="R45" i="9"/>
  <c r="Q45" i="9"/>
  <c r="R44" i="9"/>
  <c r="Q44" i="9"/>
  <c r="R43" i="9"/>
  <c r="Q43" i="9"/>
  <c r="R42" i="9"/>
  <c r="Q42" i="9"/>
  <c r="R41" i="9"/>
  <c r="Q41" i="9"/>
  <c r="R40" i="9"/>
  <c r="Q40" i="9"/>
  <c r="R39" i="9"/>
  <c r="Q39" i="9"/>
  <c r="R38" i="9"/>
  <c r="Q38" i="9"/>
  <c r="R37" i="9"/>
  <c r="Q37" i="9"/>
  <c r="R36" i="9"/>
  <c r="Q36" i="9"/>
  <c r="R35" i="9"/>
  <c r="Q35" i="9"/>
  <c r="R34" i="9"/>
  <c r="Q34" i="9"/>
  <c r="R33" i="9"/>
  <c r="Q33" i="9"/>
  <c r="R32" i="9"/>
  <c r="Q32" i="9"/>
  <c r="R31" i="9"/>
  <c r="Q31" i="9"/>
  <c r="R30" i="9"/>
  <c r="Q30" i="9"/>
  <c r="R29" i="9"/>
  <c r="Q29" i="9"/>
  <c r="R28" i="9"/>
  <c r="Q28" i="9"/>
  <c r="R27" i="9"/>
  <c r="Q27" i="9"/>
  <c r="R26" i="9"/>
  <c r="Q26" i="9"/>
  <c r="R25" i="9"/>
  <c r="Q25" i="9"/>
  <c r="R24" i="9"/>
  <c r="Q24" i="9"/>
  <c r="R23" i="9"/>
  <c r="Q23" i="9"/>
  <c r="R22" i="9"/>
  <c r="Q22" i="9"/>
  <c r="R21" i="9"/>
  <c r="Q21" i="9"/>
  <c r="R20" i="9"/>
  <c r="Q20" i="9"/>
  <c r="R19" i="9"/>
  <c r="Q19" i="9"/>
  <c r="R18" i="9"/>
  <c r="Q18" i="9"/>
  <c r="R17" i="9"/>
  <c r="Q17" i="9"/>
  <c r="R16" i="9"/>
  <c r="Q16" i="9"/>
  <c r="R15" i="9"/>
  <c r="Q15" i="9"/>
  <c r="R14" i="9"/>
  <c r="Q14" i="9"/>
  <c r="R13" i="9"/>
  <c r="Q13" i="9"/>
  <c r="R12" i="9"/>
  <c r="Q12" i="9"/>
  <c r="R11" i="9"/>
  <c r="Q11" i="9"/>
  <c r="R10" i="9"/>
  <c r="Q10" i="9"/>
  <c r="R9" i="9"/>
  <c r="Q9" i="9"/>
  <c r="R8" i="9"/>
  <c r="Q8" i="9"/>
  <c r="R7" i="9"/>
  <c r="Q7" i="9"/>
  <c r="R6" i="9"/>
  <c r="Q6" i="9"/>
  <c r="R5" i="9"/>
  <c r="Q5" i="9"/>
  <c r="R4" i="9"/>
  <c r="Q4" i="9"/>
  <c r="R3" i="9"/>
  <c r="Q3" i="9"/>
  <c r="F531" i="9"/>
  <c r="F530" i="9"/>
  <c r="F529" i="9"/>
  <c r="F528" i="9"/>
  <c r="J528" i="9" s="1"/>
  <c r="K528" i="9" s="1"/>
  <c r="F527" i="9"/>
  <c r="F526" i="9"/>
  <c r="F525" i="9"/>
  <c r="F524" i="9"/>
  <c r="J524" i="9" s="1"/>
  <c r="K524" i="9" s="1"/>
  <c r="F523" i="9"/>
  <c r="F522" i="9"/>
  <c r="F521" i="9"/>
  <c r="F520" i="9"/>
  <c r="N520" i="9" s="1"/>
  <c r="F519" i="9"/>
  <c r="F518" i="9"/>
  <c r="F517" i="9"/>
  <c r="F516" i="9"/>
  <c r="J516" i="9" s="1"/>
  <c r="K516" i="9" s="1"/>
  <c r="F515" i="9"/>
  <c r="F514" i="9"/>
  <c r="F513" i="9"/>
  <c r="F512" i="9"/>
  <c r="N512" i="9" s="1"/>
  <c r="F511" i="9"/>
  <c r="F510" i="9"/>
  <c r="F509" i="9"/>
  <c r="F508" i="9"/>
  <c r="J508" i="9" s="1"/>
  <c r="K508" i="9" s="1"/>
  <c r="F507" i="9"/>
  <c r="F506" i="9"/>
  <c r="F505" i="9"/>
  <c r="F504" i="9"/>
  <c r="I504" i="9" s="1"/>
  <c r="F503" i="9"/>
  <c r="F502" i="9"/>
  <c r="F501" i="9"/>
  <c r="F500" i="9"/>
  <c r="L500" i="9" s="1"/>
  <c r="F499" i="9"/>
  <c r="F498" i="9"/>
  <c r="F497" i="9"/>
  <c r="F496" i="9"/>
  <c r="I496" i="9" s="1"/>
  <c r="F495" i="9"/>
  <c r="F494" i="9"/>
  <c r="F493" i="9"/>
  <c r="F492" i="9"/>
  <c r="M492" i="9" s="1"/>
  <c r="F491" i="9"/>
  <c r="F490" i="9"/>
  <c r="F489" i="9"/>
  <c r="F488" i="9"/>
  <c r="N488" i="9" s="1"/>
  <c r="F487" i="9"/>
  <c r="F486" i="9"/>
  <c r="F485" i="9"/>
  <c r="F484" i="9"/>
  <c r="M484" i="9" s="1"/>
  <c r="F483" i="9"/>
  <c r="F482" i="9"/>
  <c r="F481" i="9"/>
  <c r="F480" i="9"/>
  <c r="N480" i="9" s="1"/>
  <c r="F479" i="9"/>
  <c r="F478" i="9"/>
  <c r="F477" i="9"/>
  <c r="F476" i="9"/>
  <c r="N476" i="9" s="1"/>
  <c r="F475" i="9"/>
  <c r="F474" i="9"/>
  <c r="F473" i="9"/>
  <c r="F472" i="9"/>
  <c r="F471" i="9"/>
  <c r="F470" i="9"/>
  <c r="F469" i="9"/>
  <c r="F468" i="9"/>
  <c r="F467" i="9"/>
  <c r="F466" i="9"/>
  <c r="F465" i="9"/>
  <c r="F464" i="9"/>
  <c r="F463" i="9"/>
  <c r="F462" i="9"/>
  <c r="F461" i="9"/>
  <c r="F460" i="9"/>
  <c r="F459" i="9"/>
  <c r="F458" i="9"/>
  <c r="F457" i="9"/>
  <c r="F456" i="9"/>
  <c r="F455" i="9"/>
  <c r="F454" i="9"/>
  <c r="F453" i="9"/>
  <c r="F452" i="9"/>
  <c r="F451" i="9"/>
  <c r="F450" i="9"/>
  <c r="F449" i="9"/>
  <c r="F448" i="9"/>
  <c r="F447" i="9"/>
  <c r="F446" i="9"/>
  <c r="F445" i="9"/>
  <c r="F444" i="9"/>
  <c r="F443" i="9"/>
  <c r="F442" i="9"/>
  <c r="F441" i="9"/>
  <c r="F440" i="9"/>
  <c r="F439" i="9"/>
  <c r="F438" i="9"/>
  <c r="F437" i="9"/>
  <c r="F436" i="9"/>
  <c r="F435" i="9"/>
  <c r="F434" i="9"/>
  <c r="F433" i="9"/>
  <c r="F432" i="9"/>
  <c r="F431" i="9"/>
  <c r="F430" i="9"/>
  <c r="F429" i="9"/>
  <c r="F428" i="9"/>
  <c r="F427" i="9"/>
  <c r="F426" i="9"/>
  <c r="F425" i="9"/>
  <c r="F424" i="9"/>
  <c r="F423" i="9"/>
  <c r="F422" i="9"/>
  <c r="F421" i="9"/>
  <c r="F420" i="9"/>
  <c r="F419" i="9"/>
  <c r="F418" i="9"/>
  <c r="F417" i="9"/>
  <c r="F416" i="9"/>
  <c r="F415" i="9"/>
  <c r="F414" i="9"/>
  <c r="F413" i="9"/>
  <c r="F412" i="9"/>
  <c r="F411" i="9"/>
  <c r="F410" i="9"/>
  <c r="F409" i="9"/>
  <c r="F408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2" i="9"/>
  <c r="F331" i="9"/>
  <c r="F330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5" i="9"/>
  <c r="F304" i="9"/>
  <c r="F303" i="9"/>
  <c r="F302" i="9"/>
  <c r="F301" i="9"/>
  <c r="F300" i="9"/>
  <c r="F299" i="9"/>
  <c r="F298" i="9"/>
  <c r="F297" i="9"/>
  <c r="F296" i="9"/>
  <c r="F295" i="9"/>
  <c r="F294" i="9"/>
  <c r="F293" i="9"/>
  <c r="F292" i="9"/>
  <c r="F291" i="9"/>
  <c r="F290" i="9"/>
  <c r="F289" i="9"/>
  <c r="F288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5" i="9"/>
  <c r="F274" i="9"/>
  <c r="F273" i="9"/>
  <c r="F272" i="9"/>
  <c r="F271" i="9"/>
  <c r="F270" i="9"/>
  <c r="F269" i="9"/>
  <c r="F268" i="9"/>
  <c r="F267" i="9"/>
  <c r="F266" i="9"/>
  <c r="F265" i="9"/>
  <c r="F264" i="9"/>
  <c r="F263" i="9"/>
  <c r="F262" i="9"/>
  <c r="F261" i="9"/>
  <c r="F260" i="9"/>
  <c r="F259" i="9"/>
  <c r="F258" i="9"/>
  <c r="F257" i="9"/>
  <c r="F256" i="9"/>
  <c r="F255" i="9"/>
  <c r="F254" i="9"/>
  <c r="F253" i="9"/>
  <c r="F252" i="9"/>
  <c r="F251" i="9"/>
  <c r="F250" i="9"/>
  <c r="F249" i="9"/>
  <c r="F248" i="9"/>
  <c r="F247" i="9"/>
  <c r="F246" i="9"/>
  <c r="F245" i="9"/>
  <c r="F244" i="9"/>
  <c r="F243" i="9"/>
  <c r="F242" i="9"/>
  <c r="F241" i="9"/>
  <c r="F240" i="9"/>
  <c r="F239" i="9"/>
  <c r="F238" i="9"/>
  <c r="F237" i="9"/>
  <c r="F236" i="9"/>
  <c r="F235" i="9"/>
  <c r="F234" i="9"/>
  <c r="F233" i="9"/>
  <c r="F232" i="9"/>
  <c r="F231" i="9"/>
  <c r="F230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2" i="9"/>
  <c r="F211" i="9"/>
  <c r="F210" i="9"/>
  <c r="F209" i="9"/>
  <c r="F208" i="9"/>
  <c r="F207" i="9"/>
  <c r="O207" i="9" s="1"/>
  <c r="F206" i="9"/>
  <c r="F205" i="9"/>
  <c r="F204" i="9"/>
  <c r="F203" i="9"/>
  <c r="O203" i="9" s="1"/>
  <c r="F202" i="9"/>
  <c r="F201" i="9"/>
  <c r="F200" i="9"/>
  <c r="F199" i="9"/>
  <c r="M199" i="9" s="1"/>
  <c r="F198" i="9"/>
  <c r="F197" i="9"/>
  <c r="F196" i="9"/>
  <c r="F195" i="9"/>
  <c r="O195" i="9" s="1"/>
  <c r="F194" i="9"/>
  <c r="F193" i="9"/>
  <c r="F192" i="9"/>
  <c r="F191" i="9"/>
  <c r="F190" i="9"/>
  <c r="F189" i="9"/>
  <c r="F188" i="9"/>
  <c r="F187" i="9"/>
  <c r="N187" i="9" s="1"/>
  <c r="F186" i="9"/>
  <c r="F185" i="9"/>
  <c r="F184" i="9"/>
  <c r="F183" i="9"/>
  <c r="F182" i="9"/>
  <c r="F181" i="9"/>
  <c r="F180" i="9"/>
  <c r="F179" i="9"/>
  <c r="F178" i="9"/>
  <c r="F177" i="9"/>
  <c r="F176" i="9"/>
  <c r="F175" i="9"/>
  <c r="F174" i="9"/>
  <c r="F173" i="9"/>
  <c r="F172" i="9"/>
  <c r="F171" i="9"/>
  <c r="F170" i="9"/>
  <c r="F169" i="9"/>
  <c r="F168" i="9"/>
  <c r="F167" i="9"/>
  <c r="I167" i="9" s="1"/>
  <c r="F166" i="9"/>
  <c r="F165" i="9"/>
  <c r="F164" i="9"/>
  <c r="F163" i="9"/>
  <c r="O163" i="9" s="1"/>
  <c r="F162" i="9"/>
  <c r="F161" i="9"/>
  <c r="F160" i="9"/>
  <c r="F159" i="9"/>
  <c r="O159" i="9" s="1"/>
  <c r="F158" i="9"/>
  <c r="F157" i="9"/>
  <c r="F156" i="9"/>
  <c r="F155" i="9"/>
  <c r="I155" i="9" s="1"/>
  <c r="F154" i="9"/>
  <c r="F153" i="9"/>
  <c r="F152" i="9"/>
  <c r="F151" i="9"/>
  <c r="F150" i="9"/>
  <c r="F149" i="9"/>
  <c r="F148" i="9"/>
  <c r="F147" i="9"/>
  <c r="O147" i="9" s="1"/>
  <c r="F146" i="9"/>
  <c r="F145" i="9"/>
  <c r="F144" i="9"/>
  <c r="F143" i="9"/>
  <c r="M143" i="9" s="1"/>
  <c r="F142" i="9"/>
  <c r="F141" i="9"/>
  <c r="F140" i="9"/>
  <c r="F139" i="9"/>
  <c r="I139" i="9" s="1"/>
  <c r="F138" i="9"/>
  <c r="F137" i="9"/>
  <c r="F136" i="9"/>
  <c r="F135" i="9"/>
  <c r="F134" i="9"/>
  <c r="F133" i="9"/>
  <c r="F132" i="9"/>
  <c r="F131" i="9"/>
  <c r="N131" i="9" s="1"/>
  <c r="F130" i="9"/>
  <c r="F129" i="9"/>
  <c r="F128" i="9"/>
  <c r="F127" i="9"/>
  <c r="J127" i="9" s="1"/>
  <c r="K127" i="9" s="1"/>
  <c r="F126" i="9"/>
  <c r="F125" i="9"/>
  <c r="F124" i="9"/>
  <c r="F123" i="9"/>
  <c r="F122" i="9"/>
  <c r="F121" i="9"/>
  <c r="F120" i="9"/>
  <c r="F119" i="9"/>
  <c r="O119" i="9" s="1"/>
  <c r="F118" i="9"/>
  <c r="F117" i="9"/>
  <c r="F116" i="9"/>
  <c r="F115" i="9"/>
  <c r="M115" i="9" s="1"/>
  <c r="F114" i="9"/>
  <c r="F113" i="9"/>
  <c r="F112" i="9"/>
  <c r="F111" i="9"/>
  <c r="J111" i="9" s="1"/>
  <c r="K111" i="9" s="1"/>
  <c r="F110" i="9"/>
  <c r="F109" i="9"/>
  <c r="F108" i="9"/>
  <c r="F107" i="9"/>
  <c r="F106" i="9"/>
  <c r="F105" i="9"/>
  <c r="F104" i="9"/>
  <c r="F103" i="9"/>
  <c r="M103" i="9" s="1"/>
  <c r="F102" i="9"/>
  <c r="F101" i="9"/>
  <c r="F100" i="9"/>
  <c r="F99" i="9"/>
  <c r="M99" i="9" s="1"/>
  <c r="F98" i="9"/>
  <c r="F97" i="9"/>
  <c r="F96" i="9"/>
  <c r="F95" i="9"/>
  <c r="I95" i="9" s="1"/>
  <c r="F94" i="9"/>
  <c r="F93" i="9"/>
  <c r="F92" i="9"/>
  <c r="F91" i="9"/>
  <c r="N91" i="9" s="1"/>
  <c r="F90" i="9"/>
  <c r="F89" i="9"/>
  <c r="F88" i="9"/>
  <c r="F87" i="9"/>
  <c r="M87" i="9" s="1"/>
  <c r="F86" i="9"/>
  <c r="F85" i="9"/>
  <c r="F84" i="9"/>
  <c r="F83" i="9"/>
  <c r="I83" i="9" s="1"/>
  <c r="F82" i="9"/>
  <c r="F81" i="9"/>
  <c r="F80" i="9"/>
  <c r="F79" i="9"/>
  <c r="F78" i="9"/>
  <c r="F77" i="9"/>
  <c r="F76" i="9"/>
  <c r="F75" i="9"/>
  <c r="O75" i="9" s="1"/>
  <c r="F74" i="9"/>
  <c r="F73" i="9"/>
  <c r="F72" i="9"/>
  <c r="F71" i="9"/>
  <c r="J71" i="9" s="1"/>
  <c r="K71" i="9" s="1"/>
  <c r="F70" i="9"/>
  <c r="F69" i="9"/>
  <c r="F68" i="9"/>
  <c r="F67" i="9"/>
  <c r="F66" i="9"/>
  <c r="F65" i="9"/>
  <c r="F64" i="9"/>
  <c r="F63" i="9"/>
  <c r="F62" i="9"/>
  <c r="O62" i="9" s="1"/>
  <c r="F61" i="9"/>
  <c r="F60" i="9"/>
  <c r="F59" i="9"/>
  <c r="F58" i="9"/>
  <c r="F57" i="9"/>
  <c r="F56" i="9"/>
  <c r="F55" i="9"/>
  <c r="F54" i="9"/>
  <c r="I54" i="9" s="1"/>
  <c r="F53" i="9"/>
  <c r="F52" i="9"/>
  <c r="F51" i="9"/>
  <c r="F50" i="9"/>
  <c r="M50" i="9" s="1"/>
  <c r="F49" i="9"/>
  <c r="F48" i="9"/>
  <c r="F47" i="9"/>
  <c r="F46" i="9"/>
  <c r="F45" i="9"/>
  <c r="J45" i="9" s="1"/>
  <c r="K45" i="9" s="1"/>
  <c r="F44" i="9"/>
  <c r="F43" i="9"/>
  <c r="F42" i="9"/>
  <c r="F41" i="9"/>
  <c r="F40" i="9"/>
  <c r="F39" i="9"/>
  <c r="F38" i="9"/>
  <c r="O38" i="9" s="1"/>
  <c r="F37" i="9"/>
  <c r="F36" i="9"/>
  <c r="F35" i="9"/>
  <c r="F34" i="9"/>
  <c r="F33" i="9"/>
  <c r="M33" i="9" s="1"/>
  <c r="F32" i="9"/>
  <c r="F31" i="9"/>
  <c r="F30" i="9"/>
  <c r="I30" i="9" s="1"/>
  <c r="F29" i="9"/>
  <c r="J29" i="9" s="1"/>
  <c r="K29" i="9" s="1"/>
  <c r="F28" i="9"/>
  <c r="F27" i="9"/>
  <c r="F26" i="9"/>
  <c r="M26" i="9" s="1"/>
  <c r="F25" i="9"/>
  <c r="F24" i="9"/>
  <c r="F23" i="9"/>
  <c r="F22" i="9"/>
  <c r="F21" i="9"/>
  <c r="F20" i="9"/>
  <c r="F19" i="9"/>
  <c r="F18" i="9"/>
  <c r="M18" i="9" s="1"/>
  <c r="F17" i="9"/>
  <c r="M17" i="9" s="1"/>
  <c r="F16" i="9"/>
  <c r="F15" i="9"/>
  <c r="F14" i="9"/>
  <c r="O14" i="9" s="1"/>
  <c r="F13" i="9"/>
  <c r="J13" i="9" s="1"/>
  <c r="K13" i="9" s="1"/>
  <c r="F12" i="9"/>
  <c r="F11" i="9"/>
  <c r="F10" i="9"/>
  <c r="F9" i="9"/>
  <c r="F8" i="9"/>
  <c r="I8" i="9" s="1"/>
  <c r="F7" i="9"/>
  <c r="F6" i="9"/>
  <c r="F5" i="9"/>
  <c r="F4" i="9"/>
  <c r="I4" i="9" s="1"/>
  <c r="F3" i="9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4" i="1"/>
  <c r="B83" i="1"/>
  <c r="B85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G530" i="6"/>
  <c r="F530" i="6"/>
  <c r="E530" i="6"/>
  <c r="B530" i="6"/>
  <c r="G529" i="6"/>
  <c r="F529" i="6"/>
  <c r="E529" i="6"/>
  <c r="B529" i="6"/>
  <c r="C529" i="6" s="1"/>
  <c r="G528" i="6"/>
  <c r="F528" i="6"/>
  <c r="E528" i="6"/>
  <c r="B528" i="6"/>
  <c r="C528" i="6" s="1"/>
  <c r="G527" i="6"/>
  <c r="F527" i="6"/>
  <c r="E527" i="6"/>
  <c r="B527" i="6"/>
  <c r="C527" i="6" s="1"/>
  <c r="G526" i="6"/>
  <c r="F526" i="6"/>
  <c r="E526" i="6"/>
  <c r="B526" i="6"/>
  <c r="C526" i="6" s="1"/>
  <c r="G525" i="6"/>
  <c r="F525" i="6"/>
  <c r="E525" i="6"/>
  <c r="B525" i="6"/>
  <c r="C525" i="6" s="1"/>
  <c r="G524" i="6"/>
  <c r="F524" i="6"/>
  <c r="E524" i="6"/>
  <c r="B524" i="6"/>
  <c r="G523" i="6"/>
  <c r="F523" i="6"/>
  <c r="E523" i="6"/>
  <c r="B523" i="6"/>
  <c r="C523" i="6" s="1"/>
  <c r="G522" i="6"/>
  <c r="F522" i="6"/>
  <c r="E522" i="6"/>
  <c r="B522" i="6"/>
  <c r="G521" i="6"/>
  <c r="F521" i="6"/>
  <c r="E521" i="6"/>
  <c r="B521" i="6"/>
  <c r="C521" i="6" s="1"/>
  <c r="G520" i="6"/>
  <c r="F520" i="6"/>
  <c r="E520" i="6"/>
  <c r="B520" i="6"/>
  <c r="C520" i="6" s="1"/>
  <c r="G519" i="6"/>
  <c r="F519" i="6"/>
  <c r="E519" i="6"/>
  <c r="B519" i="6"/>
  <c r="C519" i="6" s="1"/>
  <c r="G518" i="6"/>
  <c r="F518" i="6"/>
  <c r="E518" i="6"/>
  <c r="B518" i="6"/>
  <c r="C518" i="6" s="1"/>
  <c r="G517" i="6"/>
  <c r="F517" i="6"/>
  <c r="E517" i="6"/>
  <c r="B517" i="6"/>
  <c r="C517" i="6" s="1"/>
  <c r="G516" i="6"/>
  <c r="F516" i="6"/>
  <c r="E516" i="6"/>
  <c r="B516" i="6"/>
  <c r="C516" i="6" s="1"/>
  <c r="F515" i="6"/>
  <c r="E515" i="6"/>
  <c r="B515" i="6"/>
  <c r="G514" i="6"/>
  <c r="F514" i="6"/>
  <c r="E514" i="6"/>
  <c r="B514" i="6"/>
  <c r="C514" i="6" s="1"/>
  <c r="G513" i="6"/>
  <c r="F513" i="6"/>
  <c r="E513" i="6"/>
  <c r="B513" i="6"/>
  <c r="C513" i="6" s="1"/>
  <c r="G512" i="6"/>
  <c r="F512" i="6"/>
  <c r="E512" i="6"/>
  <c r="B512" i="6"/>
  <c r="C512" i="6" s="1"/>
  <c r="G511" i="6"/>
  <c r="F511" i="6"/>
  <c r="E511" i="6"/>
  <c r="B511" i="6"/>
  <c r="C511" i="6" s="1"/>
  <c r="G510" i="6"/>
  <c r="F510" i="6"/>
  <c r="E510" i="6"/>
  <c r="B510" i="6"/>
  <c r="C510" i="6" s="1"/>
  <c r="G509" i="6"/>
  <c r="F509" i="6"/>
  <c r="E509" i="6"/>
  <c r="B509" i="6"/>
  <c r="G508" i="6"/>
  <c r="F508" i="6"/>
  <c r="E508" i="6"/>
  <c r="B508" i="6"/>
  <c r="G507" i="6"/>
  <c r="F507" i="6"/>
  <c r="E507" i="6"/>
  <c r="B507" i="6"/>
  <c r="G506" i="6"/>
  <c r="F506" i="6"/>
  <c r="E506" i="6"/>
  <c r="C506" i="6"/>
  <c r="B506" i="6"/>
  <c r="G505" i="6"/>
  <c r="F505" i="6"/>
  <c r="E505" i="6"/>
  <c r="B505" i="6"/>
  <c r="C505" i="6" s="1"/>
  <c r="G504" i="6"/>
  <c r="F504" i="6"/>
  <c r="E504" i="6"/>
  <c r="B504" i="6"/>
  <c r="C504" i="6" s="1"/>
  <c r="G503" i="6"/>
  <c r="F503" i="6"/>
  <c r="E503" i="6"/>
  <c r="B503" i="6"/>
  <c r="C503" i="6" s="1"/>
  <c r="G502" i="6"/>
  <c r="F502" i="6"/>
  <c r="E502" i="6"/>
  <c r="B502" i="6"/>
  <c r="C502" i="6" s="1"/>
  <c r="G501" i="6"/>
  <c r="F501" i="6"/>
  <c r="E501" i="6"/>
  <c r="B501" i="6"/>
  <c r="C501" i="6" s="1"/>
  <c r="G500" i="6"/>
  <c r="F500" i="6"/>
  <c r="E500" i="6"/>
  <c r="B500" i="6"/>
  <c r="C500" i="6" s="1"/>
  <c r="G499" i="6"/>
  <c r="F499" i="6"/>
  <c r="E499" i="6"/>
  <c r="B499" i="6"/>
  <c r="C499" i="6" s="1"/>
  <c r="G498" i="6"/>
  <c r="F498" i="6"/>
  <c r="E498" i="6"/>
  <c r="B498" i="6"/>
  <c r="C498" i="6" s="1"/>
  <c r="G497" i="6"/>
  <c r="F497" i="6"/>
  <c r="E497" i="6"/>
  <c r="B497" i="6"/>
  <c r="C497" i="6" s="1"/>
  <c r="G496" i="6"/>
  <c r="F496" i="6"/>
  <c r="E496" i="6"/>
  <c r="B496" i="6"/>
  <c r="C496" i="6" s="1"/>
  <c r="G495" i="6"/>
  <c r="F495" i="6"/>
  <c r="E495" i="6"/>
  <c r="B495" i="6"/>
  <c r="C495" i="6" s="1"/>
  <c r="G494" i="6"/>
  <c r="F494" i="6"/>
  <c r="E494" i="6"/>
  <c r="B494" i="6"/>
  <c r="C494" i="6" s="1"/>
  <c r="G493" i="6"/>
  <c r="F493" i="6"/>
  <c r="E493" i="6"/>
  <c r="B493" i="6"/>
  <c r="G492" i="6"/>
  <c r="F492" i="6"/>
  <c r="E492" i="6"/>
  <c r="B492" i="6"/>
  <c r="G491" i="6"/>
  <c r="F491" i="6"/>
  <c r="E491" i="6"/>
  <c r="B491" i="6"/>
  <c r="C491" i="6" s="1"/>
  <c r="G490" i="6"/>
  <c r="F490" i="6"/>
  <c r="E490" i="6"/>
  <c r="B490" i="6"/>
  <c r="C490" i="6" s="1"/>
  <c r="G489" i="6"/>
  <c r="F489" i="6"/>
  <c r="E489" i="6"/>
  <c r="B489" i="6"/>
  <c r="G488" i="6"/>
  <c r="F488" i="6"/>
  <c r="E488" i="6"/>
  <c r="B488" i="6"/>
  <c r="C488" i="6" s="1"/>
  <c r="G487" i="6"/>
  <c r="F487" i="6"/>
  <c r="E487" i="6"/>
  <c r="C487" i="6"/>
  <c r="B487" i="6"/>
  <c r="G486" i="6"/>
  <c r="F486" i="6"/>
  <c r="E486" i="6"/>
  <c r="B486" i="6"/>
  <c r="C486" i="6" s="1"/>
  <c r="G485" i="6"/>
  <c r="F485" i="6"/>
  <c r="E485" i="6"/>
  <c r="B485" i="6"/>
  <c r="G484" i="6"/>
  <c r="F484" i="6"/>
  <c r="E484" i="6"/>
  <c r="B484" i="6"/>
  <c r="C484" i="6" s="1"/>
  <c r="G483" i="6"/>
  <c r="F483" i="6"/>
  <c r="E483" i="6"/>
  <c r="B483" i="6"/>
  <c r="C483" i="6" s="1"/>
  <c r="G482" i="6"/>
  <c r="F482" i="6"/>
  <c r="E482" i="6"/>
  <c r="B482" i="6"/>
  <c r="C482" i="6" s="1"/>
  <c r="G481" i="6"/>
  <c r="F481" i="6"/>
  <c r="E481" i="6"/>
  <c r="B481" i="6"/>
  <c r="C481" i="6" s="1"/>
  <c r="G480" i="6"/>
  <c r="F480" i="6"/>
  <c r="E480" i="6"/>
  <c r="B480" i="6"/>
  <c r="G479" i="6"/>
  <c r="F479" i="6"/>
  <c r="E479" i="6"/>
  <c r="B479" i="6"/>
  <c r="C479" i="6" s="1"/>
  <c r="G478" i="6"/>
  <c r="F478" i="6"/>
  <c r="E478" i="6"/>
  <c r="B478" i="6"/>
  <c r="C478" i="6" s="1"/>
  <c r="G477" i="6"/>
  <c r="F477" i="6"/>
  <c r="E477" i="6"/>
  <c r="B477" i="6"/>
  <c r="G476" i="6"/>
  <c r="F476" i="6"/>
  <c r="E476" i="6"/>
  <c r="B476" i="6"/>
  <c r="C476" i="6" s="1"/>
  <c r="G475" i="6"/>
  <c r="F475" i="6"/>
  <c r="E475" i="6"/>
  <c r="B475" i="6"/>
  <c r="G474" i="6"/>
  <c r="F474" i="6"/>
  <c r="E474" i="6"/>
  <c r="B474" i="6"/>
  <c r="G473" i="6"/>
  <c r="F473" i="6"/>
  <c r="E473" i="6"/>
  <c r="B473" i="6"/>
  <c r="G472" i="6"/>
  <c r="F472" i="6"/>
  <c r="E472" i="6"/>
  <c r="B472" i="6"/>
  <c r="C472" i="6" s="1"/>
  <c r="G471" i="6"/>
  <c r="F471" i="6"/>
  <c r="E471" i="6"/>
  <c r="B471" i="6"/>
  <c r="C471" i="6" s="1"/>
  <c r="G470" i="6"/>
  <c r="F470" i="6"/>
  <c r="E470" i="6"/>
  <c r="B470" i="6"/>
  <c r="C470" i="6" s="1"/>
  <c r="G469" i="6"/>
  <c r="F469" i="6"/>
  <c r="E469" i="6"/>
  <c r="B469" i="6"/>
  <c r="G468" i="6"/>
  <c r="F468" i="6"/>
  <c r="E468" i="6"/>
  <c r="B468" i="6"/>
  <c r="C468" i="6" s="1"/>
  <c r="G467" i="6"/>
  <c r="F467" i="6"/>
  <c r="E467" i="6"/>
  <c r="B467" i="6"/>
  <c r="C467" i="6" s="1"/>
  <c r="G466" i="6"/>
  <c r="F466" i="6"/>
  <c r="E466" i="6"/>
  <c r="B466" i="6"/>
  <c r="G465" i="6"/>
  <c r="F465" i="6"/>
  <c r="E465" i="6"/>
  <c r="B465" i="6"/>
  <c r="C465" i="6" s="1"/>
  <c r="G464" i="6"/>
  <c r="F464" i="6"/>
  <c r="E464" i="6"/>
  <c r="B464" i="6"/>
  <c r="C464" i="6" s="1"/>
  <c r="G463" i="6"/>
  <c r="F463" i="6"/>
  <c r="E463" i="6"/>
  <c r="C463" i="6"/>
  <c r="B463" i="6"/>
  <c r="G462" i="6"/>
  <c r="F462" i="6"/>
  <c r="E462" i="6"/>
  <c r="B462" i="6"/>
  <c r="C462" i="6" s="1"/>
  <c r="G461" i="6"/>
  <c r="F461" i="6"/>
  <c r="E461" i="6"/>
  <c r="B461" i="6"/>
  <c r="G460" i="6"/>
  <c r="F460" i="6"/>
  <c r="E460" i="6"/>
  <c r="B460" i="6"/>
  <c r="C460" i="6" s="1"/>
  <c r="G459" i="6"/>
  <c r="F459" i="6"/>
  <c r="E459" i="6"/>
  <c r="B459" i="6"/>
  <c r="C459" i="6" s="1"/>
  <c r="G458" i="6"/>
  <c r="F458" i="6"/>
  <c r="E458" i="6"/>
  <c r="B458" i="6"/>
  <c r="C458" i="6" s="1"/>
  <c r="G457" i="6"/>
  <c r="F457" i="6"/>
  <c r="E457" i="6"/>
  <c r="B457" i="6"/>
  <c r="C457" i="6" s="1"/>
  <c r="G456" i="6"/>
  <c r="F456" i="6"/>
  <c r="E456" i="6"/>
  <c r="B456" i="6"/>
  <c r="C456" i="6" s="1"/>
  <c r="G455" i="6"/>
  <c r="F455" i="6"/>
  <c r="E455" i="6"/>
  <c r="B455" i="6"/>
  <c r="C455" i="6" s="1"/>
  <c r="G454" i="6"/>
  <c r="F454" i="6"/>
  <c r="E454" i="6"/>
  <c r="B454" i="6"/>
  <c r="G453" i="6"/>
  <c r="F453" i="6"/>
  <c r="E453" i="6"/>
  <c r="B453" i="6"/>
  <c r="G452" i="6"/>
  <c r="F452" i="6"/>
  <c r="E452" i="6"/>
  <c r="B452" i="6"/>
  <c r="C452" i="6" s="1"/>
  <c r="G451" i="6"/>
  <c r="F451" i="6"/>
  <c r="E451" i="6"/>
  <c r="B451" i="6"/>
  <c r="C451" i="6" s="1"/>
  <c r="G450" i="6"/>
  <c r="F450" i="6"/>
  <c r="E450" i="6"/>
  <c r="B450" i="6"/>
  <c r="C450" i="6" s="1"/>
  <c r="G449" i="6"/>
  <c r="F449" i="6"/>
  <c r="E449" i="6"/>
  <c r="B449" i="6"/>
  <c r="C449" i="6" s="1"/>
  <c r="G448" i="6"/>
  <c r="F448" i="6"/>
  <c r="E448" i="6"/>
  <c r="B448" i="6"/>
  <c r="C448" i="6" s="1"/>
  <c r="G447" i="6"/>
  <c r="F447" i="6"/>
  <c r="E447" i="6"/>
  <c r="B447" i="6"/>
  <c r="C447" i="6" s="1"/>
  <c r="G446" i="6"/>
  <c r="F446" i="6"/>
  <c r="E446" i="6"/>
  <c r="B446" i="6"/>
  <c r="C446" i="6" s="1"/>
  <c r="G445" i="6"/>
  <c r="F445" i="6"/>
  <c r="E445" i="6"/>
  <c r="B445" i="6"/>
  <c r="C445" i="6" s="1"/>
  <c r="G444" i="6"/>
  <c r="F444" i="6"/>
  <c r="E444" i="6"/>
  <c r="C444" i="6"/>
  <c r="B444" i="6"/>
  <c r="G443" i="6"/>
  <c r="F443" i="6"/>
  <c r="E443" i="6"/>
  <c r="B443" i="6"/>
  <c r="G442" i="6"/>
  <c r="F442" i="6"/>
  <c r="E442" i="6"/>
  <c r="B442" i="6"/>
  <c r="C442" i="6" s="1"/>
  <c r="G441" i="6"/>
  <c r="F441" i="6"/>
  <c r="E441" i="6"/>
  <c r="B441" i="6"/>
  <c r="C441" i="6" s="1"/>
  <c r="G440" i="6"/>
  <c r="F440" i="6"/>
  <c r="E440" i="6"/>
  <c r="B440" i="6"/>
  <c r="C440" i="6" s="1"/>
  <c r="G439" i="6"/>
  <c r="F439" i="6"/>
  <c r="E439" i="6"/>
  <c r="B439" i="6"/>
  <c r="C439" i="6" s="1"/>
  <c r="G438" i="6"/>
  <c r="F438" i="6"/>
  <c r="E438" i="6"/>
  <c r="B438" i="6"/>
  <c r="C438" i="6" s="1"/>
  <c r="G437" i="6"/>
  <c r="F437" i="6"/>
  <c r="E437" i="6"/>
  <c r="B437" i="6"/>
  <c r="C437" i="6" s="1"/>
  <c r="G436" i="6"/>
  <c r="F436" i="6"/>
  <c r="E436" i="6"/>
  <c r="B436" i="6"/>
  <c r="C436" i="6" s="1"/>
  <c r="G435" i="6"/>
  <c r="F435" i="6"/>
  <c r="E435" i="6"/>
  <c r="B435" i="6"/>
  <c r="C435" i="6" s="1"/>
  <c r="G434" i="6"/>
  <c r="F434" i="6"/>
  <c r="E434" i="6"/>
  <c r="B434" i="6"/>
  <c r="C434" i="6" s="1"/>
  <c r="G433" i="6"/>
  <c r="F433" i="6"/>
  <c r="E433" i="6"/>
  <c r="B433" i="6"/>
  <c r="C433" i="6" s="1"/>
  <c r="G432" i="6"/>
  <c r="F432" i="6"/>
  <c r="E432" i="6"/>
  <c r="B432" i="6"/>
  <c r="C432" i="6" s="1"/>
  <c r="G431" i="6"/>
  <c r="F431" i="6"/>
  <c r="E431" i="6"/>
  <c r="B431" i="6"/>
  <c r="C431" i="6" s="1"/>
  <c r="G430" i="6"/>
  <c r="F430" i="6"/>
  <c r="E430" i="6"/>
  <c r="B430" i="6"/>
  <c r="G429" i="6"/>
  <c r="F429" i="6"/>
  <c r="E429" i="6"/>
  <c r="B429" i="6"/>
  <c r="C429" i="6" s="1"/>
  <c r="G428" i="6"/>
  <c r="F428" i="6"/>
  <c r="E428" i="6"/>
  <c r="B428" i="6"/>
  <c r="C428" i="6" s="1"/>
  <c r="G427" i="6"/>
  <c r="F427" i="6"/>
  <c r="E427" i="6"/>
  <c r="B427" i="6"/>
  <c r="C427" i="6" s="1"/>
  <c r="G426" i="6"/>
  <c r="F426" i="6"/>
  <c r="E426" i="6"/>
  <c r="C426" i="6"/>
  <c r="B426" i="6"/>
  <c r="G425" i="6"/>
  <c r="F425" i="6"/>
  <c r="E425" i="6"/>
  <c r="B425" i="6"/>
  <c r="G424" i="6"/>
  <c r="F424" i="6"/>
  <c r="E424" i="6"/>
  <c r="B424" i="6"/>
  <c r="G423" i="6"/>
  <c r="F423" i="6"/>
  <c r="E423" i="6"/>
  <c r="B423" i="6"/>
  <c r="C423" i="6" s="1"/>
  <c r="G422" i="6"/>
  <c r="F422" i="6"/>
  <c r="E422" i="6"/>
  <c r="B422" i="6"/>
  <c r="C422" i="6" s="1"/>
  <c r="G421" i="6"/>
  <c r="F421" i="6"/>
  <c r="E421" i="6"/>
  <c r="B421" i="6"/>
  <c r="C421" i="6" s="1"/>
  <c r="G420" i="6"/>
  <c r="F420" i="6"/>
  <c r="E420" i="6"/>
  <c r="B420" i="6"/>
  <c r="C420" i="6" s="1"/>
  <c r="G419" i="6"/>
  <c r="F419" i="6"/>
  <c r="E419" i="6"/>
  <c r="B419" i="6"/>
  <c r="G418" i="6"/>
  <c r="F418" i="6"/>
  <c r="E418" i="6"/>
  <c r="B418" i="6"/>
  <c r="C418" i="6" s="1"/>
  <c r="G417" i="6"/>
  <c r="F417" i="6"/>
  <c r="E417" i="6"/>
  <c r="B417" i="6"/>
  <c r="C417" i="6" s="1"/>
  <c r="G416" i="6"/>
  <c r="F416" i="6"/>
  <c r="E416" i="6"/>
  <c r="B416" i="6"/>
  <c r="C416" i="6" s="1"/>
  <c r="G415" i="6"/>
  <c r="F415" i="6"/>
  <c r="E415" i="6"/>
  <c r="B415" i="6"/>
  <c r="G414" i="6"/>
  <c r="F414" i="6"/>
  <c r="E414" i="6"/>
  <c r="B414" i="6"/>
  <c r="C414" i="6" s="1"/>
  <c r="G413" i="6"/>
  <c r="F413" i="6"/>
  <c r="E413" i="6"/>
  <c r="B413" i="6"/>
  <c r="C413" i="6" s="1"/>
  <c r="G412" i="6"/>
  <c r="F412" i="6"/>
  <c r="E412" i="6"/>
  <c r="B412" i="6"/>
  <c r="G411" i="6"/>
  <c r="F411" i="6"/>
  <c r="E411" i="6"/>
  <c r="B411" i="6"/>
  <c r="G410" i="6"/>
  <c r="F410" i="6"/>
  <c r="E410" i="6"/>
  <c r="B410" i="6"/>
  <c r="G409" i="6"/>
  <c r="F409" i="6"/>
  <c r="E409" i="6"/>
  <c r="B409" i="6"/>
  <c r="G408" i="6"/>
  <c r="F408" i="6"/>
  <c r="E408" i="6"/>
  <c r="B408" i="6"/>
  <c r="G407" i="6"/>
  <c r="F407" i="6"/>
  <c r="E407" i="6"/>
  <c r="C407" i="6"/>
  <c r="C408" i="6" s="1"/>
  <c r="C409" i="6" s="1"/>
  <c r="C410" i="6" s="1"/>
  <c r="C411" i="6" s="1"/>
  <c r="C412" i="6" s="1"/>
  <c r="B407" i="6"/>
  <c r="G406" i="6"/>
  <c r="F406" i="6"/>
  <c r="E406" i="6"/>
  <c r="B406" i="6"/>
  <c r="G405" i="6"/>
  <c r="F405" i="6"/>
  <c r="E405" i="6"/>
  <c r="B405" i="6"/>
  <c r="C405" i="6" s="1"/>
  <c r="G404" i="6"/>
  <c r="F404" i="6"/>
  <c r="E404" i="6"/>
  <c r="B404" i="6"/>
  <c r="C404" i="6" s="1"/>
  <c r="G403" i="6"/>
  <c r="F403" i="6"/>
  <c r="E403" i="6"/>
  <c r="B403" i="6"/>
  <c r="C403" i="6" s="1"/>
  <c r="G402" i="6"/>
  <c r="F402" i="6"/>
  <c r="E402" i="6"/>
  <c r="B402" i="6"/>
  <c r="C402" i="6" s="1"/>
  <c r="G401" i="6"/>
  <c r="F401" i="6"/>
  <c r="E401" i="6"/>
  <c r="B401" i="6"/>
  <c r="G400" i="6"/>
  <c r="F400" i="6"/>
  <c r="E400" i="6"/>
  <c r="B400" i="6"/>
  <c r="C400" i="6" s="1"/>
  <c r="G399" i="6"/>
  <c r="F399" i="6"/>
  <c r="E399" i="6"/>
  <c r="C399" i="6"/>
  <c r="B399" i="6"/>
  <c r="G398" i="6"/>
  <c r="F398" i="6"/>
  <c r="E398" i="6"/>
  <c r="B398" i="6"/>
  <c r="C398" i="6" s="1"/>
  <c r="G397" i="6"/>
  <c r="F397" i="6"/>
  <c r="E397" i="6"/>
  <c r="B397" i="6"/>
  <c r="C397" i="6" s="1"/>
  <c r="G396" i="6"/>
  <c r="F396" i="6"/>
  <c r="E396" i="6"/>
  <c r="B396" i="6"/>
  <c r="C396" i="6" s="1"/>
  <c r="G395" i="6"/>
  <c r="F395" i="6"/>
  <c r="E395" i="6"/>
  <c r="B395" i="6"/>
  <c r="C395" i="6" s="1"/>
  <c r="G394" i="6"/>
  <c r="F394" i="6"/>
  <c r="E394" i="6"/>
  <c r="B394" i="6"/>
  <c r="C394" i="6" s="1"/>
  <c r="G393" i="6"/>
  <c r="F393" i="6"/>
  <c r="E393" i="6"/>
  <c r="B393" i="6"/>
  <c r="C393" i="6" s="1"/>
  <c r="G392" i="6"/>
  <c r="F392" i="6"/>
  <c r="E392" i="6"/>
  <c r="B392" i="6"/>
  <c r="C392" i="6" s="1"/>
  <c r="G391" i="6"/>
  <c r="F391" i="6"/>
  <c r="E391" i="6"/>
  <c r="C391" i="6"/>
  <c r="B391" i="6"/>
  <c r="G390" i="6"/>
  <c r="F390" i="6"/>
  <c r="E390" i="6"/>
  <c r="B390" i="6"/>
  <c r="C390" i="6" s="1"/>
  <c r="G389" i="6"/>
  <c r="F389" i="6"/>
  <c r="E389" i="6"/>
  <c r="B389" i="6"/>
  <c r="C389" i="6" s="1"/>
  <c r="G388" i="6"/>
  <c r="F388" i="6"/>
  <c r="E388" i="6"/>
  <c r="B388" i="6"/>
  <c r="C388" i="6" s="1"/>
  <c r="G387" i="6"/>
  <c r="F387" i="6"/>
  <c r="E387" i="6"/>
  <c r="B387" i="6"/>
  <c r="G386" i="6"/>
  <c r="F386" i="6"/>
  <c r="E386" i="6"/>
  <c r="B386" i="6"/>
  <c r="G385" i="6"/>
  <c r="F385" i="6"/>
  <c r="E385" i="6"/>
  <c r="B385" i="6"/>
  <c r="C385" i="6" s="1"/>
  <c r="G384" i="6"/>
  <c r="F384" i="6"/>
  <c r="E384" i="6"/>
  <c r="B384" i="6"/>
  <c r="G383" i="6"/>
  <c r="F383" i="6"/>
  <c r="E383" i="6"/>
  <c r="B383" i="6"/>
  <c r="C383" i="6" s="1"/>
  <c r="G382" i="6"/>
  <c r="F382" i="6"/>
  <c r="E382" i="6"/>
  <c r="B382" i="6"/>
  <c r="C382" i="6" s="1"/>
  <c r="G381" i="6"/>
  <c r="F381" i="6"/>
  <c r="E381" i="6"/>
  <c r="B381" i="6"/>
  <c r="C381" i="6" s="1"/>
  <c r="G380" i="6"/>
  <c r="F380" i="6"/>
  <c r="E380" i="6"/>
  <c r="C380" i="6"/>
  <c r="B380" i="6"/>
  <c r="G379" i="6"/>
  <c r="F379" i="6"/>
  <c r="E379" i="6"/>
  <c r="B379" i="6"/>
  <c r="G378" i="6"/>
  <c r="F378" i="6"/>
  <c r="E378" i="6"/>
  <c r="B378" i="6"/>
  <c r="G377" i="6"/>
  <c r="F377" i="6"/>
  <c r="E377" i="6"/>
  <c r="B377" i="6"/>
  <c r="G376" i="6"/>
  <c r="F376" i="6"/>
  <c r="E376" i="6"/>
  <c r="B376" i="6"/>
  <c r="G375" i="6"/>
  <c r="F375" i="6"/>
  <c r="E375" i="6"/>
  <c r="B375" i="6"/>
  <c r="G374" i="6"/>
  <c r="F374" i="6"/>
  <c r="E374" i="6"/>
  <c r="B374" i="6"/>
  <c r="G373" i="6"/>
  <c r="F373" i="6"/>
  <c r="E373" i="6"/>
  <c r="B373" i="6"/>
  <c r="G372" i="6"/>
  <c r="F372" i="6"/>
  <c r="E372" i="6"/>
  <c r="C372" i="6"/>
  <c r="C373" i="6" s="1"/>
  <c r="C374" i="6" s="1"/>
  <c r="C375" i="6" s="1"/>
  <c r="C376" i="6" s="1"/>
  <c r="C377" i="6" s="1"/>
  <c r="C378" i="6" s="1"/>
  <c r="C379" i="6" s="1"/>
  <c r="B372" i="6"/>
  <c r="G371" i="6"/>
  <c r="F371" i="6"/>
  <c r="E371" i="6"/>
  <c r="B371" i="6"/>
  <c r="G370" i="6"/>
  <c r="F370" i="6"/>
  <c r="E370" i="6"/>
  <c r="B370" i="6"/>
  <c r="C370" i="6" s="1"/>
  <c r="G369" i="6"/>
  <c r="F369" i="6"/>
  <c r="E369" i="6"/>
  <c r="B369" i="6"/>
  <c r="C369" i="6" s="1"/>
  <c r="G368" i="6"/>
  <c r="F368" i="6"/>
  <c r="E368" i="6"/>
  <c r="C368" i="6"/>
  <c r="B368" i="6"/>
  <c r="G367" i="6"/>
  <c r="F367" i="6"/>
  <c r="E367" i="6"/>
  <c r="B367" i="6"/>
  <c r="C367" i="6" s="1"/>
  <c r="G366" i="6"/>
  <c r="F366" i="6"/>
  <c r="E366" i="6"/>
  <c r="B366" i="6"/>
  <c r="C366" i="6" s="1"/>
  <c r="G365" i="6"/>
  <c r="F365" i="6"/>
  <c r="E365" i="6"/>
  <c r="B365" i="6"/>
  <c r="G364" i="6"/>
  <c r="F364" i="6"/>
  <c r="E364" i="6"/>
  <c r="B364" i="6"/>
  <c r="C364" i="6" s="1"/>
  <c r="G363" i="6"/>
  <c r="F363" i="6"/>
  <c r="E363" i="6"/>
  <c r="B363" i="6"/>
  <c r="G362" i="6"/>
  <c r="F362" i="6"/>
  <c r="E362" i="6"/>
  <c r="B362" i="6"/>
  <c r="C362" i="6" s="1"/>
  <c r="G361" i="6"/>
  <c r="F361" i="6"/>
  <c r="E361" i="6"/>
  <c r="B361" i="6"/>
  <c r="G360" i="6"/>
  <c r="F360" i="6"/>
  <c r="E360" i="6"/>
  <c r="B360" i="6"/>
  <c r="C360" i="6" s="1"/>
  <c r="G359" i="6"/>
  <c r="F359" i="6"/>
  <c r="E359" i="6"/>
  <c r="B359" i="6"/>
  <c r="G358" i="6"/>
  <c r="F358" i="6"/>
  <c r="E358" i="6"/>
  <c r="B358" i="6"/>
  <c r="C358" i="6" s="1"/>
  <c r="G357" i="6"/>
  <c r="F357" i="6"/>
  <c r="E357" i="6"/>
  <c r="B357" i="6"/>
  <c r="G356" i="6"/>
  <c r="F356" i="6"/>
  <c r="E356" i="6"/>
  <c r="B356" i="6"/>
  <c r="C356" i="6" s="1"/>
  <c r="G355" i="6"/>
  <c r="F355" i="6"/>
  <c r="E355" i="6"/>
  <c r="B355" i="6"/>
  <c r="G354" i="6"/>
  <c r="F354" i="6"/>
  <c r="E354" i="6"/>
  <c r="B354" i="6"/>
  <c r="G353" i="6"/>
  <c r="F353" i="6"/>
  <c r="E353" i="6"/>
  <c r="C353" i="6"/>
  <c r="B353" i="6"/>
  <c r="G352" i="6"/>
  <c r="F352" i="6"/>
  <c r="E352" i="6"/>
  <c r="B352" i="6"/>
  <c r="C352" i="6" s="1"/>
  <c r="G351" i="6"/>
  <c r="F351" i="6"/>
  <c r="E351" i="6"/>
  <c r="B351" i="6"/>
  <c r="C351" i="6" s="1"/>
  <c r="G350" i="6"/>
  <c r="F350" i="6"/>
  <c r="E350" i="6"/>
  <c r="B350" i="6"/>
  <c r="G349" i="6"/>
  <c r="F349" i="6"/>
  <c r="E349" i="6"/>
  <c r="B349" i="6"/>
  <c r="C349" i="6" s="1"/>
  <c r="G348" i="6"/>
  <c r="F348" i="6"/>
  <c r="E348" i="6"/>
  <c r="B348" i="6"/>
  <c r="C348" i="6" s="1"/>
  <c r="G347" i="6"/>
  <c r="F347" i="6"/>
  <c r="E347" i="6"/>
  <c r="B347" i="6"/>
  <c r="C347" i="6" s="1"/>
  <c r="G346" i="6"/>
  <c r="F346" i="6"/>
  <c r="E346" i="6"/>
  <c r="B346" i="6"/>
  <c r="C346" i="6" s="1"/>
  <c r="G345" i="6"/>
  <c r="F345" i="6"/>
  <c r="E345" i="6"/>
  <c r="B345" i="6"/>
  <c r="G344" i="6"/>
  <c r="F344" i="6"/>
  <c r="E344" i="6"/>
  <c r="B344" i="6"/>
  <c r="C344" i="6" s="1"/>
  <c r="G343" i="6"/>
  <c r="F343" i="6"/>
  <c r="E343" i="6"/>
  <c r="B343" i="6"/>
  <c r="C343" i="6" s="1"/>
  <c r="G342" i="6"/>
  <c r="F342" i="6"/>
  <c r="E342" i="6"/>
  <c r="B342" i="6"/>
  <c r="C342" i="6" s="1"/>
  <c r="G341" i="6"/>
  <c r="F341" i="6"/>
  <c r="E341" i="6"/>
  <c r="B341" i="6"/>
  <c r="G340" i="6"/>
  <c r="F340" i="6"/>
  <c r="E340" i="6"/>
  <c r="B340" i="6"/>
  <c r="G339" i="6"/>
  <c r="F339" i="6"/>
  <c r="E339" i="6"/>
  <c r="B339" i="6"/>
  <c r="C339" i="6" s="1"/>
  <c r="G338" i="6"/>
  <c r="F338" i="6"/>
  <c r="E338" i="6"/>
  <c r="B338" i="6"/>
  <c r="C338" i="6" s="1"/>
  <c r="G337" i="6"/>
  <c r="F337" i="6"/>
  <c r="E337" i="6"/>
  <c r="B337" i="6"/>
  <c r="G336" i="6"/>
  <c r="F336" i="6"/>
  <c r="E336" i="6"/>
  <c r="C336" i="6"/>
  <c r="B336" i="6"/>
  <c r="G335" i="6"/>
  <c r="F335" i="6"/>
  <c r="E335" i="6"/>
  <c r="B335" i="6"/>
  <c r="G334" i="6"/>
  <c r="F334" i="6"/>
  <c r="E334" i="6"/>
  <c r="B334" i="6"/>
  <c r="C334" i="6" s="1"/>
  <c r="G333" i="6"/>
  <c r="F333" i="6"/>
  <c r="E333" i="6"/>
  <c r="B333" i="6"/>
  <c r="C333" i="6" s="1"/>
  <c r="G332" i="6"/>
  <c r="F332" i="6"/>
  <c r="E332" i="6"/>
  <c r="B332" i="6"/>
  <c r="G331" i="6"/>
  <c r="F331" i="6"/>
  <c r="E331" i="6"/>
  <c r="B331" i="6"/>
  <c r="G330" i="6"/>
  <c r="F330" i="6"/>
  <c r="E330" i="6"/>
  <c r="B330" i="6"/>
  <c r="C330" i="6" s="1"/>
  <c r="G329" i="6"/>
  <c r="F329" i="6"/>
  <c r="E329" i="6"/>
  <c r="B329" i="6"/>
  <c r="C329" i="6" s="1"/>
  <c r="G328" i="6"/>
  <c r="F328" i="6"/>
  <c r="E328" i="6"/>
  <c r="B328" i="6"/>
  <c r="C328" i="6" s="1"/>
  <c r="G327" i="6"/>
  <c r="F327" i="6"/>
  <c r="E327" i="6"/>
  <c r="B327" i="6"/>
  <c r="C327" i="6" s="1"/>
  <c r="G326" i="6"/>
  <c r="F326" i="6"/>
  <c r="E326" i="6"/>
  <c r="B326" i="6"/>
  <c r="C326" i="6" s="1"/>
  <c r="G325" i="6"/>
  <c r="F325" i="6"/>
  <c r="E325" i="6"/>
  <c r="B325" i="6"/>
  <c r="C325" i="6" s="1"/>
  <c r="G324" i="6"/>
  <c r="F324" i="6"/>
  <c r="E324" i="6"/>
  <c r="B324" i="6"/>
  <c r="G323" i="6"/>
  <c r="F323" i="6"/>
  <c r="E323" i="6"/>
  <c r="B323" i="6"/>
  <c r="C323" i="6" s="1"/>
  <c r="G322" i="6"/>
  <c r="F322" i="6"/>
  <c r="E322" i="6"/>
  <c r="B322" i="6"/>
  <c r="C322" i="6" s="1"/>
  <c r="G321" i="6"/>
  <c r="F321" i="6"/>
  <c r="E321" i="6"/>
  <c r="B321" i="6"/>
  <c r="C321" i="6" s="1"/>
  <c r="G320" i="6"/>
  <c r="F320" i="6"/>
  <c r="E320" i="6"/>
  <c r="C320" i="6"/>
  <c r="B320" i="6"/>
  <c r="G319" i="6"/>
  <c r="F319" i="6"/>
  <c r="E319" i="6"/>
  <c r="B319" i="6"/>
  <c r="C319" i="6" s="1"/>
  <c r="G318" i="6"/>
  <c r="F318" i="6"/>
  <c r="E318" i="6"/>
  <c r="B318" i="6"/>
  <c r="G317" i="6"/>
  <c r="F317" i="6"/>
  <c r="E317" i="6"/>
  <c r="B317" i="6"/>
  <c r="C317" i="6" s="1"/>
  <c r="G316" i="6"/>
  <c r="F316" i="6"/>
  <c r="E316" i="6"/>
  <c r="B316" i="6"/>
  <c r="C316" i="6" s="1"/>
  <c r="G315" i="6"/>
  <c r="F315" i="6"/>
  <c r="E315" i="6"/>
  <c r="B315" i="6"/>
  <c r="C315" i="6" s="1"/>
  <c r="G314" i="6"/>
  <c r="F314" i="6"/>
  <c r="E314" i="6"/>
  <c r="B314" i="6"/>
  <c r="C314" i="6" s="1"/>
  <c r="G313" i="6"/>
  <c r="F313" i="6"/>
  <c r="E313" i="6"/>
  <c r="B313" i="6"/>
  <c r="G312" i="6"/>
  <c r="F312" i="6"/>
  <c r="E312" i="6"/>
  <c r="B312" i="6"/>
  <c r="G311" i="6"/>
  <c r="F311" i="6"/>
  <c r="E311" i="6"/>
  <c r="B311" i="6"/>
  <c r="G310" i="6"/>
  <c r="F310" i="6"/>
  <c r="E310" i="6"/>
  <c r="B310" i="6"/>
  <c r="C310" i="6" s="1"/>
  <c r="G309" i="6"/>
  <c r="F309" i="6"/>
  <c r="E309" i="6"/>
  <c r="B309" i="6"/>
  <c r="C309" i="6" s="1"/>
  <c r="G308" i="6"/>
  <c r="F308" i="6"/>
  <c r="E308" i="6"/>
  <c r="B308" i="6"/>
  <c r="C308" i="6" s="1"/>
  <c r="G307" i="6"/>
  <c r="F307" i="6"/>
  <c r="E307" i="6"/>
  <c r="B307" i="6"/>
  <c r="G306" i="6"/>
  <c r="F306" i="6"/>
  <c r="E306" i="6"/>
  <c r="B306" i="6"/>
  <c r="G305" i="6"/>
  <c r="F305" i="6"/>
  <c r="E305" i="6"/>
  <c r="B305" i="6"/>
  <c r="C305" i="6" s="1"/>
  <c r="G304" i="6"/>
  <c r="F304" i="6"/>
  <c r="E304" i="6"/>
  <c r="B304" i="6"/>
  <c r="C304" i="6" s="1"/>
  <c r="G303" i="6"/>
  <c r="F303" i="6"/>
  <c r="E303" i="6"/>
  <c r="C303" i="6"/>
  <c r="B303" i="6"/>
  <c r="G302" i="6"/>
  <c r="F302" i="6"/>
  <c r="E302" i="6"/>
  <c r="B302" i="6"/>
  <c r="C302" i="6" s="1"/>
  <c r="G301" i="6"/>
  <c r="F301" i="6"/>
  <c r="E301" i="6"/>
  <c r="B301" i="6"/>
  <c r="C301" i="6" s="1"/>
  <c r="G300" i="6"/>
  <c r="F300" i="6"/>
  <c r="E300" i="6"/>
  <c r="B300" i="6"/>
  <c r="C300" i="6" s="1"/>
  <c r="G299" i="6"/>
  <c r="F299" i="6"/>
  <c r="E299" i="6"/>
  <c r="B299" i="6"/>
  <c r="C299" i="6" s="1"/>
  <c r="G298" i="6"/>
  <c r="F298" i="6"/>
  <c r="E298" i="6"/>
  <c r="B298" i="6"/>
  <c r="C298" i="6" s="1"/>
  <c r="G297" i="6"/>
  <c r="F297" i="6"/>
  <c r="E297" i="6"/>
  <c r="B297" i="6"/>
  <c r="C297" i="6" s="1"/>
  <c r="G296" i="6"/>
  <c r="F296" i="6"/>
  <c r="E296" i="6"/>
  <c r="B296" i="6"/>
  <c r="C296" i="6" s="1"/>
  <c r="G295" i="6"/>
  <c r="F295" i="6"/>
  <c r="E295" i="6"/>
  <c r="B295" i="6"/>
  <c r="G294" i="6"/>
  <c r="F294" i="6"/>
  <c r="E294" i="6"/>
  <c r="B294" i="6"/>
  <c r="C294" i="6" s="1"/>
  <c r="G293" i="6"/>
  <c r="F293" i="6"/>
  <c r="E293" i="6"/>
  <c r="C293" i="6"/>
  <c r="B293" i="6"/>
  <c r="G292" i="6"/>
  <c r="F292" i="6"/>
  <c r="E292" i="6"/>
  <c r="B292" i="6"/>
  <c r="C292" i="6" s="1"/>
  <c r="G291" i="6"/>
  <c r="F291" i="6"/>
  <c r="E291" i="6"/>
  <c r="B291" i="6"/>
  <c r="C291" i="6" s="1"/>
  <c r="G290" i="6"/>
  <c r="F290" i="6"/>
  <c r="E290" i="6"/>
  <c r="B290" i="6"/>
  <c r="G289" i="6"/>
  <c r="F289" i="6"/>
  <c r="E289" i="6"/>
  <c r="B289" i="6"/>
  <c r="C289" i="6" s="1"/>
  <c r="G288" i="6"/>
  <c r="F288" i="6"/>
  <c r="E288" i="6"/>
  <c r="B288" i="6"/>
  <c r="C288" i="6" s="1"/>
  <c r="G287" i="6"/>
  <c r="F287" i="6"/>
  <c r="E287" i="6"/>
  <c r="B287" i="6"/>
  <c r="G286" i="6"/>
  <c r="F286" i="6"/>
  <c r="E286" i="6"/>
  <c r="B286" i="6"/>
  <c r="C286" i="6" s="1"/>
  <c r="G285" i="6"/>
  <c r="F285" i="6"/>
  <c r="E285" i="6"/>
  <c r="B285" i="6"/>
  <c r="C285" i="6" s="1"/>
  <c r="G284" i="6"/>
  <c r="F284" i="6"/>
  <c r="E284" i="6"/>
  <c r="B284" i="6"/>
  <c r="C284" i="6" s="1"/>
  <c r="G283" i="6"/>
  <c r="F283" i="6"/>
  <c r="E283" i="6"/>
  <c r="B283" i="6"/>
  <c r="G282" i="6"/>
  <c r="F282" i="6"/>
  <c r="E282" i="6"/>
  <c r="B282" i="6"/>
  <c r="C282" i="6" s="1"/>
  <c r="G281" i="6"/>
  <c r="F281" i="6"/>
  <c r="E281" i="6"/>
  <c r="B281" i="6"/>
  <c r="C281" i="6" s="1"/>
  <c r="G280" i="6"/>
  <c r="F280" i="6"/>
  <c r="E280" i="6"/>
  <c r="B280" i="6"/>
  <c r="C280" i="6" s="1"/>
  <c r="G279" i="6"/>
  <c r="F279" i="6"/>
  <c r="E279" i="6"/>
  <c r="B279" i="6"/>
  <c r="C279" i="6" s="1"/>
  <c r="G278" i="6"/>
  <c r="F278" i="6"/>
  <c r="E278" i="6"/>
  <c r="C278" i="6"/>
  <c r="B278" i="6"/>
  <c r="G277" i="6"/>
  <c r="F277" i="6"/>
  <c r="E277" i="6"/>
  <c r="B277" i="6"/>
  <c r="G276" i="6"/>
  <c r="F276" i="6"/>
  <c r="E276" i="6"/>
  <c r="B276" i="6"/>
  <c r="C276" i="6" s="1"/>
  <c r="G275" i="6"/>
  <c r="F275" i="6"/>
  <c r="E275" i="6"/>
  <c r="B275" i="6"/>
  <c r="C275" i="6" s="1"/>
  <c r="G274" i="6"/>
  <c r="F274" i="6"/>
  <c r="E274" i="6"/>
  <c r="B274" i="6"/>
  <c r="C274" i="6" s="1"/>
  <c r="G273" i="6"/>
  <c r="F273" i="6"/>
  <c r="E273" i="6"/>
  <c r="B273" i="6"/>
  <c r="C273" i="6" s="1"/>
  <c r="G272" i="6"/>
  <c r="F272" i="6"/>
  <c r="E272" i="6"/>
  <c r="B272" i="6"/>
  <c r="C272" i="6" s="1"/>
  <c r="G271" i="6"/>
  <c r="F271" i="6"/>
  <c r="E271" i="6"/>
  <c r="B271" i="6"/>
  <c r="C271" i="6" s="1"/>
  <c r="G270" i="6"/>
  <c r="F270" i="6"/>
  <c r="E270" i="6"/>
  <c r="B270" i="6"/>
  <c r="G269" i="6"/>
  <c r="F269" i="6"/>
  <c r="E269" i="6"/>
  <c r="B269" i="6"/>
  <c r="C269" i="6" s="1"/>
  <c r="G268" i="6"/>
  <c r="F268" i="6"/>
  <c r="E268" i="6"/>
  <c r="B268" i="6"/>
  <c r="C268" i="6" s="1"/>
  <c r="G267" i="6"/>
  <c r="F267" i="6"/>
  <c r="E267" i="6"/>
  <c r="B267" i="6"/>
  <c r="C267" i="6" s="1"/>
  <c r="G266" i="6"/>
  <c r="F266" i="6"/>
  <c r="E266" i="6"/>
  <c r="B266" i="6"/>
  <c r="C266" i="6" s="1"/>
  <c r="G265" i="6"/>
  <c r="F265" i="6"/>
  <c r="E265" i="6"/>
  <c r="C265" i="6"/>
  <c r="B265" i="6"/>
  <c r="G264" i="6"/>
  <c r="F264" i="6"/>
  <c r="E264" i="6"/>
  <c r="B264" i="6"/>
  <c r="C264" i="6" s="1"/>
  <c r="G263" i="6"/>
  <c r="F263" i="6"/>
  <c r="E263" i="6"/>
  <c r="B263" i="6"/>
  <c r="C263" i="6" s="1"/>
  <c r="G262" i="6"/>
  <c r="F262" i="6"/>
  <c r="E262" i="6"/>
  <c r="B262" i="6"/>
  <c r="G261" i="6"/>
  <c r="F261" i="6"/>
  <c r="E261" i="6"/>
  <c r="B261" i="6"/>
  <c r="G260" i="6"/>
  <c r="F260" i="6"/>
  <c r="E260" i="6"/>
  <c r="B260" i="6"/>
  <c r="C260" i="6" s="1"/>
  <c r="G259" i="6"/>
  <c r="F259" i="6"/>
  <c r="E259" i="6"/>
  <c r="B259" i="6"/>
  <c r="C259" i="6" s="1"/>
  <c r="G258" i="6"/>
  <c r="F258" i="6"/>
  <c r="E258" i="6"/>
  <c r="B258" i="6"/>
  <c r="C258" i="6" s="1"/>
  <c r="G257" i="6"/>
  <c r="F257" i="6"/>
  <c r="E257" i="6"/>
  <c r="B257" i="6"/>
  <c r="C257" i="6" s="1"/>
  <c r="G256" i="6"/>
  <c r="F256" i="6"/>
  <c r="E256" i="6"/>
  <c r="B256" i="6"/>
  <c r="C256" i="6" s="1"/>
  <c r="G255" i="6"/>
  <c r="F255" i="6"/>
  <c r="E255" i="6"/>
  <c r="B255" i="6"/>
  <c r="G254" i="6"/>
  <c r="F254" i="6"/>
  <c r="E254" i="6"/>
  <c r="B254" i="6"/>
  <c r="C254" i="6" s="1"/>
  <c r="G253" i="6"/>
  <c r="F253" i="6"/>
  <c r="E253" i="6"/>
  <c r="B253" i="6"/>
  <c r="G252" i="6"/>
  <c r="F252" i="6"/>
  <c r="E252" i="6"/>
  <c r="B252" i="6"/>
  <c r="G251" i="6"/>
  <c r="F251" i="6"/>
  <c r="E251" i="6"/>
  <c r="B251" i="6"/>
  <c r="G250" i="6"/>
  <c r="F250" i="6"/>
  <c r="E250" i="6"/>
  <c r="C250" i="6"/>
  <c r="B250" i="6"/>
  <c r="G249" i="6"/>
  <c r="F249" i="6"/>
  <c r="E249" i="6"/>
  <c r="B249" i="6"/>
  <c r="C249" i="6" s="1"/>
  <c r="G248" i="6"/>
  <c r="F248" i="6"/>
  <c r="E248" i="6"/>
  <c r="B248" i="6"/>
  <c r="C248" i="6" s="1"/>
  <c r="G247" i="6"/>
  <c r="F247" i="6"/>
  <c r="E247" i="6"/>
  <c r="B247" i="6"/>
  <c r="C247" i="6" s="1"/>
  <c r="G246" i="6"/>
  <c r="F246" i="6"/>
  <c r="E246" i="6"/>
  <c r="B246" i="6"/>
  <c r="C246" i="6" s="1"/>
  <c r="G245" i="6"/>
  <c r="F245" i="6"/>
  <c r="E245" i="6"/>
  <c r="B245" i="6"/>
  <c r="C245" i="6" s="1"/>
  <c r="G244" i="6"/>
  <c r="F244" i="6"/>
  <c r="E244" i="6"/>
  <c r="B244" i="6"/>
  <c r="C244" i="6" s="1"/>
  <c r="G243" i="6"/>
  <c r="F243" i="6"/>
  <c r="E243" i="6"/>
  <c r="B243" i="6"/>
  <c r="G242" i="6"/>
  <c r="F242" i="6"/>
  <c r="E242" i="6"/>
  <c r="B242" i="6"/>
  <c r="C242" i="6" s="1"/>
  <c r="G241" i="6"/>
  <c r="F241" i="6"/>
  <c r="E241" i="6"/>
  <c r="B241" i="6"/>
  <c r="C241" i="6" s="1"/>
  <c r="G240" i="6"/>
  <c r="F240" i="6"/>
  <c r="E240" i="6"/>
  <c r="B240" i="6"/>
  <c r="C240" i="6" s="1"/>
  <c r="G239" i="6"/>
  <c r="F239" i="6"/>
  <c r="E239" i="6"/>
  <c r="B239" i="6"/>
  <c r="G238" i="6"/>
  <c r="F238" i="6"/>
  <c r="E238" i="6"/>
  <c r="B238" i="6"/>
  <c r="C238" i="6" s="1"/>
  <c r="G237" i="6"/>
  <c r="F237" i="6"/>
  <c r="E237" i="6"/>
  <c r="B237" i="6"/>
  <c r="C237" i="6" s="1"/>
  <c r="G236" i="6"/>
  <c r="F236" i="6"/>
  <c r="E236" i="6"/>
  <c r="C236" i="6"/>
  <c r="B236" i="6"/>
  <c r="G235" i="6"/>
  <c r="F235" i="6"/>
  <c r="E235" i="6"/>
  <c r="B235" i="6"/>
  <c r="C235" i="6" s="1"/>
  <c r="G234" i="6"/>
  <c r="F234" i="6"/>
  <c r="E234" i="6"/>
  <c r="B234" i="6"/>
  <c r="G233" i="6"/>
  <c r="F233" i="6"/>
  <c r="E233" i="6"/>
  <c r="B233" i="6"/>
  <c r="C233" i="6" s="1"/>
  <c r="G232" i="6"/>
  <c r="F232" i="6"/>
  <c r="E232" i="6"/>
  <c r="B232" i="6"/>
  <c r="C232" i="6" s="1"/>
  <c r="G231" i="6"/>
  <c r="F231" i="6"/>
  <c r="E231" i="6"/>
  <c r="B231" i="6"/>
  <c r="G230" i="6"/>
  <c r="F230" i="6"/>
  <c r="E230" i="6"/>
  <c r="B230" i="6"/>
  <c r="C230" i="6" s="1"/>
  <c r="G229" i="6"/>
  <c r="F229" i="6"/>
  <c r="E229" i="6"/>
  <c r="B229" i="6"/>
  <c r="C229" i="6" s="1"/>
  <c r="G228" i="6"/>
  <c r="F228" i="6"/>
  <c r="E228" i="6"/>
  <c r="B228" i="6"/>
  <c r="C228" i="6" s="1"/>
  <c r="G227" i="6"/>
  <c r="F227" i="6"/>
  <c r="E227" i="6"/>
  <c r="B227" i="6"/>
  <c r="C227" i="6" s="1"/>
  <c r="G226" i="6"/>
  <c r="F226" i="6"/>
  <c r="E226" i="6"/>
  <c r="B226" i="6"/>
  <c r="G225" i="6"/>
  <c r="F225" i="6"/>
  <c r="E225" i="6"/>
  <c r="B225" i="6"/>
  <c r="C225" i="6" s="1"/>
  <c r="G224" i="6"/>
  <c r="F224" i="6"/>
  <c r="E224" i="6"/>
  <c r="B224" i="6"/>
  <c r="C224" i="6" s="1"/>
  <c r="G223" i="6"/>
  <c r="F223" i="6"/>
  <c r="E223" i="6"/>
  <c r="B223" i="6"/>
  <c r="G222" i="6"/>
  <c r="F222" i="6"/>
  <c r="E222" i="6"/>
  <c r="B222" i="6"/>
  <c r="C222" i="6" s="1"/>
  <c r="G221" i="6"/>
  <c r="F221" i="6"/>
  <c r="E221" i="6"/>
  <c r="C221" i="6"/>
  <c r="B221" i="6"/>
  <c r="G220" i="6"/>
  <c r="F220" i="6"/>
  <c r="E220" i="6"/>
  <c r="B220" i="6"/>
  <c r="C220" i="6" s="1"/>
  <c r="G219" i="6"/>
  <c r="F219" i="6"/>
  <c r="E219" i="6"/>
  <c r="B219" i="6"/>
  <c r="G218" i="6"/>
  <c r="F218" i="6"/>
  <c r="E218" i="6"/>
  <c r="B218" i="6"/>
  <c r="C218" i="6" s="1"/>
  <c r="G217" i="6"/>
  <c r="F217" i="6"/>
  <c r="E217" i="6"/>
  <c r="B217" i="6"/>
  <c r="C217" i="6" s="1"/>
  <c r="G216" i="6"/>
  <c r="F216" i="6"/>
  <c r="E216" i="6"/>
  <c r="B216" i="6"/>
  <c r="C216" i="6" s="1"/>
  <c r="G215" i="6"/>
  <c r="F215" i="6"/>
  <c r="E215" i="6"/>
  <c r="B215" i="6"/>
  <c r="C215" i="6" s="1"/>
  <c r="G214" i="6"/>
  <c r="F214" i="6"/>
  <c r="E214" i="6"/>
  <c r="B214" i="6"/>
  <c r="C214" i="6" s="1"/>
  <c r="G213" i="6"/>
  <c r="F213" i="6"/>
  <c r="E213" i="6"/>
  <c r="B213" i="6"/>
  <c r="C213" i="6" s="1"/>
  <c r="G212" i="6"/>
  <c r="F212" i="6"/>
  <c r="E212" i="6"/>
  <c r="B212" i="6"/>
  <c r="C212" i="6" s="1"/>
  <c r="G211" i="6"/>
  <c r="F211" i="6"/>
  <c r="E211" i="6"/>
  <c r="B211" i="6"/>
  <c r="G210" i="6"/>
  <c r="F210" i="6"/>
  <c r="E210" i="6"/>
  <c r="B210" i="6"/>
  <c r="G209" i="6"/>
  <c r="F209" i="6"/>
  <c r="E209" i="6"/>
  <c r="C209" i="6"/>
  <c r="B209" i="6"/>
  <c r="G208" i="6"/>
  <c r="F208" i="6"/>
  <c r="E208" i="6"/>
  <c r="B208" i="6"/>
  <c r="C208" i="6" s="1"/>
  <c r="G207" i="6"/>
  <c r="F207" i="6"/>
  <c r="E207" i="6"/>
  <c r="B207" i="6"/>
  <c r="C207" i="6" s="1"/>
  <c r="G206" i="6"/>
  <c r="F206" i="6"/>
  <c r="E206" i="6"/>
  <c r="B206" i="6"/>
  <c r="C206" i="6" s="1"/>
  <c r="G205" i="6"/>
  <c r="F205" i="6"/>
  <c r="E205" i="6"/>
  <c r="B205" i="6"/>
  <c r="C205" i="6" s="1"/>
  <c r="G204" i="6"/>
  <c r="F204" i="6"/>
  <c r="E204" i="6"/>
  <c r="B204" i="6"/>
  <c r="G203" i="6"/>
  <c r="F203" i="6"/>
  <c r="E203" i="6"/>
  <c r="B203" i="6"/>
  <c r="C203" i="6" s="1"/>
  <c r="G202" i="6"/>
  <c r="F202" i="6"/>
  <c r="E202" i="6"/>
  <c r="B202" i="6"/>
  <c r="C202" i="6" s="1"/>
  <c r="G201" i="6"/>
  <c r="F201" i="6"/>
  <c r="E201" i="6"/>
  <c r="B201" i="6"/>
  <c r="G200" i="6"/>
  <c r="F200" i="6"/>
  <c r="E200" i="6"/>
  <c r="B200" i="6"/>
  <c r="G199" i="6"/>
  <c r="F199" i="6"/>
  <c r="E199" i="6"/>
  <c r="B199" i="6"/>
  <c r="C199" i="6" s="1"/>
  <c r="G198" i="6"/>
  <c r="F198" i="6"/>
  <c r="E198" i="6"/>
  <c r="B198" i="6"/>
  <c r="C198" i="6" s="1"/>
  <c r="G197" i="6"/>
  <c r="F197" i="6"/>
  <c r="E197" i="6"/>
  <c r="B197" i="6"/>
  <c r="C197" i="6" s="1"/>
  <c r="G196" i="6"/>
  <c r="F196" i="6"/>
  <c r="E196" i="6"/>
  <c r="B196" i="6"/>
  <c r="C196" i="6" s="1"/>
  <c r="G195" i="6"/>
  <c r="F195" i="6"/>
  <c r="E195" i="6"/>
  <c r="B195" i="6"/>
  <c r="C195" i="6" s="1"/>
  <c r="G194" i="6"/>
  <c r="F194" i="6"/>
  <c r="E194" i="6"/>
  <c r="C194" i="6"/>
  <c r="B194" i="6"/>
  <c r="G193" i="6"/>
  <c r="F193" i="6"/>
  <c r="E193" i="6"/>
  <c r="B193" i="6"/>
  <c r="C193" i="6" s="1"/>
  <c r="G192" i="6"/>
  <c r="F192" i="6"/>
  <c r="E192" i="6"/>
  <c r="B192" i="6"/>
  <c r="C192" i="6" s="1"/>
  <c r="G191" i="6"/>
  <c r="F191" i="6"/>
  <c r="E191" i="6"/>
  <c r="B191" i="6"/>
  <c r="C191" i="6" s="1"/>
  <c r="G190" i="6"/>
  <c r="F190" i="6"/>
  <c r="E190" i="6"/>
  <c r="B190" i="6"/>
  <c r="C190" i="6" s="1"/>
  <c r="G189" i="6"/>
  <c r="F189" i="6"/>
  <c r="E189" i="6"/>
  <c r="B189" i="6"/>
  <c r="C189" i="6" s="1"/>
  <c r="G188" i="6"/>
  <c r="F188" i="6"/>
  <c r="E188" i="6"/>
  <c r="B188" i="6"/>
  <c r="C188" i="6" s="1"/>
  <c r="G187" i="6"/>
  <c r="F187" i="6"/>
  <c r="E187" i="6"/>
  <c r="B187" i="6"/>
  <c r="C187" i="6" s="1"/>
  <c r="G186" i="6"/>
  <c r="F186" i="6"/>
  <c r="E186" i="6"/>
  <c r="B186" i="6"/>
  <c r="C186" i="6" s="1"/>
  <c r="G185" i="6"/>
  <c r="F185" i="6"/>
  <c r="E185" i="6"/>
  <c r="B185" i="6"/>
  <c r="C185" i="6" s="1"/>
  <c r="G184" i="6"/>
  <c r="F184" i="6"/>
  <c r="E184" i="6"/>
  <c r="B184" i="6"/>
  <c r="C184" i="6" s="1"/>
  <c r="G183" i="6"/>
  <c r="F183" i="6"/>
  <c r="E183" i="6"/>
  <c r="C183" i="6"/>
  <c r="B183" i="6"/>
  <c r="G182" i="6"/>
  <c r="F182" i="6"/>
  <c r="E182" i="6"/>
  <c r="B182" i="6"/>
  <c r="C182" i="6" s="1"/>
  <c r="G181" i="6"/>
  <c r="F181" i="6"/>
  <c r="E181" i="6"/>
  <c r="B181" i="6"/>
  <c r="G180" i="6"/>
  <c r="F180" i="6"/>
  <c r="E180" i="6"/>
  <c r="B180" i="6"/>
  <c r="C180" i="6" s="1"/>
  <c r="G179" i="6"/>
  <c r="F179" i="6"/>
  <c r="E179" i="6"/>
  <c r="B179" i="6"/>
  <c r="C179" i="6" s="1"/>
  <c r="G178" i="6"/>
  <c r="F178" i="6"/>
  <c r="E178" i="6"/>
  <c r="B178" i="6"/>
  <c r="C178" i="6" s="1"/>
  <c r="G177" i="6"/>
  <c r="F177" i="6"/>
  <c r="E177" i="6"/>
  <c r="B177" i="6"/>
  <c r="C177" i="6" s="1"/>
  <c r="G176" i="6"/>
  <c r="F176" i="6"/>
  <c r="E176" i="6"/>
  <c r="B176" i="6"/>
  <c r="C176" i="6" s="1"/>
  <c r="G175" i="6"/>
  <c r="F175" i="6"/>
  <c r="E175" i="6"/>
  <c r="B175" i="6"/>
  <c r="G174" i="6"/>
  <c r="F174" i="6"/>
  <c r="E174" i="6"/>
  <c r="B174" i="6"/>
  <c r="C174" i="6" s="1"/>
  <c r="G173" i="6"/>
  <c r="F173" i="6"/>
  <c r="E173" i="6"/>
  <c r="B173" i="6"/>
  <c r="C173" i="6" s="1"/>
  <c r="G172" i="6"/>
  <c r="F172" i="6"/>
  <c r="E172" i="6"/>
  <c r="C172" i="6"/>
  <c r="B172" i="6"/>
  <c r="G171" i="6"/>
  <c r="F171" i="6"/>
  <c r="E171" i="6"/>
  <c r="B171" i="6"/>
  <c r="C171" i="6" s="1"/>
  <c r="G170" i="6"/>
  <c r="F170" i="6"/>
  <c r="E170" i="6"/>
  <c r="B170" i="6"/>
  <c r="C170" i="6" s="1"/>
  <c r="G169" i="6"/>
  <c r="F169" i="6"/>
  <c r="E169" i="6"/>
  <c r="B169" i="6"/>
  <c r="C169" i="6" s="1"/>
  <c r="G168" i="6"/>
  <c r="F168" i="6"/>
  <c r="E168" i="6"/>
  <c r="B168" i="6"/>
  <c r="C168" i="6" s="1"/>
  <c r="G167" i="6"/>
  <c r="F167" i="6"/>
  <c r="E167" i="6"/>
  <c r="B167" i="6"/>
  <c r="G166" i="6"/>
  <c r="F166" i="6"/>
  <c r="E166" i="6"/>
  <c r="B166" i="6"/>
  <c r="C166" i="6" s="1"/>
  <c r="G165" i="6"/>
  <c r="F165" i="6"/>
  <c r="E165" i="6"/>
  <c r="B165" i="6"/>
  <c r="C165" i="6" s="1"/>
  <c r="G164" i="6"/>
  <c r="F164" i="6"/>
  <c r="E164" i="6"/>
  <c r="B164" i="6"/>
  <c r="C164" i="6" s="1"/>
  <c r="G163" i="6"/>
  <c r="F163" i="6"/>
  <c r="E163" i="6"/>
  <c r="B163" i="6"/>
  <c r="C163" i="6" s="1"/>
  <c r="G162" i="6"/>
  <c r="F162" i="6"/>
  <c r="E162" i="6"/>
  <c r="B162" i="6"/>
  <c r="G161" i="6"/>
  <c r="F161" i="6"/>
  <c r="E161" i="6"/>
  <c r="B161" i="6"/>
  <c r="G160" i="6"/>
  <c r="F160" i="6"/>
  <c r="E160" i="6"/>
  <c r="B160" i="6"/>
  <c r="C160" i="6" s="1"/>
  <c r="G159" i="6"/>
  <c r="F159" i="6"/>
  <c r="E159" i="6"/>
  <c r="B159" i="6"/>
  <c r="C159" i="6" s="1"/>
  <c r="G158" i="6"/>
  <c r="F158" i="6"/>
  <c r="E158" i="6"/>
  <c r="B158" i="6"/>
  <c r="C158" i="6" s="1"/>
  <c r="G157" i="6"/>
  <c r="F157" i="6"/>
  <c r="E157" i="6"/>
  <c r="C157" i="6"/>
  <c r="B157" i="6"/>
  <c r="G156" i="6"/>
  <c r="F156" i="6"/>
  <c r="E156" i="6"/>
  <c r="B156" i="6"/>
  <c r="C156" i="6" s="1"/>
  <c r="G155" i="6"/>
  <c r="F155" i="6"/>
  <c r="E155" i="6"/>
  <c r="B155" i="6"/>
  <c r="C155" i="6" s="1"/>
  <c r="G154" i="6"/>
  <c r="F154" i="6"/>
  <c r="E154" i="6"/>
  <c r="B154" i="6"/>
  <c r="G153" i="6"/>
  <c r="F153" i="6"/>
  <c r="E153" i="6"/>
  <c r="B153" i="6"/>
  <c r="C153" i="6" s="1"/>
  <c r="G152" i="6"/>
  <c r="F152" i="6"/>
  <c r="E152" i="6"/>
  <c r="B152" i="6"/>
  <c r="C152" i="6" s="1"/>
  <c r="G151" i="6"/>
  <c r="F151" i="6"/>
  <c r="E151" i="6"/>
  <c r="B151" i="6"/>
  <c r="C151" i="6" s="1"/>
  <c r="G150" i="6"/>
  <c r="F150" i="6"/>
  <c r="E150" i="6"/>
  <c r="B150" i="6"/>
  <c r="C150" i="6" s="1"/>
  <c r="G149" i="6"/>
  <c r="F149" i="6"/>
  <c r="E149" i="6"/>
  <c r="B149" i="6"/>
  <c r="C149" i="6" s="1"/>
  <c r="G148" i="6"/>
  <c r="F148" i="6"/>
  <c r="E148" i="6"/>
  <c r="B148" i="6"/>
  <c r="C148" i="6" s="1"/>
  <c r="G147" i="6"/>
  <c r="F147" i="6"/>
  <c r="E147" i="6"/>
  <c r="B147" i="6"/>
  <c r="C147" i="6" s="1"/>
  <c r="G146" i="6"/>
  <c r="F146" i="6"/>
  <c r="E146" i="6"/>
  <c r="B146" i="6"/>
  <c r="G145" i="6"/>
  <c r="F145" i="6"/>
  <c r="E145" i="6"/>
  <c r="B145" i="6"/>
  <c r="C145" i="6" s="1"/>
  <c r="G144" i="6"/>
  <c r="F144" i="6"/>
  <c r="E144" i="6"/>
  <c r="C144" i="6"/>
  <c r="B144" i="6"/>
  <c r="G143" i="6"/>
  <c r="F143" i="6"/>
  <c r="E143" i="6"/>
  <c r="B143" i="6"/>
  <c r="C143" i="6" s="1"/>
  <c r="G142" i="6"/>
  <c r="F142" i="6"/>
  <c r="E142" i="6"/>
  <c r="B142" i="6"/>
  <c r="C142" i="6" s="1"/>
  <c r="G141" i="6"/>
  <c r="F141" i="6"/>
  <c r="E141" i="6"/>
  <c r="B141" i="6"/>
  <c r="C141" i="6" s="1"/>
  <c r="G140" i="6"/>
  <c r="F140" i="6"/>
  <c r="E140" i="6"/>
  <c r="B140" i="6"/>
  <c r="C140" i="6" s="1"/>
  <c r="G139" i="6"/>
  <c r="F139" i="6"/>
  <c r="E139" i="6"/>
  <c r="B139" i="6"/>
  <c r="C139" i="6" s="1"/>
  <c r="G138" i="6"/>
  <c r="F138" i="6"/>
  <c r="E138" i="6"/>
  <c r="B138" i="6"/>
  <c r="C138" i="6" s="1"/>
  <c r="G137" i="6"/>
  <c r="F137" i="6"/>
  <c r="E137" i="6"/>
  <c r="B137" i="6"/>
  <c r="G136" i="6"/>
  <c r="F136" i="6"/>
  <c r="E136" i="6"/>
  <c r="B136" i="6"/>
  <c r="C136" i="6" s="1"/>
  <c r="G135" i="6"/>
  <c r="F135" i="6"/>
  <c r="E135" i="6"/>
  <c r="B135" i="6"/>
  <c r="C135" i="6" s="1"/>
  <c r="G134" i="6"/>
  <c r="F134" i="6"/>
  <c r="E134" i="6"/>
  <c r="C134" i="6"/>
  <c r="B134" i="6"/>
  <c r="G133" i="6"/>
  <c r="F133" i="6"/>
  <c r="E133" i="6"/>
  <c r="B133" i="6"/>
  <c r="C133" i="6" s="1"/>
  <c r="G132" i="6"/>
  <c r="F132" i="6"/>
  <c r="E132" i="6"/>
  <c r="B132" i="6"/>
  <c r="C132" i="6" s="1"/>
  <c r="G131" i="6"/>
  <c r="F131" i="6"/>
  <c r="E131" i="6"/>
  <c r="B131" i="6"/>
  <c r="C131" i="6" s="1"/>
  <c r="G130" i="6"/>
  <c r="F130" i="6"/>
  <c r="E130" i="6"/>
  <c r="B130" i="6"/>
  <c r="G129" i="6"/>
  <c r="F129" i="6"/>
  <c r="E129" i="6"/>
  <c r="B129" i="6"/>
  <c r="C129" i="6" s="1"/>
  <c r="G128" i="6"/>
  <c r="F128" i="6"/>
  <c r="E128" i="6"/>
  <c r="B128" i="6"/>
  <c r="G127" i="6"/>
  <c r="F127" i="6"/>
  <c r="E127" i="6"/>
  <c r="B127" i="6"/>
  <c r="C127" i="6" s="1"/>
  <c r="G126" i="6"/>
  <c r="F126" i="6"/>
  <c r="E126" i="6"/>
  <c r="B126" i="6"/>
  <c r="C126" i="6" s="1"/>
  <c r="G125" i="6"/>
  <c r="F125" i="6"/>
  <c r="E125" i="6"/>
  <c r="B125" i="6"/>
  <c r="C125" i="6" s="1"/>
  <c r="G124" i="6"/>
  <c r="F124" i="6"/>
  <c r="E124" i="6"/>
  <c r="B124" i="6"/>
  <c r="C124" i="6" s="1"/>
  <c r="G123" i="6"/>
  <c r="F123" i="6"/>
  <c r="E123" i="6"/>
  <c r="B123" i="6"/>
  <c r="C123" i="6" s="1"/>
  <c r="G122" i="6"/>
  <c r="F122" i="6"/>
  <c r="E122" i="6"/>
  <c r="B122" i="6"/>
  <c r="C122" i="6" s="1"/>
  <c r="G121" i="6"/>
  <c r="F121" i="6"/>
  <c r="E121" i="6"/>
  <c r="B121" i="6"/>
  <c r="C121" i="6" s="1"/>
  <c r="G120" i="6"/>
  <c r="F120" i="6"/>
  <c r="E120" i="6"/>
  <c r="C120" i="6"/>
  <c r="B120" i="6"/>
  <c r="G119" i="6"/>
  <c r="F119" i="6"/>
  <c r="E119" i="6"/>
  <c r="B119" i="6"/>
  <c r="C119" i="6" s="1"/>
  <c r="G118" i="6"/>
  <c r="F118" i="6"/>
  <c r="E118" i="6"/>
  <c r="B118" i="6"/>
  <c r="C118" i="6" s="1"/>
  <c r="G117" i="6"/>
  <c r="F117" i="6"/>
  <c r="E117" i="6"/>
  <c r="B117" i="6"/>
  <c r="C117" i="6" s="1"/>
  <c r="G116" i="6"/>
  <c r="F116" i="6"/>
  <c r="E116" i="6"/>
  <c r="B116" i="6"/>
  <c r="C116" i="6" s="1"/>
  <c r="G115" i="6"/>
  <c r="F115" i="6"/>
  <c r="E115" i="6"/>
  <c r="B115" i="6"/>
  <c r="C115" i="6" s="1"/>
  <c r="G114" i="6"/>
  <c r="F114" i="6"/>
  <c r="E114" i="6"/>
  <c r="B114" i="6"/>
  <c r="C114" i="6" s="1"/>
  <c r="G113" i="6"/>
  <c r="F113" i="6"/>
  <c r="E113" i="6"/>
  <c r="B113" i="6"/>
  <c r="C113" i="6" s="1"/>
  <c r="G112" i="6"/>
  <c r="F112" i="6"/>
  <c r="E112" i="6"/>
  <c r="B112" i="6"/>
  <c r="C112" i="6" s="1"/>
  <c r="G111" i="6"/>
  <c r="F111" i="6"/>
  <c r="E111" i="6"/>
  <c r="B111" i="6"/>
  <c r="C111" i="6" s="1"/>
  <c r="G110" i="6"/>
  <c r="F110" i="6"/>
  <c r="E110" i="6"/>
  <c r="B110" i="6"/>
  <c r="G109" i="6"/>
  <c r="F109" i="6"/>
  <c r="E109" i="6"/>
  <c r="B109" i="6"/>
  <c r="G108" i="6"/>
  <c r="F108" i="6"/>
  <c r="E108" i="6"/>
  <c r="B108" i="6"/>
  <c r="G107" i="6"/>
  <c r="F107" i="6"/>
  <c r="E107" i="6"/>
  <c r="B107" i="6"/>
  <c r="G106" i="6"/>
  <c r="F106" i="6"/>
  <c r="E106" i="6"/>
  <c r="B106" i="6"/>
  <c r="C106" i="6" s="1"/>
  <c r="G105" i="6"/>
  <c r="F105" i="6"/>
  <c r="E105" i="6"/>
  <c r="B105" i="6"/>
  <c r="G104" i="6"/>
  <c r="F104" i="6"/>
  <c r="E104" i="6"/>
  <c r="C104" i="6"/>
  <c r="B104" i="6"/>
  <c r="G103" i="6"/>
  <c r="F103" i="6"/>
  <c r="E103" i="6"/>
  <c r="B103" i="6"/>
  <c r="C103" i="6" s="1"/>
  <c r="G102" i="6"/>
  <c r="F102" i="6"/>
  <c r="E102" i="6"/>
  <c r="B102" i="6"/>
  <c r="G101" i="6"/>
  <c r="F101" i="6"/>
  <c r="E101" i="6"/>
  <c r="B101" i="6"/>
  <c r="G100" i="6"/>
  <c r="F100" i="6"/>
  <c r="E100" i="6"/>
  <c r="B100" i="6"/>
  <c r="G99" i="6"/>
  <c r="F99" i="6"/>
  <c r="E99" i="6"/>
  <c r="B99" i="6"/>
  <c r="C99" i="6" s="1"/>
  <c r="G98" i="6"/>
  <c r="F98" i="6"/>
  <c r="E98" i="6"/>
  <c r="B98" i="6"/>
  <c r="C98" i="6" s="1"/>
  <c r="G97" i="6"/>
  <c r="F97" i="6"/>
  <c r="E97" i="6"/>
  <c r="B97" i="6"/>
  <c r="C97" i="6" s="1"/>
  <c r="G96" i="6"/>
  <c r="F96" i="6"/>
  <c r="E96" i="6"/>
  <c r="B96" i="6"/>
  <c r="C96" i="6" s="1"/>
  <c r="G95" i="6"/>
  <c r="F95" i="6"/>
  <c r="E95" i="6"/>
  <c r="B95" i="6"/>
  <c r="G94" i="6"/>
  <c r="F94" i="6"/>
  <c r="E94" i="6"/>
  <c r="B94" i="6"/>
  <c r="C94" i="6" s="1"/>
  <c r="G93" i="6"/>
  <c r="F93" i="6"/>
  <c r="E93" i="6"/>
  <c r="B93" i="6"/>
  <c r="C93" i="6" s="1"/>
  <c r="G92" i="6"/>
  <c r="F92" i="6"/>
  <c r="E92" i="6"/>
  <c r="B92" i="6"/>
  <c r="C92" i="6" s="1"/>
  <c r="G91" i="6"/>
  <c r="F91" i="6"/>
  <c r="E91" i="6"/>
  <c r="B91" i="6"/>
  <c r="G90" i="6"/>
  <c r="F90" i="6"/>
  <c r="E90" i="6"/>
  <c r="B90" i="6"/>
  <c r="G89" i="6"/>
  <c r="F89" i="6"/>
  <c r="E89" i="6"/>
  <c r="C89" i="6"/>
  <c r="B89" i="6"/>
  <c r="G88" i="6"/>
  <c r="F88" i="6"/>
  <c r="E88" i="6"/>
  <c r="B88" i="6"/>
  <c r="C88" i="6" s="1"/>
  <c r="G87" i="6"/>
  <c r="F87" i="6"/>
  <c r="E87" i="6"/>
  <c r="B87" i="6"/>
  <c r="C87" i="6" s="1"/>
  <c r="G86" i="6"/>
  <c r="F86" i="6"/>
  <c r="E86" i="6"/>
  <c r="B86" i="6"/>
  <c r="C86" i="6" s="1"/>
  <c r="G85" i="6"/>
  <c r="F85" i="6"/>
  <c r="E85" i="6"/>
  <c r="B85" i="6"/>
  <c r="G84" i="6"/>
  <c r="F84" i="6"/>
  <c r="E84" i="6"/>
  <c r="B84" i="6"/>
  <c r="C84" i="6" s="1"/>
  <c r="G83" i="6"/>
  <c r="F83" i="6"/>
  <c r="E83" i="6"/>
  <c r="B83" i="6"/>
  <c r="C83" i="6" s="1"/>
  <c r="G82" i="6"/>
  <c r="F82" i="6"/>
  <c r="E82" i="6"/>
  <c r="B82" i="6"/>
  <c r="C82" i="6" s="1"/>
  <c r="G81" i="6"/>
  <c r="F81" i="6"/>
  <c r="E81" i="6"/>
  <c r="B81" i="6"/>
  <c r="C81" i="6" s="1"/>
  <c r="E80" i="6"/>
  <c r="B80" i="6"/>
  <c r="G79" i="6"/>
  <c r="F79" i="6"/>
  <c r="E79" i="6"/>
  <c r="B79" i="6"/>
  <c r="C79" i="6" s="1"/>
  <c r="G78" i="6"/>
  <c r="F78" i="6"/>
  <c r="E78" i="6"/>
  <c r="B78" i="6"/>
  <c r="C78" i="6" s="1"/>
  <c r="G77" i="6"/>
  <c r="F77" i="6"/>
  <c r="E77" i="6"/>
  <c r="C77" i="6"/>
  <c r="B77" i="6"/>
  <c r="G76" i="6"/>
  <c r="F76" i="6"/>
  <c r="E76" i="6"/>
  <c r="B76" i="6"/>
  <c r="C76" i="6" s="1"/>
  <c r="G75" i="6"/>
  <c r="F75" i="6"/>
  <c r="E75" i="6"/>
  <c r="B75" i="6"/>
  <c r="C75" i="6" s="1"/>
  <c r="G74" i="6"/>
  <c r="F74" i="6"/>
  <c r="E74" i="6"/>
  <c r="B74" i="6"/>
  <c r="G73" i="6"/>
  <c r="F73" i="6"/>
  <c r="E73" i="6"/>
  <c r="B73" i="6"/>
  <c r="C73" i="6" s="1"/>
  <c r="G72" i="6"/>
  <c r="F72" i="6"/>
  <c r="E72" i="6"/>
  <c r="B72" i="6"/>
  <c r="C72" i="6" s="1"/>
  <c r="G71" i="6"/>
  <c r="F71" i="6"/>
  <c r="E71" i="6"/>
  <c r="B71" i="6"/>
  <c r="C71" i="6" s="1"/>
  <c r="G70" i="6"/>
  <c r="F70" i="6"/>
  <c r="E70" i="6"/>
  <c r="B70" i="6"/>
  <c r="C70" i="6" s="1"/>
  <c r="G69" i="6"/>
  <c r="F69" i="6"/>
  <c r="E69" i="6"/>
  <c r="B69" i="6"/>
  <c r="C69" i="6" s="1"/>
  <c r="G68" i="6"/>
  <c r="F68" i="6"/>
  <c r="E68" i="6"/>
  <c r="B68" i="6"/>
  <c r="C68" i="6" s="1"/>
  <c r="G67" i="6"/>
  <c r="F67" i="6"/>
  <c r="E67" i="6"/>
  <c r="B67" i="6"/>
  <c r="C67" i="6" s="1"/>
  <c r="G66" i="6"/>
  <c r="F66" i="6"/>
  <c r="E66" i="6"/>
  <c r="B66" i="6"/>
  <c r="C66" i="6" s="1"/>
  <c r="G65" i="6"/>
  <c r="F65" i="6"/>
  <c r="E65" i="6"/>
  <c r="B65" i="6"/>
  <c r="C65" i="6" s="1"/>
  <c r="G64" i="6"/>
  <c r="F64" i="6"/>
  <c r="E64" i="6"/>
  <c r="B64" i="6"/>
  <c r="C64" i="6" s="1"/>
  <c r="G63" i="6"/>
  <c r="F63" i="6"/>
  <c r="E63" i="6"/>
  <c r="B63" i="6"/>
  <c r="C63" i="6" s="1"/>
  <c r="G62" i="6"/>
  <c r="F62" i="6"/>
  <c r="E62" i="6"/>
  <c r="C62" i="6"/>
  <c r="B62" i="6"/>
  <c r="G61" i="6"/>
  <c r="F61" i="6"/>
  <c r="E61" i="6"/>
  <c r="B61" i="6"/>
  <c r="C61" i="6" s="1"/>
  <c r="G60" i="6"/>
  <c r="F60" i="6"/>
  <c r="E60" i="6"/>
  <c r="B60" i="6"/>
  <c r="C60" i="6" s="1"/>
  <c r="G59" i="6"/>
  <c r="F59" i="6"/>
  <c r="E59" i="6"/>
  <c r="B59" i="6"/>
  <c r="C59" i="6" s="1"/>
  <c r="G58" i="6"/>
  <c r="F58" i="6"/>
  <c r="E58" i="6"/>
  <c r="B58" i="6"/>
  <c r="C58" i="6" s="1"/>
  <c r="G57" i="6"/>
  <c r="F57" i="6"/>
  <c r="E57" i="6"/>
  <c r="B57" i="6"/>
  <c r="C57" i="6" s="1"/>
  <c r="G56" i="6"/>
  <c r="F56" i="6"/>
  <c r="E56" i="6"/>
  <c r="B56" i="6"/>
  <c r="C56" i="6" s="1"/>
  <c r="G55" i="6"/>
  <c r="F55" i="6"/>
  <c r="E55" i="6"/>
  <c r="B55" i="6"/>
  <c r="G54" i="6"/>
  <c r="F54" i="6"/>
  <c r="E54" i="6"/>
  <c r="B54" i="6"/>
  <c r="C54" i="6" s="1"/>
  <c r="G53" i="6"/>
  <c r="F53" i="6"/>
  <c r="E53" i="6"/>
  <c r="B53" i="6"/>
  <c r="C53" i="6" s="1"/>
  <c r="G52" i="6"/>
  <c r="F52" i="6"/>
  <c r="E52" i="6"/>
  <c r="B52" i="6"/>
  <c r="C52" i="6" s="1"/>
  <c r="G51" i="6"/>
  <c r="F51" i="6"/>
  <c r="E51" i="6"/>
  <c r="B51" i="6"/>
  <c r="G50" i="6"/>
  <c r="F50" i="6"/>
  <c r="E50" i="6"/>
  <c r="B50" i="6"/>
  <c r="G49" i="6"/>
  <c r="F49" i="6"/>
  <c r="E49" i="6"/>
  <c r="B49" i="6"/>
  <c r="G48" i="6"/>
  <c r="F48" i="6"/>
  <c r="E48" i="6"/>
  <c r="B48" i="6"/>
  <c r="G47" i="6"/>
  <c r="F47" i="6"/>
  <c r="E47" i="6"/>
  <c r="B47" i="6"/>
  <c r="C47" i="6" s="1"/>
  <c r="G46" i="6"/>
  <c r="F46" i="6"/>
  <c r="E46" i="6"/>
  <c r="B46" i="6"/>
  <c r="C46" i="6" s="1"/>
  <c r="G45" i="6"/>
  <c r="F45" i="6"/>
  <c r="E45" i="6"/>
  <c r="B45" i="6"/>
  <c r="C45" i="6" s="1"/>
  <c r="G44" i="6"/>
  <c r="F44" i="6"/>
  <c r="E44" i="6"/>
  <c r="B44" i="6"/>
  <c r="C44" i="6" s="1"/>
  <c r="G43" i="6"/>
  <c r="F43" i="6"/>
  <c r="E43" i="6"/>
  <c r="B43" i="6"/>
  <c r="C43" i="6" s="1"/>
  <c r="G42" i="6"/>
  <c r="F42" i="6"/>
  <c r="E42" i="6"/>
  <c r="B42" i="6"/>
  <c r="C42" i="6" s="1"/>
  <c r="G41" i="6"/>
  <c r="F41" i="6"/>
  <c r="E41" i="6"/>
  <c r="C41" i="6"/>
  <c r="B41" i="6"/>
  <c r="G40" i="6"/>
  <c r="F40" i="6"/>
  <c r="E40" i="6"/>
  <c r="B40" i="6"/>
  <c r="G39" i="6"/>
  <c r="F39" i="6"/>
  <c r="E39" i="6"/>
  <c r="B39" i="6"/>
  <c r="G38" i="6"/>
  <c r="F38" i="6"/>
  <c r="E38" i="6"/>
  <c r="B38" i="6"/>
  <c r="C38" i="6" s="1"/>
  <c r="G37" i="6"/>
  <c r="F37" i="6"/>
  <c r="E37" i="6"/>
  <c r="B37" i="6"/>
  <c r="C37" i="6" s="1"/>
  <c r="G36" i="6"/>
  <c r="F36" i="6"/>
  <c r="E36" i="6"/>
  <c r="B36" i="6"/>
  <c r="C36" i="6" s="1"/>
  <c r="G35" i="6"/>
  <c r="F35" i="6"/>
  <c r="E35" i="6"/>
  <c r="B35" i="6"/>
  <c r="C35" i="6" s="1"/>
  <c r="G34" i="6"/>
  <c r="F34" i="6"/>
  <c r="E34" i="6"/>
  <c r="B34" i="6"/>
  <c r="C34" i="6" s="1"/>
  <c r="G33" i="6"/>
  <c r="F33" i="6"/>
  <c r="E33" i="6"/>
  <c r="B33" i="6"/>
  <c r="G32" i="6"/>
  <c r="F32" i="6"/>
  <c r="E32" i="6"/>
  <c r="B32" i="6"/>
  <c r="G31" i="6"/>
  <c r="F31" i="6"/>
  <c r="E31" i="6"/>
  <c r="B31" i="6"/>
  <c r="C31" i="6" s="1"/>
  <c r="G30" i="6"/>
  <c r="F30" i="6"/>
  <c r="E30" i="6"/>
  <c r="B30" i="6"/>
  <c r="C30" i="6" s="1"/>
  <c r="G29" i="6"/>
  <c r="F29" i="6"/>
  <c r="E29" i="6"/>
  <c r="B29" i="6"/>
  <c r="C29" i="6" s="1"/>
  <c r="G28" i="6"/>
  <c r="F28" i="6"/>
  <c r="E28" i="6"/>
  <c r="B28" i="6"/>
  <c r="C28" i="6" s="1"/>
  <c r="G27" i="6"/>
  <c r="F27" i="6"/>
  <c r="E27" i="6"/>
  <c r="B27" i="6"/>
  <c r="C27" i="6" s="1"/>
  <c r="G26" i="6"/>
  <c r="F26" i="6"/>
  <c r="E26" i="6"/>
  <c r="B26" i="6"/>
  <c r="C26" i="6" s="1"/>
  <c r="G25" i="6"/>
  <c r="F25" i="6"/>
  <c r="E25" i="6"/>
  <c r="B25" i="6"/>
  <c r="C25" i="6" s="1"/>
  <c r="G24" i="6"/>
  <c r="F24" i="6"/>
  <c r="E24" i="6"/>
  <c r="B24" i="6"/>
  <c r="C24" i="6" s="1"/>
  <c r="G23" i="6"/>
  <c r="F23" i="6"/>
  <c r="E23" i="6"/>
  <c r="B23" i="6"/>
  <c r="C23" i="6" s="1"/>
  <c r="G22" i="6"/>
  <c r="F22" i="6"/>
  <c r="E22" i="6"/>
  <c r="B22" i="6"/>
  <c r="C22" i="6" s="1"/>
  <c r="G21" i="6"/>
  <c r="F21" i="6"/>
  <c r="E21" i="6"/>
  <c r="C21" i="6"/>
  <c r="B21" i="6"/>
  <c r="G20" i="6"/>
  <c r="F20" i="6"/>
  <c r="E20" i="6"/>
  <c r="B20" i="6"/>
  <c r="C20" i="6" s="1"/>
  <c r="G19" i="6"/>
  <c r="F19" i="6"/>
  <c r="E19" i="6"/>
  <c r="B19" i="6"/>
  <c r="C19" i="6" s="1"/>
  <c r="G18" i="6"/>
  <c r="F18" i="6"/>
  <c r="E18" i="6"/>
  <c r="B18" i="6"/>
  <c r="C18" i="6" s="1"/>
  <c r="G17" i="6"/>
  <c r="F17" i="6"/>
  <c r="E17" i="6"/>
  <c r="B17" i="6"/>
  <c r="C17" i="6" s="1"/>
  <c r="G16" i="6"/>
  <c r="F16" i="6"/>
  <c r="E16" i="6"/>
  <c r="B16" i="6"/>
  <c r="C16" i="6" s="1"/>
  <c r="G15" i="6"/>
  <c r="F15" i="6"/>
  <c r="E15" i="6"/>
  <c r="B15" i="6"/>
  <c r="C15" i="6" s="1"/>
  <c r="G14" i="6"/>
  <c r="F14" i="6"/>
  <c r="E14" i="6"/>
  <c r="B14" i="6"/>
  <c r="C14" i="6" s="1"/>
  <c r="G13" i="6"/>
  <c r="F13" i="6"/>
  <c r="E13" i="6"/>
  <c r="B13" i="6"/>
  <c r="C13" i="6" s="1"/>
  <c r="G12" i="6"/>
  <c r="F12" i="6"/>
  <c r="E12" i="6"/>
  <c r="B12" i="6"/>
  <c r="C12" i="6" s="1"/>
  <c r="G11" i="6"/>
  <c r="F11" i="6"/>
  <c r="E11" i="6"/>
  <c r="B11" i="6"/>
  <c r="C11" i="6" s="1"/>
  <c r="G10" i="6"/>
  <c r="F10" i="6"/>
  <c r="E10" i="6"/>
  <c r="B10" i="6"/>
  <c r="C10" i="6" s="1"/>
  <c r="G9" i="6"/>
  <c r="F9" i="6"/>
  <c r="E9" i="6"/>
  <c r="B9" i="6"/>
  <c r="C9" i="6" s="1"/>
  <c r="G8" i="6"/>
  <c r="F8" i="6"/>
  <c r="E8" i="6"/>
  <c r="B8" i="6"/>
  <c r="C8" i="6" s="1"/>
  <c r="G7" i="6"/>
  <c r="F7" i="6"/>
  <c r="E7" i="6"/>
  <c r="B7" i="6"/>
  <c r="C7" i="6" s="1"/>
  <c r="G6" i="6"/>
  <c r="F6" i="6"/>
  <c r="E6" i="6"/>
  <c r="B6" i="6"/>
  <c r="C6" i="6" s="1"/>
  <c r="G5" i="6"/>
  <c r="F5" i="6"/>
  <c r="E5" i="6"/>
  <c r="C5" i="6"/>
  <c r="B5" i="6"/>
  <c r="G4" i="6"/>
  <c r="F4" i="6"/>
  <c r="E4" i="6"/>
  <c r="B4" i="6"/>
  <c r="C4" i="6" s="1"/>
  <c r="G3" i="6"/>
  <c r="F3" i="6"/>
  <c r="E3" i="6"/>
  <c r="B3" i="6"/>
  <c r="C3" i="6" s="1"/>
  <c r="G2" i="6"/>
  <c r="F2" i="6"/>
  <c r="E2" i="6"/>
  <c r="B2" i="6"/>
  <c r="C2" i="6" s="1"/>
  <c r="O528" i="9" l="1"/>
  <c r="O4" i="9"/>
  <c r="L484" i="9"/>
  <c r="O496" i="9"/>
  <c r="O512" i="9"/>
  <c r="M3" i="9"/>
  <c r="L3" i="9"/>
  <c r="L4" i="9"/>
  <c r="N4" i="9"/>
  <c r="M4" i="9"/>
  <c r="J4" i="9"/>
  <c r="K4" i="9" s="1"/>
  <c r="O6" i="9"/>
  <c r="I6" i="9"/>
  <c r="O7" i="9"/>
  <c r="J7" i="9"/>
  <c r="K7" i="9" s="1"/>
  <c r="L8" i="9"/>
  <c r="N8" i="9"/>
  <c r="M8" i="9"/>
  <c r="J8" i="9"/>
  <c r="K8" i="9" s="1"/>
  <c r="O8" i="9"/>
  <c r="M11" i="9"/>
  <c r="L11" i="9"/>
  <c r="L12" i="9"/>
  <c r="O12" i="9"/>
  <c r="I12" i="9"/>
  <c r="N12" i="9"/>
  <c r="M12" i="9"/>
  <c r="J12" i="9"/>
  <c r="K12" i="9" s="1"/>
  <c r="O15" i="9"/>
  <c r="J15" i="9"/>
  <c r="K15" i="9" s="1"/>
  <c r="L16" i="9"/>
  <c r="N16" i="9"/>
  <c r="M16" i="9"/>
  <c r="J16" i="9"/>
  <c r="K16" i="9" s="1"/>
  <c r="O16" i="9"/>
  <c r="I16" i="9"/>
  <c r="M19" i="9"/>
  <c r="L19" i="9"/>
  <c r="L20" i="9"/>
  <c r="N20" i="9"/>
  <c r="M20" i="9"/>
  <c r="J20" i="9"/>
  <c r="K20" i="9" s="1"/>
  <c r="O20" i="9"/>
  <c r="I20" i="9"/>
  <c r="O23" i="9"/>
  <c r="J23" i="9"/>
  <c r="K23" i="9" s="1"/>
  <c r="L24" i="9"/>
  <c r="O24" i="9"/>
  <c r="I24" i="9"/>
  <c r="N24" i="9"/>
  <c r="M24" i="9"/>
  <c r="J24" i="9"/>
  <c r="K24" i="9" s="1"/>
  <c r="M27" i="9"/>
  <c r="L27" i="9"/>
  <c r="L28" i="9"/>
  <c r="M28" i="9"/>
  <c r="J28" i="9"/>
  <c r="K28" i="9" s="1"/>
  <c r="I28" i="9"/>
  <c r="O28" i="9"/>
  <c r="N28" i="9"/>
  <c r="J31" i="9"/>
  <c r="K31" i="9" s="1"/>
  <c r="O31" i="9"/>
  <c r="L32" i="9"/>
  <c r="O32" i="9"/>
  <c r="I32" i="9"/>
  <c r="M32" i="9"/>
  <c r="N32" i="9"/>
  <c r="J32" i="9"/>
  <c r="K32" i="9" s="1"/>
  <c r="L35" i="9"/>
  <c r="M35" i="9"/>
  <c r="L36" i="9"/>
  <c r="O36" i="9"/>
  <c r="I36" i="9"/>
  <c r="M36" i="9"/>
  <c r="N36" i="9"/>
  <c r="J36" i="9"/>
  <c r="K36" i="9" s="1"/>
  <c r="O39" i="9"/>
  <c r="J39" i="9"/>
  <c r="K39" i="9" s="1"/>
  <c r="L40" i="9"/>
  <c r="J40" i="9"/>
  <c r="K40" i="9" s="1"/>
  <c r="N40" i="9"/>
  <c r="I40" i="9"/>
  <c r="O40" i="9"/>
  <c r="M40" i="9"/>
  <c r="L43" i="9"/>
  <c r="M43" i="9"/>
  <c r="L44" i="9"/>
  <c r="M44" i="9"/>
  <c r="O44" i="9"/>
  <c r="I44" i="9"/>
  <c r="J44" i="9"/>
  <c r="K44" i="9" s="1"/>
  <c r="N44" i="9"/>
  <c r="J47" i="9"/>
  <c r="K47" i="9" s="1"/>
  <c r="O47" i="9"/>
  <c r="L48" i="9"/>
  <c r="M48" i="9"/>
  <c r="O48" i="9"/>
  <c r="I48" i="9"/>
  <c r="J48" i="9"/>
  <c r="K48" i="9" s="1"/>
  <c r="N48" i="9"/>
  <c r="M51" i="9"/>
  <c r="L51" i="9"/>
  <c r="L52" i="9"/>
  <c r="N52" i="9"/>
  <c r="J52" i="9"/>
  <c r="K52" i="9" s="1"/>
  <c r="M52" i="9"/>
  <c r="I52" i="9"/>
  <c r="O52" i="9"/>
  <c r="J55" i="9"/>
  <c r="K55" i="9" s="1"/>
  <c r="O55" i="9"/>
  <c r="L56" i="9"/>
  <c r="O56" i="9"/>
  <c r="I56" i="9"/>
  <c r="M56" i="9"/>
  <c r="N56" i="9"/>
  <c r="J56" i="9"/>
  <c r="K56" i="9" s="1"/>
  <c r="M59" i="9"/>
  <c r="L59" i="9"/>
  <c r="L60" i="9"/>
  <c r="J60" i="9"/>
  <c r="K60" i="9" s="1"/>
  <c r="N60" i="9"/>
  <c r="O60" i="9"/>
  <c r="M60" i="9"/>
  <c r="I60" i="9"/>
  <c r="J63" i="9"/>
  <c r="K63" i="9" s="1"/>
  <c r="O63" i="9"/>
  <c r="L64" i="9"/>
  <c r="M64" i="9"/>
  <c r="O64" i="9"/>
  <c r="I64" i="9"/>
  <c r="N64" i="9"/>
  <c r="J64" i="9"/>
  <c r="K64" i="9" s="1"/>
  <c r="M68" i="9"/>
  <c r="L68" i="9"/>
  <c r="O68" i="9"/>
  <c r="L72" i="9"/>
  <c r="O72" i="9"/>
  <c r="J72" i="9"/>
  <c r="K72" i="9" s="1"/>
  <c r="M76" i="9"/>
  <c r="L76" i="9"/>
  <c r="O76" i="9"/>
  <c r="O80" i="9"/>
  <c r="J80" i="9"/>
  <c r="K80" i="9" s="1"/>
  <c r="L80" i="9"/>
  <c r="O84" i="9"/>
  <c r="L84" i="9"/>
  <c r="M84" i="9"/>
  <c r="L88" i="9"/>
  <c r="O88" i="9"/>
  <c r="J88" i="9"/>
  <c r="K88" i="9" s="1"/>
  <c r="L92" i="9"/>
  <c r="O92" i="9"/>
  <c r="M92" i="9"/>
  <c r="L96" i="9"/>
  <c r="J96" i="9"/>
  <c r="K96" i="9" s="1"/>
  <c r="O96" i="9"/>
  <c r="O100" i="9"/>
  <c r="L100" i="9"/>
  <c r="M100" i="9"/>
  <c r="L104" i="9"/>
  <c r="O104" i="9"/>
  <c r="J104" i="9"/>
  <c r="K104" i="9" s="1"/>
  <c r="L108" i="9"/>
  <c r="O108" i="9"/>
  <c r="M108" i="9"/>
  <c r="L112" i="9"/>
  <c r="O112" i="9"/>
  <c r="J112" i="9"/>
  <c r="K112" i="9" s="1"/>
  <c r="O116" i="9"/>
  <c r="L116" i="9"/>
  <c r="M116" i="9"/>
  <c r="L120" i="9"/>
  <c r="O120" i="9"/>
  <c r="J120" i="9"/>
  <c r="K120" i="9" s="1"/>
  <c r="L124" i="9"/>
  <c r="O124" i="9"/>
  <c r="M124" i="9"/>
  <c r="L128" i="9"/>
  <c r="J128" i="9"/>
  <c r="K128" i="9" s="1"/>
  <c r="O128" i="9"/>
  <c r="O132" i="9"/>
  <c r="L132" i="9"/>
  <c r="M132" i="9"/>
  <c r="L136" i="9"/>
  <c r="O136" i="9"/>
  <c r="J136" i="9"/>
  <c r="K136" i="9" s="1"/>
  <c r="L140" i="9"/>
  <c r="O140" i="9"/>
  <c r="M140" i="9"/>
  <c r="L144" i="9"/>
  <c r="O144" i="9"/>
  <c r="J144" i="9"/>
  <c r="K144" i="9" s="1"/>
  <c r="O148" i="9"/>
  <c r="L148" i="9"/>
  <c r="M148" i="9"/>
  <c r="L152" i="9"/>
  <c r="O152" i="9"/>
  <c r="J152" i="9"/>
  <c r="K152" i="9" s="1"/>
  <c r="L156" i="9"/>
  <c r="O156" i="9"/>
  <c r="M156" i="9"/>
  <c r="L160" i="9"/>
  <c r="J160" i="9"/>
  <c r="K160" i="9" s="1"/>
  <c r="O160" i="9"/>
  <c r="O164" i="9"/>
  <c r="L164" i="9"/>
  <c r="M164" i="9"/>
  <c r="L168" i="9"/>
  <c r="O168" i="9"/>
  <c r="J168" i="9"/>
  <c r="K168" i="9" s="1"/>
  <c r="L172" i="9"/>
  <c r="O172" i="9"/>
  <c r="M172" i="9"/>
  <c r="L176" i="9"/>
  <c r="O176" i="9"/>
  <c r="J176" i="9"/>
  <c r="K176" i="9" s="1"/>
  <c r="O180" i="9"/>
  <c r="L180" i="9"/>
  <c r="M180" i="9"/>
  <c r="L184" i="9"/>
  <c r="O184" i="9"/>
  <c r="J184" i="9"/>
  <c r="K184" i="9" s="1"/>
  <c r="L188" i="9"/>
  <c r="O188" i="9"/>
  <c r="M188" i="9"/>
  <c r="L192" i="9"/>
  <c r="J192" i="9"/>
  <c r="K192" i="9" s="1"/>
  <c r="O192" i="9"/>
  <c r="O196" i="9"/>
  <c r="L196" i="9"/>
  <c r="M196" i="9"/>
  <c r="L200" i="9"/>
  <c r="O200" i="9"/>
  <c r="J200" i="9"/>
  <c r="K200" i="9" s="1"/>
  <c r="L204" i="9"/>
  <c r="O204" i="9"/>
  <c r="M204" i="9"/>
  <c r="L208" i="9"/>
  <c r="O208" i="9"/>
  <c r="J208" i="9"/>
  <c r="K208" i="9" s="1"/>
  <c r="O212" i="9"/>
  <c r="L212" i="9"/>
  <c r="M212" i="9"/>
  <c r="L216" i="9"/>
  <c r="O216" i="9"/>
  <c r="J216" i="9"/>
  <c r="K216" i="9" s="1"/>
  <c r="L220" i="9"/>
  <c r="O220" i="9"/>
  <c r="M220" i="9"/>
  <c r="L224" i="9"/>
  <c r="J224" i="9"/>
  <c r="K224" i="9" s="1"/>
  <c r="O224" i="9"/>
  <c r="O228" i="9"/>
  <c r="L228" i="9"/>
  <c r="M228" i="9"/>
  <c r="L232" i="9"/>
  <c r="O232" i="9"/>
  <c r="J232" i="9"/>
  <c r="K232" i="9" s="1"/>
  <c r="L236" i="9"/>
  <c r="O236" i="9"/>
  <c r="M236" i="9"/>
  <c r="L240" i="9"/>
  <c r="O240" i="9"/>
  <c r="J240" i="9"/>
  <c r="K240" i="9" s="1"/>
  <c r="O244" i="9"/>
  <c r="L244" i="9"/>
  <c r="M244" i="9"/>
  <c r="L248" i="9"/>
  <c r="O248" i="9"/>
  <c r="J248" i="9"/>
  <c r="K248" i="9" s="1"/>
  <c r="L252" i="9"/>
  <c r="O252" i="9"/>
  <c r="M252" i="9"/>
  <c r="L256" i="9"/>
  <c r="J256" i="9"/>
  <c r="K256" i="9" s="1"/>
  <c r="O256" i="9"/>
  <c r="O260" i="9"/>
  <c r="L260" i="9"/>
  <c r="M260" i="9"/>
  <c r="L264" i="9"/>
  <c r="O264" i="9"/>
  <c r="J264" i="9"/>
  <c r="K264" i="9" s="1"/>
  <c r="L268" i="9"/>
  <c r="O268" i="9"/>
  <c r="M268" i="9"/>
  <c r="L272" i="9"/>
  <c r="O272" i="9"/>
  <c r="J272" i="9"/>
  <c r="K272" i="9" s="1"/>
  <c r="O276" i="9"/>
  <c r="L276" i="9"/>
  <c r="M276" i="9"/>
  <c r="L280" i="9"/>
  <c r="O280" i="9"/>
  <c r="J280" i="9"/>
  <c r="K280" i="9" s="1"/>
  <c r="L284" i="9"/>
  <c r="O284" i="9"/>
  <c r="M284" i="9"/>
  <c r="L288" i="9"/>
  <c r="J288" i="9"/>
  <c r="K288" i="9" s="1"/>
  <c r="O288" i="9"/>
  <c r="O292" i="9"/>
  <c r="L292" i="9"/>
  <c r="M292" i="9"/>
  <c r="L296" i="9"/>
  <c r="O296" i="9"/>
  <c r="J296" i="9"/>
  <c r="K296" i="9" s="1"/>
  <c r="L300" i="9"/>
  <c r="O300" i="9"/>
  <c r="M300" i="9"/>
  <c r="L304" i="9"/>
  <c r="O304" i="9"/>
  <c r="J304" i="9"/>
  <c r="K304" i="9" s="1"/>
  <c r="O308" i="9"/>
  <c r="L308" i="9"/>
  <c r="M308" i="9"/>
  <c r="L312" i="9"/>
  <c r="O312" i="9"/>
  <c r="J312" i="9"/>
  <c r="K312" i="9" s="1"/>
  <c r="L316" i="9"/>
  <c r="O316" i="9"/>
  <c r="M316" i="9"/>
  <c r="L320" i="9"/>
  <c r="J320" i="9"/>
  <c r="K320" i="9" s="1"/>
  <c r="O320" i="9"/>
  <c r="O324" i="9"/>
  <c r="L324" i="9"/>
  <c r="M324" i="9"/>
  <c r="L328" i="9"/>
  <c r="O328" i="9"/>
  <c r="J328" i="9"/>
  <c r="K328" i="9" s="1"/>
  <c r="L332" i="9"/>
  <c r="O332" i="9"/>
  <c r="M332" i="9"/>
  <c r="L336" i="9"/>
  <c r="O336" i="9"/>
  <c r="J336" i="9"/>
  <c r="K336" i="9" s="1"/>
  <c r="O340" i="9"/>
  <c r="L340" i="9"/>
  <c r="M340" i="9"/>
  <c r="L344" i="9"/>
  <c r="O344" i="9"/>
  <c r="J344" i="9"/>
  <c r="K344" i="9" s="1"/>
  <c r="L348" i="9"/>
  <c r="O348" i="9"/>
  <c r="M348" i="9"/>
  <c r="N352" i="9"/>
  <c r="L352" i="9"/>
  <c r="M356" i="9"/>
  <c r="L356" i="9"/>
  <c r="N360" i="9"/>
  <c r="I360" i="9"/>
  <c r="M364" i="9"/>
  <c r="N364" i="9"/>
  <c r="L364" i="9"/>
  <c r="I368" i="9"/>
  <c r="L368" i="9"/>
  <c r="M372" i="9"/>
  <c r="N372" i="9"/>
  <c r="I376" i="9"/>
  <c r="N376" i="9"/>
  <c r="L376" i="9"/>
  <c r="N380" i="9"/>
  <c r="L380" i="9"/>
  <c r="N384" i="9"/>
  <c r="L384" i="9"/>
  <c r="M388" i="9"/>
  <c r="L388" i="9"/>
  <c r="N392" i="9"/>
  <c r="I392" i="9"/>
  <c r="M396" i="9"/>
  <c r="L396" i="9"/>
  <c r="N396" i="9"/>
  <c r="I400" i="9"/>
  <c r="L400" i="9"/>
  <c r="M404" i="9"/>
  <c r="N404" i="9"/>
  <c r="N408" i="9"/>
  <c r="I408" i="9"/>
  <c r="L408" i="9"/>
  <c r="N412" i="9"/>
  <c r="L412" i="9"/>
  <c r="N416" i="9"/>
  <c r="L416" i="9"/>
  <c r="M420" i="9"/>
  <c r="L420" i="9"/>
  <c r="N424" i="9"/>
  <c r="I424" i="9"/>
  <c r="M428" i="9"/>
  <c r="N428" i="9"/>
  <c r="L428" i="9"/>
  <c r="I432" i="9"/>
  <c r="L432" i="9"/>
  <c r="M436" i="9"/>
  <c r="N436" i="9"/>
  <c r="I440" i="9"/>
  <c r="N440" i="9"/>
  <c r="L440" i="9"/>
  <c r="N444" i="9"/>
  <c r="L444" i="9"/>
  <c r="N448" i="9"/>
  <c r="L448" i="9"/>
  <c r="M452" i="9"/>
  <c r="L452" i="9"/>
  <c r="N456" i="9"/>
  <c r="I456" i="9"/>
  <c r="M460" i="9"/>
  <c r="N460" i="9"/>
  <c r="L460" i="9"/>
  <c r="I464" i="9"/>
  <c r="L464" i="9"/>
  <c r="M468" i="9"/>
  <c r="N468" i="9"/>
  <c r="N472" i="9"/>
  <c r="I472" i="9"/>
  <c r="L472" i="9"/>
  <c r="I488" i="9"/>
  <c r="N500" i="9"/>
  <c r="L516" i="9"/>
  <c r="L476" i="9"/>
  <c r="L492" i="9"/>
  <c r="N504" i="9"/>
  <c r="O520" i="9"/>
  <c r="L480" i="9"/>
  <c r="N492" i="9"/>
  <c r="N508" i="9"/>
  <c r="L524" i="9"/>
  <c r="N5" i="9"/>
  <c r="I5" i="9"/>
  <c r="O5" i="9"/>
  <c r="M5" i="9"/>
  <c r="L5" i="9"/>
  <c r="N9" i="9"/>
  <c r="I9" i="9"/>
  <c r="L9" i="9"/>
  <c r="J9" i="9"/>
  <c r="K9" i="9" s="1"/>
  <c r="O9" i="9"/>
  <c r="N13" i="9"/>
  <c r="I13" i="9"/>
  <c r="O13" i="9"/>
  <c r="M13" i="9"/>
  <c r="L13" i="9"/>
  <c r="N17" i="9"/>
  <c r="I17" i="9"/>
  <c r="L17" i="9"/>
  <c r="J17" i="9"/>
  <c r="K17" i="9" s="1"/>
  <c r="O17" i="9"/>
  <c r="N21" i="9"/>
  <c r="I21" i="9"/>
  <c r="O21" i="9"/>
  <c r="M21" i="9"/>
  <c r="L21" i="9"/>
  <c r="N25" i="9"/>
  <c r="I25" i="9"/>
  <c r="L25" i="9"/>
  <c r="J25" i="9"/>
  <c r="K25" i="9" s="1"/>
  <c r="O25" i="9"/>
  <c r="N29" i="9"/>
  <c r="I29" i="9"/>
  <c r="O29" i="9"/>
  <c r="M29" i="9"/>
  <c r="L29" i="9"/>
  <c r="N33" i="9"/>
  <c r="I33" i="9"/>
  <c r="L33" i="9"/>
  <c r="J33" i="9"/>
  <c r="K33" i="9" s="1"/>
  <c r="O33" i="9"/>
  <c r="N37" i="9"/>
  <c r="I37" i="9"/>
  <c r="O37" i="9"/>
  <c r="M37" i="9"/>
  <c r="L37" i="9"/>
  <c r="N41" i="9"/>
  <c r="I41" i="9"/>
  <c r="L41" i="9"/>
  <c r="J41" i="9"/>
  <c r="K41" i="9" s="1"/>
  <c r="O41" i="9"/>
  <c r="N45" i="9"/>
  <c r="I45" i="9"/>
  <c r="O45" i="9"/>
  <c r="M45" i="9"/>
  <c r="L45" i="9"/>
  <c r="N49" i="9"/>
  <c r="I49" i="9"/>
  <c r="L49" i="9"/>
  <c r="J49" i="9"/>
  <c r="K49" i="9" s="1"/>
  <c r="O49" i="9"/>
  <c r="N53" i="9"/>
  <c r="I53" i="9"/>
  <c r="O53" i="9"/>
  <c r="M53" i="9"/>
  <c r="L53" i="9"/>
  <c r="N57" i="9"/>
  <c r="I57" i="9"/>
  <c r="L57" i="9"/>
  <c r="J57" i="9"/>
  <c r="K57" i="9" s="1"/>
  <c r="O57" i="9"/>
  <c r="N61" i="9"/>
  <c r="I61" i="9"/>
  <c r="O61" i="9"/>
  <c r="M61" i="9"/>
  <c r="L61" i="9"/>
  <c r="N65" i="9"/>
  <c r="I65" i="9"/>
  <c r="M65" i="9"/>
  <c r="L65" i="9"/>
  <c r="J65" i="9"/>
  <c r="K65" i="9" s="1"/>
  <c r="O65" i="9"/>
  <c r="L69" i="9"/>
  <c r="O69" i="9"/>
  <c r="I69" i="9"/>
  <c r="M69" i="9"/>
  <c r="J69" i="9"/>
  <c r="K69" i="9" s="1"/>
  <c r="N69" i="9"/>
  <c r="L73" i="9"/>
  <c r="M73" i="9"/>
  <c r="I73" i="9"/>
  <c r="O73" i="9"/>
  <c r="N73" i="9"/>
  <c r="J73" i="9"/>
  <c r="K73" i="9" s="1"/>
  <c r="L77" i="9"/>
  <c r="O77" i="9"/>
  <c r="I77" i="9"/>
  <c r="N77" i="9"/>
  <c r="M77" i="9"/>
  <c r="J77" i="9"/>
  <c r="K77" i="9" s="1"/>
  <c r="L81" i="9"/>
  <c r="M81" i="9"/>
  <c r="J81" i="9"/>
  <c r="K81" i="9" s="1"/>
  <c r="I81" i="9"/>
  <c r="O81" i="9"/>
  <c r="N81" i="9"/>
  <c r="L85" i="9"/>
  <c r="O85" i="9"/>
  <c r="I85" i="9"/>
  <c r="M85" i="9"/>
  <c r="J85" i="9"/>
  <c r="K85" i="9" s="1"/>
  <c r="N85" i="9"/>
  <c r="L89" i="9"/>
  <c r="M89" i="9"/>
  <c r="N89" i="9"/>
  <c r="O89" i="9"/>
  <c r="J89" i="9"/>
  <c r="K89" i="9" s="1"/>
  <c r="I89" i="9"/>
  <c r="L93" i="9"/>
  <c r="O93" i="9"/>
  <c r="I93" i="9"/>
  <c r="J93" i="9"/>
  <c r="K93" i="9" s="1"/>
  <c r="N93" i="9"/>
  <c r="M93" i="9"/>
  <c r="L97" i="9"/>
  <c r="M97" i="9"/>
  <c r="O97" i="9"/>
  <c r="J97" i="9"/>
  <c r="K97" i="9" s="1"/>
  <c r="I97" i="9"/>
  <c r="N97" i="9"/>
  <c r="L101" i="9"/>
  <c r="O101" i="9"/>
  <c r="I101" i="9"/>
  <c r="M101" i="9"/>
  <c r="N101" i="9"/>
  <c r="J101" i="9"/>
  <c r="K101" i="9" s="1"/>
  <c r="L105" i="9"/>
  <c r="M105" i="9"/>
  <c r="I105" i="9"/>
  <c r="O105" i="9"/>
  <c r="N105" i="9"/>
  <c r="J105" i="9"/>
  <c r="K105" i="9" s="1"/>
  <c r="L109" i="9"/>
  <c r="O109" i="9"/>
  <c r="I109" i="9"/>
  <c r="N109" i="9"/>
  <c r="J109" i="9"/>
  <c r="K109" i="9" s="1"/>
  <c r="M109" i="9"/>
  <c r="L113" i="9"/>
  <c r="M113" i="9"/>
  <c r="J113" i="9"/>
  <c r="K113" i="9" s="1"/>
  <c r="N113" i="9"/>
  <c r="I113" i="9"/>
  <c r="O113" i="9"/>
  <c r="L117" i="9"/>
  <c r="O117" i="9"/>
  <c r="I117" i="9"/>
  <c r="N117" i="9"/>
  <c r="M117" i="9"/>
  <c r="J117" i="9"/>
  <c r="K117" i="9" s="1"/>
  <c r="L121" i="9"/>
  <c r="M121" i="9"/>
  <c r="N121" i="9"/>
  <c r="O121" i="9"/>
  <c r="J121" i="9"/>
  <c r="K121" i="9" s="1"/>
  <c r="I121" i="9"/>
  <c r="L125" i="9"/>
  <c r="O125" i="9"/>
  <c r="I125" i="9"/>
  <c r="J125" i="9"/>
  <c r="K125" i="9" s="1"/>
  <c r="M125" i="9"/>
  <c r="N125" i="9"/>
  <c r="L129" i="9"/>
  <c r="M129" i="9"/>
  <c r="O129" i="9"/>
  <c r="N129" i="9"/>
  <c r="J129" i="9"/>
  <c r="K129" i="9" s="1"/>
  <c r="I129" i="9"/>
  <c r="L133" i="9"/>
  <c r="O133" i="9"/>
  <c r="I133" i="9"/>
  <c r="M133" i="9"/>
  <c r="N133" i="9"/>
  <c r="J133" i="9"/>
  <c r="K133" i="9" s="1"/>
  <c r="L137" i="9"/>
  <c r="M137" i="9"/>
  <c r="I137" i="9"/>
  <c r="J137" i="9"/>
  <c r="K137" i="9" s="1"/>
  <c r="O137" i="9"/>
  <c r="N137" i="9"/>
  <c r="L141" i="9"/>
  <c r="O141" i="9"/>
  <c r="I141" i="9"/>
  <c r="N141" i="9"/>
  <c r="M141" i="9"/>
  <c r="J141" i="9"/>
  <c r="K141" i="9" s="1"/>
  <c r="L145" i="9"/>
  <c r="M145" i="9"/>
  <c r="J145" i="9"/>
  <c r="K145" i="9" s="1"/>
  <c r="O145" i="9"/>
  <c r="N145" i="9"/>
  <c r="I145" i="9"/>
  <c r="L149" i="9"/>
  <c r="O149" i="9"/>
  <c r="I149" i="9"/>
  <c r="N149" i="9"/>
  <c r="M149" i="9"/>
  <c r="J149" i="9"/>
  <c r="K149" i="9" s="1"/>
  <c r="L153" i="9"/>
  <c r="M153" i="9"/>
  <c r="N153" i="9"/>
  <c r="I153" i="9"/>
  <c r="O153" i="9"/>
  <c r="J153" i="9"/>
  <c r="K153" i="9" s="1"/>
  <c r="L157" i="9"/>
  <c r="O157" i="9"/>
  <c r="I157" i="9"/>
  <c r="J157" i="9"/>
  <c r="K157" i="9" s="1"/>
  <c r="N157" i="9"/>
  <c r="M157" i="9"/>
  <c r="L161" i="9"/>
  <c r="M161" i="9"/>
  <c r="O161" i="9"/>
  <c r="N161" i="9"/>
  <c r="J161" i="9"/>
  <c r="K161" i="9" s="1"/>
  <c r="I161" i="9"/>
  <c r="L165" i="9"/>
  <c r="O165" i="9"/>
  <c r="I165" i="9"/>
  <c r="M165" i="9"/>
  <c r="N165" i="9"/>
  <c r="J165" i="9"/>
  <c r="K165" i="9" s="1"/>
  <c r="L169" i="9"/>
  <c r="M169" i="9"/>
  <c r="J169" i="9"/>
  <c r="K169" i="9" s="1"/>
  <c r="I169" i="9"/>
  <c r="O169" i="9"/>
  <c r="N169" i="9"/>
  <c r="L173" i="9"/>
  <c r="O173" i="9"/>
  <c r="I173" i="9"/>
  <c r="N173" i="9"/>
  <c r="M173" i="9"/>
  <c r="J173" i="9"/>
  <c r="K173" i="9" s="1"/>
  <c r="L177" i="9"/>
  <c r="M177" i="9"/>
  <c r="N177" i="9"/>
  <c r="J177" i="9"/>
  <c r="K177" i="9" s="1"/>
  <c r="I177" i="9"/>
  <c r="O177" i="9"/>
  <c r="L181" i="9"/>
  <c r="O181" i="9"/>
  <c r="I181" i="9"/>
  <c r="J181" i="9"/>
  <c r="K181" i="9" s="1"/>
  <c r="M181" i="9"/>
  <c r="N181" i="9"/>
  <c r="L185" i="9"/>
  <c r="M185" i="9"/>
  <c r="O185" i="9"/>
  <c r="N185" i="9"/>
  <c r="I185" i="9"/>
  <c r="J185" i="9"/>
  <c r="K185" i="9" s="1"/>
  <c r="L189" i="9"/>
  <c r="O189" i="9"/>
  <c r="I189" i="9"/>
  <c r="M189" i="9"/>
  <c r="J189" i="9"/>
  <c r="K189" i="9" s="1"/>
  <c r="N189" i="9"/>
  <c r="L193" i="9"/>
  <c r="M193" i="9"/>
  <c r="I193" i="9"/>
  <c r="O193" i="9"/>
  <c r="J193" i="9"/>
  <c r="K193" i="9" s="1"/>
  <c r="N193" i="9"/>
  <c r="L197" i="9"/>
  <c r="O197" i="9"/>
  <c r="I197" i="9"/>
  <c r="N197" i="9"/>
  <c r="M197" i="9"/>
  <c r="J197" i="9"/>
  <c r="K197" i="9" s="1"/>
  <c r="L201" i="9"/>
  <c r="M201" i="9"/>
  <c r="J201" i="9"/>
  <c r="K201" i="9" s="1"/>
  <c r="I201" i="9"/>
  <c r="O201" i="9"/>
  <c r="N201" i="9"/>
  <c r="L205" i="9"/>
  <c r="O205" i="9"/>
  <c r="I205" i="9"/>
  <c r="N205" i="9"/>
  <c r="M205" i="9"/>
  <c r="J205" i="9"/>
  <c r="K205" i="9" s="1"/>
  <c r="L209" i="9"/>
  <c r="M209" i="9"/>
  <c r="N209" i="9"/>
  <c r="J209" i="9"/>
  <c r="K209" i="9" s="1"/>
  <c r="O209" i="9"/>
  <c r="I209" i="9"/>
  <c r="L213" i="9"/>
  <c r="O213" i="9"/>
  <c r="I213" i="9"/>
  <c r="J213" i="9"/>
  <c r="K213" i="9" s="1"/>
  <c r="N213" i="9"/>
  <c r="M213" i="9"/>
  <c r="L217" i="9"/>
  <c r="M217" i="9"/>
  <c r="O217" i="9"/>
  <c r="N217" i="9"/>
  <c r="J217" i="9"/>
  <c r="K217" i="9" s="1"/>
  <c r="I217" i="9"/>
  <c r="L221" i="9"/>
  <c r="O221" i="9"/>
  <c r="I221" i="9"/>
  <c r="M221" i="9"/>
  <c r="J221" i="9"/>
  <c r="K221" i="9" s="1"/>
  <c r="N221" i="9"/>
  <c r="L225" i="9"/>
  <c r="M225" i="9"/>
  <c r="I225" i="9"/>
  <c r="O225" i="9"/>
  <c r="N225" i="9"/>
  <c r="J225" i="9"/>
  <c r="K225" i="9" s="1"/>
  <c r="L229" i="9"/>
  <c r="O229" i="9"/>
  <c r="I229" i="9"/>
  <c r="N229" i="9"/>
  <c r="M229" i="9"/>
  <c r="J229" i="9"/>
  <c r="K229" i="9" s="1"/>
  <c r="L233" i="9"/>
  <c r="M233" i="9"/>
  <c r="J233" i="9"/>
  <c r="K233" i="9" s="1"/>
  <c r="I233" i="9"/>
  <c r="O233" i="9"/>
  <c r="N233" i="9"/>
  <c r="L237" i="9"/>
  <c r="O237" i="9"/>
  <c r="I237" i="9"/>
  <c r="N237" i="9"/>
  <c r="M237" i="9"/>
  <c r="J237" i="9"/>
  <c r="K237" i="9" s="1"/>
  <c r="L241" i="9"/>
  <c r="M241" i="9"/>
  <c r="N241" i="9"/>
  <c r="J241" i="9"/>
  <c r="K241" i="9" s="1"/>
  <c r="I241" i="9"/>
  <c r="O241" i="9"/>
  <c r="L245" i="9"/>
  <c r="O245" i="9"/>
  <c r="I245" i="9"/>
  <c r="J245" i="9"/>
  <c r="K245" i="9" s="1"/>
  <c r="N245" i="9"/>
  <c r="M245" i="9"/>
  <c r="L249" i="9"/>
  <c r="M249" i="9"/>
  <c r="O249" i="9"/>
  <c r="N249" i="9"/>
  <c r="J249" i="9"/>
  <c r="K249" i="9" s="1"/>
  <c r="I249" i="9"/>
  <c r="L253" i="9"/>
  <c r="O253" i="9"/>
  <c r="I253" i="9"/>
  <c r="M253" i="9"/>
  <c r="J253" i="9"/>
  <c r="K253" i="9" s="1"/>
  <c r="N253" i="9"/>
  <c r="L257" i="9"/>
  <c r="M257" i="9"/>
  <c r="I257" i="9"/>
  <c r="O257" i="9"/>
  <c r="N257" i="9"/>
  <c r="J257" i="9"/>
  <c r="K257" i="9" s="1"/>
  <c r="L261" i="9"/>
  <c r="O261" i="9"/>
  <c r="I261" i="9"/>
  <c r="N261" i="9"/>
  <c r="M261" i="9"/>
  <c r="J261" i="9"/>
  <c r="K261" i="9" s="1"/>
  <c r="L265" i="9"/>
  <c r="M265" i="9"/>
  <c r="J265" i="9"/>
  <c r="K265" i="9" s="1"/>
  <c r="I265" i="9"/>
  <c r="O265" i="9"/>
  <c r="N265" i="9"/>
  <c r="L269" i="9"/>
  <c r="O269" i="9"/>
  <c r="I269" i="9"/>
  <c r="N269" i="9"/>
  <c r="M269" i="9"/>
  <c r="J269" i="9"/>
  <c r="K269" i="9" s="1"/>
  <c r="L273" i="9"/>
  <c r="M273" i="9"/>
  <c r="N273" i="9"/>
  <c r="J273" i="9"/>
  <c r="K273" i="9" s="1"/>
  <c r="I273" i="9"/>
  <c r="O273" i="9"/>
  <c r="L277" i="9"/>
  <c r="O277" i="9"/>
  <c r="I277" i="9"/>
  <c r="J277" i="9"/>
  <c r="K277" i="9" s="1"/>
  <c r="N277" i="9"/>
  <c r="M277" i="9"/>
  <c r="L281" i="9"/>
  <c r="M281" i="9"/>
  <c r="O281" i="9"/>
  <c r="N281" i="9"/>
  <c r="J281" i="9"/>
  <c r="K281" i="9" s="1"/>
  <c r="I281" i="9"/>
  <c r="L285" i="9"/>
  <c r="O285" i="9"/>
  <c r="I285" i="9"/>
  <c r="M285" i="9"/>
  <c r="J285" i="9"/>
  <c r="K285" i="9" s="1"/>
  <c r="N285" i="9"/>
  <c r="L289" i="9"/>
  <c r="M289" i="9"/>
  <c r="O289" i="9"/>
  <c r="I289" i="9"/>
  <c r="N289" i="9"/>
  <c r="J289" i="9"/>
  <c r="K289" i="9" s="1"/>
  <c r="L293" i="9"/>
  <c r="O293" i="9"/>
  <c r="I293" i="9"/>
  <c r="M293" i="9"/>
  <c r="J293" i="9"/>
  <c r="K293" i="9" s="1"/>
  <c r="N293" i="9"/>
  <c r="L297" i="9"/>
  <c r="M297" i="9"/>
  <c r="I297" i="9"/>
  <c r="O297" i="9"/>
  <c r="J297" i="9"/>
  <c r="K297" i="9" s="1"/>
  <c r="N297" i="9"/>
  <c r="L301" i="9"/>
  <c r="O301" i="9"/>
  <c r="I301" i="9"/>
  <c r="N301" i="9"/>
  <c r="M301" i="9"/>
  <c r="J301" i="9"/>
  <c r="K301" i="9" s="1"/>
  <c r="L305" i="9"/>
  <c r="M305" i="9"/>
  <c r="J305" i="9"/>
  <c r="K305" i="9" s="1"/>
  <c r="I305" i="9"/>
  <c r="O305" i="9"/>
  <c r="N305" i="9"/>
  <c r="L309" i="9"/>
  <c r="O309" i="9"/>
  <c r="I309" i="9"/>
  <c r="N309" i="9"/>
  <c r="M309" i="9"/>
  <c r="J309" i="9"/>
  <c r="K309" i="9" s="1"/>
  <c r="L313" i="9"/>
  <c r="M313" i="9"/>
  <c r="N313" i="9"/>
  <c r="J313" i="9"/>
  <c r="K313" i="9" s="1"/>
  <c r="I313" i="9"/>
  <c r="O313" i="9"/>
  <c r="L317" i="9"/>
  <c r="O317" i="9"/>
  <c r="I317" i="9"/>
  <c r="J317" i="9"/>
  <c r="K317" i="9" s="1"/>
  <c r="N317" i="9"/>
  <c r="M317" i="9"/>
  <c r="L321" i="9"/>
  <c r="M321" i="9"/>
  <c r="O321" i="9"/>
  <c r="N321" i="9"/>
  <c r="J321" i="9"/>
  <c r="K321" i="9" s="1"/>
  <c r="I321" i="9"/>
  <c r="L325" i="9"/>
  <c r="O325" i="9"/>
  <c r="I325" i="9"/>
  <c r="M325" i="9"/>
  <c r="J325" i="9"/>
  <c r="K325" i="9" s="1"/>
  <c r="N325" i="9"/>
  <c r="L329" i="9"/>
  <c r="M329" i="9"/>
  <c r="I329" i="9"/>
  <c r="O329" i="9"/>
  <c r="N329" i="9"/>
  <c r="J329" i="9"/>
  <c r="K329" i="9" s="1"/>
  <c r="L333" i="9"/>
  <c r="O333" i="9"/>
  <c r="I333" i="9"/>
  <c r="N333" i="9"/>
  <c r="M333" i="9"/>
  <c r="J333" i="9"/>
  <c r="K333" i="9" s="1"/>
  <c r="L337" i="9"/>
  <c r="M337" i="9"/>
  <c r="J337" i="9"/>
  <c r="K337" i="9" s="1"/>
  <c r="I337" i="9"/>
  <c r="O337" i="9"/>
  <c r="N337" i="9"/>
  <c r="L341" i="9"/>
  <c r="O341" i="9"/>
  <c r="I341" i="9"/>
  <c r="N341" i="9"/>
  <c r="M341" i="9"/>
  <c r="J341" i="9"/>
  <c r="K341" i="9" s="1"/>
  <c r="L345" i="9"/>
  <c r="M345" i="9"/>
  <c r="N345" i="9"/>
  <c r="J345" i="9"/>
  <c r="K345" i="9" s="1"/>
  <c r="I345" i="9"/>
  <c r="O345" i="9"/>
  <c r="L349" i="9"/>
  <c r="O349" i="9"/>
  <c r="I349" i="9"/>
  <c r="J349" i="9"/>
  <c r="K349" i="9" s="1"/>
  <c r="N349" i="9"/>
  <c r="M349" i="9"/>
  <c r="M353" i="9"/>
  <c r="L353" i="9"/>
  <c r="J353" i="9"/>
  <c r="K353" i="9" s="1"/>
  <c r="N353" i="9"/>
  <c r="I353" i="9"/>
  <c r="O353" i="9"/>
  <c r="M357" i="9"/>
  <c r="O357" i="9"/>
  <c r="I357" i="9"/>
  <c r="N357" i="9"/>
  <c r="L357" i="9"/>
  <c r="J357" i="9"/>
  <c r="K357" i="9" s="1"/>
  <c r="M361" i="9"/>
  <c r="L361" i="9"/>
  <c r="N361" i="9"/>
  <c r="J361" i="9"/>
  <c r="K361" i="9" s="1"/>
  <c r="I361" i="9"/>
  <c r="O361" i="9"/>
  <c r="M365" i="9"/>
  <c r="O365" i="9"/>
  <c r="I365" i="9"/>
  <c r="J365" i="9"/>
  <c r="K365" i="9" s="1"/>
  <c r="N365" i="9"/>
  <c r="L365" i="9"/>
  <c r="M369" i="9"/>
  <c r="L369" i="9"/>
  <c r="O369" i="9"/>
  <c r="J369" i="9"/>
  <c r="K369" i="9" s="1"/>
  <c r="I369" i="9"/>
  <c r="N369" i="9"/>
  <c r="M373" i="9"/>
  <c r="O373" i="9"/>
  <c r="I373" i="9"/>
  <c r="L373" i="9"/>
  <c r="N373" i="9"/>
  <c r="J373" i="9"/>
  <c r="K373" i="9" s="1"/>
  <c r="M377" i="9"/>
  <c r="L377" i="9"/>
  <c r="I377" i="9"/>
  <c r="O377" i="9"/>
  <c r="J377" i="9"/>
  <c r="K377" i="9" s="1"/>
  <c r="N377" i="9"/>
  <c r="M381" i="9"/>
  <c r="O381" i="9"/>
  <c r="I381" i="9"/>
  <c r="N381" i="9"/>
  <c r="L381" i="9"/>
  <c r="J381" i="9"/>
  <c r="K381" i="9" s="1"/>
  <c r="M385" i="9"/>
  <c r="L385" i="9"/>
  <c r="J385" i="9"/>
  <c r="K385" i="9" s="1"/>
  <c r="I385" i="9"/>
  <c r="O385" i="9"/>
  <c r="N385" i="9"/>
  <c r="M389" i="9"/>
  <c r="O389" i="9"/>
  <c r="I389" i="9"/>
  <c r="N389" i="9"/>
  <c r="L389" i="9"/>
  <c r="J389" i="9"/>
  <c r="K389" i="9" s="1"/>
  <c r="M393" i="9"/>
  <c r="L393" i="9"/>
  <c r="N393" i="9"/>
  <c r="J393" i="9"/>
  <c r="K393" i="9" s="1"/>
  <c r="O393" i="9"/>
  <c r="I393" i="9"/>
  <c r="M397" i="9"/>
  <c r="O397" i="9"/>
  <c r="I397" i="9"/>
  <c r="J397" i="9"/>
  <c r="K397" i="9" s="1"/>
  <c r="N397" i="9"/>
  <c r="L397" i="9"/>
  <c r="M401" i="9"/>
  <c r="L401" i="9"/>
  <c r="O401" i="9"/>
  <c r="N401" i="9"/>
  <c r="J401" i="9"/>
  <c r="K401" i="9" s="1"/>
  <c r="I401" i="9"/>
  <c r="M405" i="9"/>
  <c r="O405" i="9"/>
  <c r="I405" i="9"/>
  <c r="L405" i="9"/>
  <c r="J405" i="9"/>
  <c r="K405" i="9" s="1"/>
  <c r="N405" i="9"/>
  <c r="M409" i="9"/>
  <c r="L409" i="9"/>
  <c r="I409" i="9"/>
  <c r="O409" i="9"/>
  <c r="J409" i="9"/>
  <c r="K409" i="9" s="1"/>
  <c r="N409" i="9"/>
  <c r="M413" i="9"/>
  <c r="O413" i="9"/>
  <c r="I413" i="9"/>
  <c r="N413" i="9"/>
  <c r="L413" i="9"/>
  <c r="J413" i="9"/>
  <c r="K413" i="9" s="1"/>
  <c r="M417" i="9"/>
  <c r="L417" i="9"/>
  <c r="J417" i="9"/>
  <c r="K417" i="9" s="1"/>
  <c r="I417" i="9"/>
  <c r="O417" i="9"/>
  <c r="N417" i="9"/>
  <c r="M421" i="9"/>
  <c r="O421" i="9"/>
  <c r="I421" i="9"/>
  <c r="N421" i="9"/>
  <c r="L421" i="9"/>
  <c r="J421" i="9"/>
  <c r="K421" i="9" s="1"/>
  <c r="M425" i="9"/>
  <c r="L425" i="9"/>
  <c r="N425" i="9"/>
  <c r="J425" i="9"/>
  <c r="K425" i="9" s="1"/>
  <c r="O425" i="9"/>
  <c r="I425" i="9"/>
  <c r="M429" i="9"/>
  <c r="O429" i="9"/>
  <c r="I429" i="9"/>
  <c r="J429" i="9"/>
  <c r="K429" i="9" s="1"/>
  <c r="N429" i="9"/>
  <c r="L429" i="9"/>
  <c r="M433" i="9"/>
  <c r="L433" i="9"/>
  <c r="O433" i="9"/>
  <c r="N433" i="9"/>
  <c r="J433" i="9"/>
  <c r="K433" i="9" s="1"/>
  <c r="I433" i="9"/>
  <c r="M437" i="9"/>
  <c r="O437" i="9"/>
  <c r="I437" i="9"/>
  <c r="L437" i="9"/>
  <c r="J437" i="9"/>
  <c r="K437" i="9" s="1"/>
  <c r="N437" i="9"/>
  <c r="M441" i="9"/>
  <c r="L441" i="9"/>
  <c r="I441" i="9"/>
  <c r="O441" i="9"/>
  <c r="J441" i="9"/>
  <c r="K441" i="9" s="1"/>
  <c r="N441" i="9"/>
  <c r="M445" i="9"/>
  <c r="O445" i="9"/>
  <c r="I445" i="9"/>
  <c r="N445" i="9"/>
  <c r="L445" i="9"/>
  <c r="J445" i="9"/>
  <c r="K445" i="9" s="1"/>
  <c r="M449" i="9"/>
  <c r="L449" i="9"/>
  <c r="J449" i="9"/>
  <c r="K449" i="9" s="1"/>
  <c r="I449" i="9"/>
  <c r="O449" i="9"/>
  <c r="N449" i="9"/>
  <c r="M453" i="9"/>
  <c r="O453" i="9"/>
  <c r="I453" i="9"/>
  <c r="N453" i="9"/>
  <c r="L453" i="9"/>
  <c r="J453" i="9"/>
  <c r="K453" i="9" s="1"/>
  <c r="M457" i="9"/>
  <c r="L457" i="9"/>
  <c r="N457" i="9"/>
  <c r="J457" i="9"/>
  <c r="K457" i="9" s="1"/>
  <c r="O457" i="9"/>
  <c r="I457" i="9"/>
  <c r="M461" i="9"/>
  <c r="O461" i="9"/>
  <c r="I461" i="9"/>
  <c r="J461" i="9"/>
  <c r="K461" i="9" s="1"/>
  <c r="N461" i="9"/>
  <c r="L461" i="9"/>
  <c r="M465" i="9"/>
  <c r="L465" i="9"/>
  <c r="O465" i="9"/>
  <c r="N465" i="9"/>
  <c r="I465" i="9"/>
  <c r="J465" i="9"/>
  <c r="K465" i="9" s="1"/>
  <c r="M469" i="9"/>
  <c r="O469" i="9"/>
  <c r="I469" i="9"/>
  <c r="L469" i="9"/>
  <c r="J469" i="9"/>
  <c r="K469" i="9" s="1"/>
  <c r="N469" i="9"/>
  <c r="M473" i="9"/>
  <c r="L473" i="9"/>
  <c r="I473" i="9"/>
  <c r="O473" i="9"/>
  <c r="J473" i="9"/>
  <c r="K473" i="9" s="1"/>
  <c r="N473" i="9"/>
  <c r="M477" i="9"/>
  <c r="O477" i="9"/>
  <c r="I477" i="9"/>
  <c r="N477" i="9"/>
  <c r="L477" i="9"/>
  <c r="J477" i="9"/>
  <c r="K477" i="9" s="1"/>
  <c r="M481" i="9"/>
  <c r="L481" i="9"/>
  <c r="J481" i="9"/>
  <c r="K481" i="9" s="1"/>
  <c r="I481" i="9"/>
  <c r="O481" i="9"/>
  <c r="N481" i="9"/>
  <c r="M485" i="9"/>
  <c r="O485" i="9"/>
  <c r="I485" i="9"/>
  <c r="N485" i="9"/>
  <c r="L485" i="9"/>
  <c r="J485" i="9"/>
  <c r="K485" i="9" s="1"/>
  <c r="M489" i="9"/>
  <c r="L489" i="9"/>
  <c r="N489" i="9"/>
  <c r="J489" i="9"/>
  <c r="K489" i="9" s="1"/>
  <c r="I489" i="9"/>
  <c r="O489" i="9"/>
  <c r="O493" i="9"/>
  <c r="J493" i="9"/>
  <c r="K493" i="9" s="1"/>
  <c r="N493" i="9"/>
  <c r="I493" i="9"/>
  <c r="L493" i="9"/>
  <c r="M493" i="9"/>
  <c r="O497" i="9"/>
  <c r="J497" i="9"/>
  <c r="K497" i="9" s="1"/>
  <c r="L497" i="9"/>
  <c r="N497" i="9"/>
  <c r="M497" i="9"/>
  <c r="I497" i="9"/>
  <c r="O501" i="9"/>
  <c r="J501" i="9"/>
  <c r="K501" i="9" s="1"/>
  <c r="N501" i="9"/>
  <c r="L501" i="9"/>
  <c r="I501" i="9"/>
  <c r="M501" i="9"/>
  <c r="O505" i="9"/>
  <c r="J505" i="9"/>
  <c r="K505" i="9" s="1"/>
  <c r="L505" i="9"/>
  <c r="N505" i="9"/>
  <c r="M505" i="9"/>
  <c r="I505" i="9"/>
  <c r="O509" i="9"/>
  <c r="J509" i="9"/>
  <c r="K509" i="9" s="1"/>
  <c r="N509" i="9"/>
  <c r="M509" i="9"/>
  <c r="I509" i="9"/>
  <c r="L509" i="9"/>
  <c r="O513" i="9"/>
  <c r="J513" i="9"/>
  <c r="K513" i="9" s="1"/>
  <c r="L513" i="9"/>
  <c r="I513" i="9"/>
  <c r="N513" i="9"/>
  <c r="M513" i="9"/>
  <c r="O517" i="9"/>
  <c r="J517" i="9"/>
  <c r="K517" i="9" s="1"/>
  <c r="N517" i="9"/>
  <c r="I517" i="9"/>
  <c r="M517" i="9"/>
  <c r="L517" i="9"/>
  <c r="O521" i="9"/>
  <c r="J521" i="9"/>
  <c r="K521" i="9" s="1"/>
  <c r="L521" i="9"/>
  <c r="M521" i="9"/>
  <c r="N521" i="9"/>
  <c r="I521" i="9"/>
  <c r="O525" i="9"/>
  <c r="J525" i="9"/>
  <c r="K525" i="9" s="1"/>
  <c r="N525" i="9"/>
  <c r="I525" i="9"/>
  <c r="M525" i="9"/>
  <c r="L525" i="9"/>
  <c r="O529" i="9"/>
  <c r="J529" i="9"/>
  <c r="K529" i="9" s="1"/>
  <c r="L529" i="9"/>
  <c r="N529" i="9"/>
  <c r="M529" i="9"/>
  <c r="I529" i="9"/>
  <c r="M9" i="9"/>
  <c r="J21" i="9"/>
  <c r="K21" i="9" s="1"/>
  <c r="M41" i="9"/>
  <c r="J53" i="9"/>
  <c r="K53" i="9" s="1"/>
  <c r="I62" i="9"/>
  <c r="L6" i="9"/>
  <c r="N6" i="9"/>
  <c r="M6" i="9"/>
  <c r="J6" i="9"/>
  <c r="K6" i="9" s="1"/>
  <c r="L10" i="9"/>
  <c r="J10" i="9"/>
  <c r="K10" i="9" s="1"/>
  <c r="O10" i="9"/>
  <c r="I10" i="9"/>
  <c r="N10" i="9"/>
  <c r="L14" i="9"/>
  <c r="N14" i="9"/>
  <c r="M14" i="9"/>
  <c r="J14" i="9"/>
  <c r="K14" i="9" s="1"/>
  <c r="L18" i="9"/>
  <c r="J18" i="9"/>
  <c r="K18" i="9" s="1"/>
  <c r="O18" i="9"/>
  <c r="I18" i="9"/>
  <c r="N18" i="9"/>
  <c r="L22" i="9"/>
  <c r="N22" i="9"/>
  <c r="M22" i="9"/>
  <c r="J22" i="9"/>
  <c r="K22" i="9" s="1"/>
  <c r="L26" i="9"/>
  <c r="J26" i="9"/>
  <c r="K26" i="9" s="1"/>
  <c r="O26" i="9"/>
  <c r="I26" i="9"/>
  <c r="N26" i="9"/>
  <c r="L30" i="9"/>
  <c r="N30" i="9"/>
  <c r="M30" i="9"/>
  <c r="J30" i="9"/>
  <c r="K30" i="9" s="1"/>
  <c r="L34" i="9"/>
  <c r="J34" i="9"/>
  <c r="K34" i="9" s="1"/>
  <c r="O34" i="9"/>
  <c r="I34" i="9"/>
  <c r="N34" i="9"/>
  <c r="L38" i="9"/>
  <c r="N38" i="9"/>
  <c r="M38" i="9"/>
  <c r="J38" i="9"/>
  <c r="K38" i="9" s="1"/>
  <c r="L42" i="9"/>
  <c r="J42" i="9"/>
  <c r="K42" i="9" s="1"/>
  <c r="O42" i="9"/>
  <c r="I42" i="9"/>
  <c r="N42" i="9"/>
  <c r="L46" i="9"/>
  <c r="N46" i="9"/>
  <c r="M46" i="9"/>
  <c r="J46" i="9"/>
  <c r="K46" i="9" s="1"/>
  <c r="L50" i="9"/>
  <c r="J50" i="9"/>
  <c r="K50" i="9" s="1"/>
  <c r="O50" i="9"/>
  <c r="I50" i="9"/>
  <c r="N50" i="9"/>
  <c r="L54" i="9"/>
  <c r="N54" i="9"/>
  <c r="M54" i="9"/>
  <c r="J54" i="9"/>
  <c r="K54" i="9" s="1"/>
  <c r="L58" i="9"/>
  <c r="J58" i="9"/>
  <c r="K58" i="9" s="1"/>
  <c r="O58" i="9"/>
  <c r="I58" i="9"/>
  <c r="N58" i="9"/>
  <c r="L62" i="9"/>
  <c r="N62" i="9"/>
  <c r="M62" i="9"/>
  <c r="J62" i="9"/>
  <c r="K62" i="9" s="1"/>
  <c r="N66" i="9"/>
  <c r="L66" i="9"/>
  <c r="M66" i="9"/>
  <c r="J66" i="9"/>
  <c r="K66" i="9" s="1"/>
  <c r="I66" i="9"/>
  <c r="O66" i="9"/>
  <c r="N70" i="9"/>
  <c r="I70" i="9"/>
  <c r="O70" i="9"/>
  <c r="M70" i="9"/>
  <c r="L70" i="9"/>
  <c r="J70" i="9"/>
  <c r="K70" i="9" s="1"/>
  <c r="N74" i="9"/>
  <c r="I74" i="9"/>
  <c r="L74" i="9"/>
  <c r="J74" i="9"/>
  <c r="K74" i="9" s="1"/>
  <c r="O74" i="9"/>
  <c r="M74" i="9"/>
  <c r="N78" i="9"/>
  <c r="I78" i="9"/>
  <c r="O78" i="9"/>
  <c r="L78" i="9"/>
  <c r="J78" i="9"/>
  <c r="K78" i="9" s="1"/>
  <c r="M78" i="9"/>
  <c r="N82" i="9"/>
  <c r="I82" i="9"/>
  <c r="L82" i="9"/>
  <c r="M82" i="9"/>
  <c r="O82" i="9"/>
  <c r="J82" i="9"/>
  <c r="K82" i="9" s="1"/>
  <c r="N86" i="9"/>
  <c r="I86" i="9"/>
  <c r="O86" i="9"/>
  <c r="J86" i="9"/>
  <c r="K86" i="9" s="1"/>
  <c r="M86" i="9"/>
  <c r="L86" i="9"/>
  <c r="N90" i="9"/>
  <c r="I90" i="9"/>
  <c r="L90" i="9"/>
  <c r="O90" i="9"/>
  <c r="M90" i="9"/>
  <c r="J90" i="9"/>
  <c r="K90" i="9" s="1"/>
  <c r="N94" i="9"/>
  <c r="I94" i="9"/>
  <c r="O94" i="9"/>
  <c r="L94" i="9"/>
  <c r="M94" i="9"/>
  <c r="J94" i="9"/>
  <c r="K94" i="9" s="1"/>
  <c r="N98" i="9"/>
  <c r="I98" i="9"/>
  <c r="L98" i="9"/>
  <c r="O98" i="9"/>
  <c r="M98" i="9"/>
  <c r="J98" i="9"/>
  <c r="K98" i="9" s="1"/>
  <c r="N102" i="9"/>
  <c r="I102" i="9"/>
  <c r="O102" i="9"/>
  <c r="M102" i="9"/>
  <c r="L102" i="9"/>
  <c r="J102" i="9"/>
  <c r="K102" i="9" s="1"/>
  <c r="N106" i="9"/>
  <c r="I106" i="9"/>
  <c r="L106" i="9"/>
  <c r="J106" i="9"/>
  <c r="K106" i="9" s="1"/>
  <c r="M106" i="9"/>
  <c r="O106" i="9"/>
  <c r="N110" i="9"/>
  <c r="I110" i="9"/>
  <c r="O110" i="9"/>
  <c r="M110" i="9"/>
  <c r="L110" i="9"/>
  <c r="J110" i="9"/>
  <c r="K110" i="9" s="1"/>
  <c r="N114" i="9"/>
  <c r="I114" i="9"/>
  <c r="L114" i="9"/>
  <c r="M114" i="9"/>
  <c r="O114" i="9"/>
  <c r="J114" i="9"/>
  <c r="K114" i="9" s="1"/>
  <c r="N118" i="9"/>
  <c r="I118" i="9"/>
  <c r="O118" i="9"/>
  <c r="J118" i="9"/>
  <c r="K118" i="9" s="1"/>
  <c r="M118" i="9"/>
  <c r="L118" i="9"/>
  <c r="N122" i="9"/>
  <c r="I122" i="9"/>
  <c r="L122" i="9"/>
  <c r="O122" i="9"/>
  <c r="J122" i="9"/>
  <c r="K122" i="9" s="1"/>
  <c r="M122" i="9"/>
  <c r="N126" i="9"/>
  <c r="I126" i="9"/>
  <c r="O126" i="9"/>
  <c r="L126" i="9"/>
  <c r="M126" i="9"/>
  <c r="J126" i="9"/>
  <c r="K126" i="9" s="1"/>
  <c r="N130" i="9"/>
  <c r="I130" i="9"/>
  <c r="L130" i="9"/>
  <c r="O130" i="9"/>
  <c r="M130" i="9"/>
  <c r="J130" i="9"/>
  <c r="K130" i="9" s="1"/>
  <c r="N134" i="9"/>
  <c r="I134" i="9"/>
  <c r="O134" i="9"/>
  <c r="M134" i="9"/>
  <c r="J134" i="9"/>
  <c r="K134" i="9" s="1"/>
  <c r="L134" i="9"/>
  <c r="N138" i="9"/>
  <c r="I138" i="9"/>
  <c r="L138" i="9"/>
  <c r="J138" i="9"/>
  <c r="K138" i="9" s="1"/>
  <c r="O138" i="9"/>
  <c r="M138" i="9"/>
  <c r="N142" i="9"/>
  <c r="I142" i="9"/>
  <c r="O142" i="9"/>
  <c r="M142" i="9"/>
  <c r="L142" i="9"/>
  <c r="J142" i="9"/>
  <c r="K142" i="9" s="1"/>
  <c r="N146" i="9"/>
  <c r="I146" i="9"/>
  <c r="L146" i="9"/>
  <c r="M146" i="9"/>
  <c r="O146" i="9"/>
  <c r="J146" i="9"/>
  <c r="K146" i="9" s="1"/>
  <c r="N150" i="9"/>
  <c r="I150" i="9"/>
  <c r="O150" i="9"/>
  <c r="J150" i="9"/>
  <c r="K150" i="9" s="1"/>
  <c r="L150" i="9"/>
  <c r="M150" i="9"/>
  <c r="N154" i="9"/>
  <c r="I154" i="9"/>
  <c r="L154" i="9"/>
  <c r="O154" i="9"/>
  <c r="M154" i="9"/>
  <c r="J154" i="9"/>
  <c r="K154" i="9" s="1"/>
  <c r="N158" i="9"/>
  <c r="I158" i="9"/>
  <c r="O158" i="9"/>
  <c r="L158" i="9"/>
  <c r="M158" i="9"/>
  <c r="J158" i="9"/>
  <c r="K158" i="9" s="1"/>
  <c r="N162" i="9"/>
  <c r="I162" i="9"/>
  <c r="L162" i="9"/>
  <c r="J162" i="9"/>
  <c r="K162" i="9" s="1"/>
  <c r="O162" i="9"/>
  <c r="M162" i="9"/>
  <c r="N166" i="9"/>
  <c r="I166" i="9"/>
  <c r="O166" i="9"/>
  <c r="M166" i="9"/>
  <c r="L166" i="9"/>
  <c r="J166" i="9"/>
  <c r="K166" i="9" s="1"/>
  <c r="N170" i="9"/>
  <c r="I170" i="9"/>
  <c r="L170" i="9"/>
  <c r="M170" i="9"/>
  <c r="J170" i="9"/>
  <c r="K170" i="9" s="1"/>
  <c r="O170" i="9"/>
  <c r="N174" i="9"/>
  <c r="I174" i="9"/>
  <c r="O174" i="9"/>
  <c r="J174" i="9"/>
  <c r="K174" i="9" s="1"/>
  <c r="M174" i="9"/>
  <c r="L174" i="9"/>
  <c r="N178" i="9"/>
  <c r="I178" i="9"/>
  <c r="L178" i="9"/>
  <c r="O178" i="9"/>
  <c r="M178" i="9"/>
  <c r="J178" i="9"/>
  <c r="K178" i="9" s="1"/>
  <c r="N182" i="9"/>
  <c r="I182" i="9"/>
  <c r="O182" i="9"/>
  <c r="L182" i="9"/>
  <c r="J182" i="9"/>
  <c r="K182" i="9" s="1"/>
  <c r="M182" i="9"/>
  <c r="N186" i="9"/>
  <c r="I186" i="9"/>
  <c r="L186" i="9"/>
  <c r="O186" i="9"/>
  <c r="M186" i="9"/>
  <c r="J186" i="9"/>
  <c r="K186" i="9" s="1"/>
  <c r="N190" i="9"/>
  <c r="I190" i="9"/>
  <c r="O190" i="9"/>
  <c r="M190" i="9"/>
  <c r="L190" i="9"/>
  <c r="J190" i="9"/>
  <c r="K190" i="9" s="1"/>
  <c r="N194" i="9"/>
  <c r="I194" i="9"/>
  <c r="L194" i="9"/>
  <c r="J194" i="9"/>
  <c r="K194" i="9" s="1"/>
  <c r="O194" i="9"/>
  <c r="M194" i="9"/>
  <c r="N198" i="9"/>
  <c r="I198" i="9"/>
  <c r="O198" i="9"/>
  <c r="M198" i="9"/>
  <c r="L198" i="9"/>
  <c r="J198" i="9"/>
  <c r="K198" i="9" s="1"/>
  <c r="N202" i="9"/>
  <c r="I202" i="9"/>
  <c r="L202" i="9"/>
  <c r="M202" i="9"/>
  <c r="J202" i="9"/>
  <c r="K202" i="9" s="1"/>
  <c r="O202" i="9"/>
  <c r="N206" i="9"/>
  <c r="I206" i="9"/>
  <c r="O206" i="9"/>
  <c r="J206" i="9"/>
  <c r="K206" i="9" s="1"/>
  <c r="M206" i="9"/>
  <c r="L206" i="9"/>
  <c r="N210" i="9"/>
  <c r="I210" i="9"/>
  <c r="L210" i="9"/>
  <c r="O210" i="9"/>
  <c r="M210" i="9"/>
  <c r="J210" i="9"/>
  <c r="K210" i="9" s="1"/>
  <c r="N214" i="9"/>
  <c r="I214" i="9"/>
  <c r="O214" i="9"/>
  <c r="L214" i="9"/>
  <c r="J214" i="9"/>
  <c r="K214" i="9" s="1"/>
  <c r="M214" i="9"/>
  <c r="N218" i="9"/>
  <c r="I218" i="9"/>
  <c r="L218" i="9"/>
  <c r="O218" i="9"/>
  <c r="M218" i="9"/>
  <c r="J218" i="9"/>
  <c r="K218" i="9" s="1"/>
  <c r="N222" i="9"/>
  <c r="I222" i="9"/>
  <c r="O222" i="9"/>
  <c r="M222" i="9"/>
  <c r="L222" i="9"/>
  <c r="J222" i="9"/>
  <c r="K222" i="9" s="1"/>
  <c r="N226" i="9"/>
  <c r="I226" i="9"/>
  <c r="L226" i="9"/>
  <c r="J226" i="9"/>
  <c r="K226" i="9" s="1"/>
  <c r="O226" i="9"/>
  <c r="M226" i="9"/>
  <c r="N230" i="9"/>
  <c r="I230" i="9"/>
  <c r="O230" i="9"/>
  <c r="M230" i="9"/>
  <c r="L230" i="9"/>
  <c r="J230" i="9"/>
  <c r="K230" i="9" s="1"/>
  <c r="N234" i="9"/>
  <c r="I234" i="9"/>
  <c r="L234" i="9"/>
  <c r="M234" i="9"/>
  <c r="J234" i="9"/>
  <c r="K234" i="9" s="1"/>
  <c r="O234" i="9"/>
  <c r="N238" i="9"/>
  <c r="I238" i="9"/>
  <c r="O238" i="9"/>
  <c r="J238" i="9"/>
  <c r="K238" i="9" s="1"/>
  <c r="M238" i="9"/>
  <c r="L238" i="9"/>
  <c r="N242" i="9"/>
  <c r="I242" i="9"/>
  <c r="L242" i="9"/>
  <c r="O242" i="9"/>
  <c r="M242" i="9"/>
  <c r="J242" i="9"/>
  <c r="K242" i="9" s="1"/>
  <c r="N246" i="9"/>
  <c r="I246" i="9"/>
  <c r="O246" i="9"/>
  <c r="L246" i="9"/>
  <c r="J246" i="9"/>
  <c r="K246" i="9" s="1"/>
  <c r="M246" i="9"/>
  <c r="N250" i="9"/>
  <c r="I250" i="9"/>
  <c r="L250" i="9"/>
  <c r="O250" i="9"/>
  <c r="M250" i="9"/>
  <c r="J250" i="9"/>
  <c r="K250" i="9" s="1"/>
  <c r="N254" i="9"/>
  <c r="I254" i="9"/>
  <c r="O254" i="9"/>
  <c r="M254" i="9"/>
  <c r="L254" i="9"/>
  <c r="J254" i="9"/>
  <c r="K254" i="9" s="1"/>
  <c r="N258" i="9"/>
  <c r="I258" i="9"/>
  <c r="L258" i="9"/>
  <c r="J258" i="9"/>
  <c r="K258" i="9" s="1"/>
  <c r="O258" i="9"/>
  <c r="M258" i="9"/>
  <c r="N262" i="9"/>
  <c r="I262" i="9"/>
  <c r="O262" i="9"/>
  <c r="M262" i="9"/>
  <c r="L262" i="9"/>
  <c r="J262" i="9"/>
  <c r="K262" i="9" s="1"/>
  <c r="N266" i="9"/>
  <c r="I266" i="9"/>
  <c r="L266" i="9"/>
  <c r="M266" i="9"/>
  <c r="J266" i="9"/>
  <c r="K266" i="9" s="1"/>
  <c r="O266" i="9"/>
  <c r="N270" i="9"/>
  <c r="I270" i="9"/>
  <c r="O270" i="9"/>
  <c r="J270" i="9"/>
  <c r="K270" i="9" s="1"/>
  <c r="M270" i="9"/>
  <c r="L270" i="9"/>
  <c r="N274" i="9"/>
  <c r="I274" i="9"/>
  <c r="L274" i="9"/>
  <c r="O274" i="9"/>
  <c r="M274" i="9"/>
  <c r="J274" i="9"/>
  <c r="K274" i="9" s="1"/>
  <c r="N278" i="9"/>
  <c r="I278" i="9"/>
  <c r="O278" i="9"/>
  <c r="L278" i="9"/>
  <c r="J278" i="9"/>
  <c r="K278" i="9" s="1"/>
  <c r="M278" i="9"/>
  <c r="N282" i="9"/>
  <c r="I282" i="9"/>
  <c r="L282" i="9"/>
  <c r="O282" i="9"/>
  <c r="M282" i="9"/>
  <c r="J282" i="9"/>
  <c r="K282" i="9" s="1"/>
  <c r="N286" i="9"/>
  <c r="I286" i="9"/>
  <c r="O286" i="9"/>
  <c r="M286" i="9"/>
  <c r="L286" i="9"/>
  <c r="J286" i="9"/>
  <c r="K286" i="9" s="1"/>
  <c r="N290" i="9"/>
  <c r="I290" i="9"/>
  <c r="L290" i="9"/>
  <c r="M290" i="9"/>
  <c r="J290" i="9"/>
  <c r="K290" i="9" s="1"/>
  <c r="O290" i="9"/>
  <c r="N294" i="9"/>
  <c r="I294" i="9"/>
  <c r="O294" i="9"/>
  <c r="M294" i="9"/>
  <c r="L294" i="9"/>
  <c r="J294" i="9"/>
  <c r="K294" i="9" s="1"/>
  <c r="N298" i="9"/>
  <c r="I298" i="9"/>
  <c r="L298" i="9"/>
  <c r="J298" i="9"/>
  <c r="K298" i="9" s="1"/>
  <c r="O298" i="9"/>
  <c r="M298" i="9"/>
  <c r="N302" i="9"/>
  <c r="I302" i="9"/>
  <c r="O302" i="9"/>
  <c r="M302" i="9"/>
  <c r="L302" i="9"/>
  <c r="J302" i="9"/>
  <c r="K302" i="9" s="1"/>
  <c r="N306" i="9"/>
  <c r="I306" i="9"/>
  <c r="L306" i="9"/>
  <c r="M306" i="9"/>
  <c r="J306" i="9"/>
  <c r="K306" i="9" s="1"/>
  <c r="O306" i="9"/>
  <c r="N310" i="9"/>
  <c r="I310" i="9"/>
  <c r="O310" i="9"/>
  <c r="J310" i="9"/>
  <c r="K310" i="9" s="1"/>
  <c r="M310" i="9"/>
  <c r="L310" i="9"/>
  <c r="N314" i="9"/>
  <c r="I314" i="9"/>
  <c r="L314" i="9"/>
  <c r="O314" i="9"/>
  <c r="M314" i="9"/>
  <c r="J314" i="9"/>
  <c r="K314" i="9" s="1"/>
  <c r="N318" i="9"/>
  <c r="I318" i="9"/>
  <c r="O318" i="9"/>
  <c r="L318" i="9"/>
  <c r="J318" i="9"/>
  <c r="K318" i="9" s="1"/>
  <c r="M318" i="9"/>
  <c r="N322" i="9"/>
  <c r="I322" i="9"/>
  <c r="L322" i="9"/>
  <c r="O322" i="9"/>
  <c r="M322" i="9"/>
  <c r="J322" i="9"/>
  <c r="K322" i="9" s="1"/>
  <c r="N326" i="9"/>
  <c r="I326" i="9"/>
  <c r="O326" i="9"/>
  <c r="M326" i="9"/>
  <c r="L326" i="9"/>
  <c r="J326" i="9"/>
  <c r="K326" i="9" s="1"/>
  <c r="N330" i="9"/>
  <c r="I330" i="9"/>
  <c r="L330" i="9"/>
  <c r="J330" i="9"/>
  <c r="K330" i="9" s="1"/>
  <c r="O330" i="9"/>
  <c r="M330" i="9"/>
  <c r="N334" i="9"/>
  <c r="I334" i="9"/>
  <c r="O334" i="9"/>
  <c r="M334" i="9"/>
  <c r="L334" i="9"/>
  <c r="J334" i="9"/>
  <c r="K334" i="9" s="1"/>
  <c r="N338" i="9"/>
  <c r="I338" i="9"/>
  <c r="L338" i="9"/>
  <c r="M338" i="9"/>
  <c r="J338" i="9"/>
  <c r="K338" i="9" s="1"/>
  <c r="O338" i="9"/>
  <c r="N342" i="9"/>
  <c r="I342" i="9"/>
  <c r="O342" i="9"/>
  <c r="J342" i="9"/>
  <c r="K342" i="9" s="1"/>
  <c r="M342" i="9"/>
  <c r="L342" i="9"/>
  <c r="N346" i="9"/>
  <c r="I346" i="9"/>
  <c r="L346" i="9"/>
  <c r="O346" i="9"/>
  <c r="M346" i="9"/>
  <c r="J346" i="9"/>
  <c r="K346" i="9" s="1"/>
  <c r="O350" i="9"/>
  <c r="N350" i="9"/>
  <c r="I350" i="9"/>
  <c r="L350" i="9"/>
  <c r="J350" i="9"/>
  <c r="K350" i="9" s="1"/>
  <c r="M350" i="9"/>
  <c r="O354" i="9"/>
  <c r="J354" i="9"/>
  <c r="K354" i="9" s="1"/>
  <c r="L354" i="9"/>
  <c r="M354" i="9"/>
  <c r="N354" i="9"/>
  <c r="I354" i="9"/>
  <c r="O358" i="9"/>
  <c r="J358" i="9"/>
  <c r="K358" i="9" s="1"/>
  <c r="N358" i="9"/>
  <c r="I358" i="9"/>
  <c r="L358" i="9"/>
  <c r="M358" i="9"/>
  <c r="O362" i="9"/>
  <c r="J362" i="9"/>
  <c r="K362" i="9" s="1"/>
  <c r="L362" i="9"/>
  <c r="N362" i="9"/>
  <c r="M362" i="9"/>
  <c r="I362" i="9"/>
  <c r="O366" i="9"/>
  <c r="J366" i="9"/>
  <c r="K366" i="9" s="1"/>
  <c r="N366" i="9"/>
  <c r="L366" i="9"/>
  <c r="I366" i="9"/>
  <c r="M366" i="9"/>
  <c r="O370" i="9"/>
  <c r="J370" i="9"/>
  <c r="K370" i="9" s="1"/>
  <c r="L370" i="9"/>
  <c r="N370" i="9"/>
  <c r="M370" i="9"/>
  <c r="I370" i="9"/>
  <c r="O374" i="9"/>
  <c r="J374" i="9"/>
  <c r="K374" i="9" s="1"/>
  <c r="N374" i="9"/>
  <c r="M374" i="9"/>
  <c r="I374" i="9"/>
  <c r="L374" i="9"/>
  <c r="O378" i="9"/>
  <c r="J378" i="9"/>
  <c r="K378" i="9" s="1"/>
  <c r="L378" i="9"/>
  <c r="I378" i="9"/>
  <c r="N378" i="9"/>
  <c r="M378" i="9"/>
  <c r="O382" i="9"/>
  <c r="J382" i="9"/>
  <c r="K382" i="9" s="1"/>
  <c r="N382" i="9"/>
  <c r="M382" i="9"/>
  <c r="L382" i="9"/>
  <c r="I382" i="9"/>
  <c r="M10" i="9"/>
  <c r="I22" i="9"/>
  <c r="O30" i="9"/>
  <c r="M42" i="9"/>
  <c r="J5" i="9"/>
  <c r="K5" i="9" s="1"/>
  <c r="I14" i="9"/>
  <c r="O22" i="9"/>
  <c r="M25" i="9"/>
  <c r="M34" i="9"/>
  <c r="J37" i="9"/>
  <c r="K37" i="9" s="1"/>
  <c r="I46" i="9"/>
  <c r="O54" i="9"/>
  <c r="M57" i="9"/>
  <c r="I38" i="9"/>
  <c r="O46" i="9"/>
  <c r="M49" i="9"/>
  <c r="M58" i="9"/>
  <c r="J61" i="9"/>
  <c r="K61" i="9" s="1"/>
  <c r="M207" i="9"/>
  <c r="O386" i="9"/>
  <c r="J386" i="9"/>
  <c r="K386" i="9" s="1"/>
  <c r="L386" i="9"/>
  <c r="M386" i="9"/>
  <c r="I386" i="9"/>
  <c r="N386" i="9"/>
  <c r="O390" i="9"/>
  <c r="J390" i="9"/>
  <c r="K390" i="9" s="1"/>
  <c r="N390" i="9"/>
  <c r="I390" i="9"/>
  <c r="L390" i="9"/>
  <c r="M390" i="9"/>
  <c r="O394" i="9"/>
  <c r="J394" i="9"/>
  <c r="K394" i="9" s="1"/>
  <c r="L394" i="9"/>
  <c r="N394" i="9"/>
  <c r="M394" i="9"/>
  <c r="I394" i="9"/>
  <c r="O398" i="9"/>
  <c r="J398" i="9"/>
  <c r="K398" i="9" s="1"/>
  <c r="N398" i="9"/>
  <c r="L398" i="9"/>
  <c r="I398" i="9"/>
  <c r="M398" i="9"/>
  <c r="O402" i="9"/>
  <c r="J402" i="9"/>
  <c r="K402" i="9" s="1"/>
  <c r="L402" i="9"/>
  <c r="N402" i="9"/>
  <c r="M402" i="9"/>
  <c r="I402" i="9"/>
  <c r="O406" i="9"/>
  <c r="J406" i="9"/>
  <c r="K406" i="9" s="1"/>
  <c r="N406" i="9"/>
  <c r="M406" i="9"/>
  <c r="L406" i="9"/>
  <c r="I406" i="9"/>
  <c r="O410" i="9"/>
  <c r="J410" i="9"/>
  <c r="K410" i="9" s="1"/>
  <c r="L410" i="9"/>
  <c r="I410" i="9"/>
  <c r="N410" i="9"/>
  <c r="M410" i="9"/>
  <c r="O414" i="9"/>
  <c r="J414" i="9"/>
  <c r="K414" i="9" s="1"/>
  <c r="N414" i="9"/>
  <c r="M414" i="9"/>
  <c r="L414" i="9"/>
  <c r="I414" i="9"/>
  <c r="O418" i="9"/>
  <c r="J418" i="9"/>
  <c r="K418" i="9" s="1"/>
  <c r="L418" i="9"/>
  <c r="M418" i="9"/>
  <c r="I418" i="9"/>
  <c r="N418" i="9"/>
  <c r="O422" i="9"/>
  <c r="J422" i="9"/>
  <c r="K422" i="9" s="1"/>
  <c r="N422" i="9"/>
  <c r="I422" i="9"/>
  <c r="L422" i="9"/>
  <c r="M422" i="9"/>
  <c r="O426" i="9"/>
  <c r="J426" i="9"/>
  <c r="K426" i="9" s="1"/>
  <c r="L426" i="9"/>
  <c r="N426" i="9"/>
  <c r="M426" i="9"/>
  <c r="I426" i="9"/>
  <c r="O430" i="9"/>
  <c r="J430" i="9"/>
  <c r="K430" i="9" s="1"/>
  <c r="N430" i="9"/>
  <c r="L430" i="9"/>
  <c r="I430" i="9"/>
  <c r="M430" i="9"/>
  <c r="O434" i="9"/>
  <c r="J434" i="9"/>
  <c r="K434" i="9" s="1"/>
  <c r="L434" i="9"/>
  <c r="N434" i="9"/>
  <c r="M434" i="9"/>
  <c r="I434" i="9"/>
  <c r="O438" i="9"/>
  <c r="J438" i="9"/>
  <c r="K438" i="9" s="1"/>
  <c r="N438" i="9"/>
  <c r="M438" i="9"/>
  <c r="L438" i="9"/>
  <c r="I438" i="9"/>
  <c r="O442" i="9"/>
  <c r="J442" i="9"/>
  <c r="K442" i="9" s="1"/>
  <c r="L442" i="9"/>
  <c r="I442" i="9"/>
  <c r="N442" i="9"/>
  <c r="M442" i="9"/>
  <c r="O446" i="9"/>
  <c r="J446" i="9"/>
  <c r="K446" i="9" s="1"/>
  <c r="N446" i="9"/>
  <c r="M446" i="9"/>
  <c r="L446" i="9"/>
  <c r="I446" i="9"/>
  <c r="O450" i="9"/>
  <c r="J450" i="9"/>
  <c r="K450" i="9" s="1"/>
  <c r="L450" i="9"/>
  <c r="M450" i="9"/>
  <c r="I450" i="9"/>
  <c r="N450" i="9"/>
  <c r="O454" i="9"/>
  <c r="J454" i="9"/>
  <c r="K454" i="9" s="1"/>
  <c r="N454" i="9"/>
  <c r="I454" i="9"/>
  <c r="L454" i="9"/>
  <c r="M454" i="9"/>
  <c r="O458" i="9"/>
  <c r="J458" i="9"/>
  <c r="K458" i="9" s="1"/>
  <c r="L458" i="9"/>
  <c r="N458" i="9"/>
  <c r="M458" i="9"/>
  <c r="I458" i="9"/>
  <c r="O462" i="9"/>
  <c r="J462" i="9"/>
  <c r="K462" i="9" s="1"/>
  <c r="N462" i="9"/>
  <c r="L462" i="9"/>
  <c r="I462" i="9"/>
  <c r="M462" i="9"/>
  <c r="O466" i="9"/>
  <c r="J466" i="9"/>
  <c r="K466" i="9" s="1"/>
  <c r="L466" i="9"/>
  <c r="N466" i="9"/>
  <c r="I466" i="9"/>
  <c r="M466" i="9"/>
  <c r="O470" i="9"/>
  <c r="J470" i="9"/>
  <c r="K470" i="9" s="1"/>
  <c r="N470" i="9"/>
  <c r="M470" i="9"/>
  <c r="L470" i="9"/>
  <c r="I470" i="9"/>
  <c r="O474" i="9"/>
  <c r="J474" i="9"/>
  <c r="K474" i="9" s="1"/>
  <c r="L474" i="9"/>
  <c r="I474" i="9"/>
  <c r="M474" i="9"/>
  <c r="N474" i="9"/>
  <c r="O478" i="9"/>
  <c r="J478" i="9"/>
  <c r="K478" i="9" s="1"/>
  <c r="N478" i="9"/>
  <c r="M478" i="9"/>
  <c r="I478" i="9"/>
  <c r="L478" i="9"/>
  <c r="O482" i="9"/>
  <c r="J482" i="9"/>
  <c r="K482" i="9" s="1"/>
  <c r="L482" i="9"/>
  <c r="M482" i="9"/>
  <c r="I482" i="9"/>
  <c r="N482" i="9"/>
  <c r="O486" i="9"/>
  <c r="J486" i="9"/>
  <c r="K486" i="9" s="1"/>
  <c r="N486" i="9"/>
  <c r="I486" i="9"/>
  <c r="M486" i="9"/>
  <c r="L486" i="9"/>
  <c r="O490" i="9"/>
  <c r="J490" i="9"/>
  <c r="K490" i="9" s="1"/>
  <c r="L490" i="9"/>
  <c r="N490" i="9"/>
  <c r="M490" i="9"/>
  <c r="I490" i="9"/>
  <c r="M494" i="9"/>
  <c r="N494" i="9"/>
  <c r="J494" i="9"/>
  <c r="K494" i="9" s="1"/>
  <c r="O494" i="9"/>
  <c r="L494" i="9"/>
  <c r="I494" i="9"/>
  <c r="M498" i="9"/>
  <c r="J498" i="9"/>
  <c r="K498" i="9" s="1"/>
  <c r="O498" i="9"/>
  <c r="I498" i="9"/>
  <c r="N498" i="9"/>
  <c r="L498" i="9"/>
  <c r="M502" i="9"/>
  <c r="N502" i="9"/>
  <c r="L502" i="9"/>
  <c r="O502" i="9"/>
  <c r="J502" i="9"/>
  <c r="K502" i="9" s="1"/>
  <c r="I502" i="9"/>
  <c r="M506" i="9"/>
  <c r="J506" i="9"/>
  <c r="K506" i="9" s="1"/>
  <c r="I506" i="9"/>
  <c r="O506" i="9"/>
  <c r="N506" i="9"/>
  <c r="L506" i="9"/>
  <c r="M510" i="9"/>
  <c r="N510" i="9"/>
  <c r="O510" i="9"/>
  <c r="L510" i="9"/>
  <c r="J510" i="9"/>
  <c r="K510" i="9" s="1"/>
  <c r="I510" i="9"/>
  <c r="M514" i="9"/>
  <c r="J514" i="9"/>
  <c r="K514" i="9" s="1"/>
  <c r="L514" i="9"/>
  <c r="O514" i="9"/>
  <c r="N514" i="9"/>
  <c r="I514" i="9"/>
  <c r="M518" i="9"/>
  <c r="N518" i="9"/>
  <c r="I518" i="9"/>
  <c r="L518" i="9"/>
  <c r="J518" i="9"/>
  <c r="K518" i="9" s="1"/>
  <c r="O518" i="9"/>
  <c r="M522" i="9"/>
  <c r="J522" i="9"/>
  <c r="K522" i="9" s="1"/>
  <c r="N522" i="9"/>
  <c r="O522" i="9"/>
  <c r="L522" i="9"/>
  <c r="I522" i="9"/>
  <c r="M526" i="9"/>
  <c r="N526" i="9"/>
  <c r="J526" i="9"/>
  <c r="K526" i="9" s="1"/>
  <c r="L526" i="9"/>
  <c r="I526" i="9"/>
  <c r="O526" i="9"/>
  <c r="M530" i="9"/>
  <c r="J530" i="9"/>
  <c r="K530" i="9" s="1"/>
  <c r="O530" i="9"/>
  <c r="N530" i="9"/>
  <c r="L530" i="9"/>
  <c r="I530" i="9"/>
  <c r="N3" i="9"/>
  <c r="I3" i="9"/>
  <c r="N7" i="9"/>
  <c r="I7" i="9"/>
  <c r="N11" i="9"/>
  <c r="I11" i="9"/>
  <c r="N15" i="9"/>
  <c r="I15" i="9"/>
  <c r="N19" i="9"/>
  <c r="I19" i="9"/>
  <c r="N23" i="9"/>
  <c r="I23" i="9"/>
  <c r="N27" i="9"/>
  <c r="I27" i="9"/>
  <c r="N31" i="9"/>
  <c r="I31" i="9"/>
  <c r="N35" i="9"/>
  <c r="I35" i="9"/>
  <c r="N39" i="9"/>
  <c r="I39" i="9"/>
  <c r="N43" i="9"/>
  <c r="I43" i="9"/>
  <c r="N47" i="9"/>
  <c r="I47" i="9"/>
  <c r="N51" i="9"/>
  <c r="I51" i="9"/>
  <c r="N55" i="9"/>
  <c r="I55" i="9"/>
  <c r="N59" i="9"/>
  <c r="I59" i="9"/>
  <c r="N63" i="9"/>
  <c r="I63" i="9"/>
  <c r="L67" i="9"/>
  <c r="J67" i="9"/>
  <c r="K67" i="9" s="1"/>
  <c r="I67" i="9"/>
  <c r="L71" i="9"/>
  <c r="N71" i="9"/>
  <c r="O71" i="9"/>
  <c r="L75" i="9"/>
  <c r="J75" i="9"/>
  <c r="K75" i="9" s="1"/>
  <c r="M75" i="9"/>
  <c r="L79" i="9"/>
  <c r="N79" i="9"/>
  <c r="I79" i="9"/>
  <c r="L83" i="9"/>
  <c r="J83" i="9"/>
  <c r="K83" i="9" s="1"/>
  <c r="N83" i="9"/>
  <c r="L87" i="9"/>
  <c r="N87" i="9"/>
  <c r="J87" i="9"/>
  <c r="K87" i="9" s="1"/>
  <c r="L91" i="9"/>
  <c r="J91" i="9"/>
  <c r="K91" i="9" s="1"/>
  <c r="O91" i="9"/>
  <c r="L95" i="9"/>
  <c r="N95" i="9"/>
  <c r="M95" i="9"/>
  <c r="L99" i="9"/>
  <c r="J99" i="9"/>
  <c r="K99" i="9" s="1"/>
  <c r="I99" i="9"/>
  <c r="L103" i="9"/>
  <c r="N103" i="9"/>
  <c r="O103" i="9"/>
  <c r="L107" i="9"/>
  <c r="J107" i="9"/>
  <c r="K107" i="9" s="1"/>
  <c r="M107" i="9"/>
  <c r="L111" i="9"/>
  <c r="N111" i="9"/>
  <c r="I111" i="9"/>
  <c r="L115" i="9"/>
  <c r="J115" i="9"/>
  <c r="K115" i="9" s="1"/>
  <c r="N115" i="9"/>
  <c r="L119" i="9"/>
  <c r="N119" i="9"/>
  <c r="J119" i="9"/>
  <c r="K119" i="9" s="1"/>
  <c r="L123" i="9"/>
  <c r="J123" i="9"/>
  <c r="K123" i="9" s="1"/>
  <c r="O123" i="9"/>
  <c r="L127" i="9"/>
  <c r="N127" i="9"/>
  <c r="M127" i="9"/>
  <c r="L131" i="9"/>
  <c r="J131" i="9"/>
  <c r="K131" i="9" s="1"/>
  <c r="I131" i="9"/>
  <c r="L135" i="9"/>
  <c r="N135" i="9"/>
  <c r="O135" i="9"/>
  <c r="L139" i="9"/>
  <c r="J139" i="9"/>
  <c r="K139" i="9" s="1"/>
  <c r="M139" i="9"/>
  <c r="L143" i="9"/>
  <c r="N143" i="9"/>
  <c r="I143" i="9"/>
  <c r="L147" i="9"/>
  <c r="J147" i="9"/>
  <c r="K147" i="9" s="1"/>
  <c r="N147" i="9"/>
  <c r="L151" i="9"/>
  <c r="N151" i="9"/>
  <c r="J151" i="9"/>
  <c r="K151" i="9" s="1"/>
  <c r="L155" i="9"/>
  <c r="J155" i="9"/>
  <c r="K155" i="9" s="1"/>
  <c r="O155" i="9"/>
  <c r="L159" i="9"/>
  <c r="N159" i="9"/>
  <c r="M159" i="9"/>
  <c r="L163" i="9"/>
  <c r="J163" i="9"/>
  <c r="K163" i="9" s="1"/>
  <c r="I163" i="9"/>
  <c r="L167" i="9"/>
  <c r="N167" i="9"/>
  <c r="O167" i="9"/>
  <c r="L171" i="9"/>
  <c r="J171" i="9"/>
  <c r="K171" i="9" s="1"/>
  <c r="N171" i="9"/>
  <c r="M171" i="9"/>
  <c r="L175" i="9"/>
  <c r="N175" i="9"/>
  <c r="J175" i="9"/>
  <c r="K175" i="9" s="1"/>
  <c r="I175" i="9"/>
  <c r="L179" i="9"/>
  <c r="J179" i="9"/>
  <c r="K179" i="9" s="1"/>
  <c r="O179" i="9"/>
  <c r="N179" i="9"/>
  <c r="L183" i="9"/>
  <c r="N183" i="9"/>
  <c r="M183" i="9"/>
  <c r="J183" i="9"/>
  <c r="K183" i="9" s="1"/>
  <c r="L187" i="9"/>
  <c r="J187" i="9"/>
  <c r="K187" i="9" s="1"/>
  <c r="I187" i="9"/>
  <c r="O187" i="9"/>
  <c r="L191" i="9"/>
  <c r="N191" i="9"/>
  <c r="O191" i="9"/>
  <c r="M191" i="9"/>
  <c r="L195" i="9"/>
  <c r="J195" i="9"/>
  <c r="K195" i="9" s="1"/>
  <c r="M195" i="9"/>
  <c r="I195" i="9"/>
  <c r="L199" i="9"/>
  <c r="N199" i="9"/>
  <c r="I199" i="9"/>
  <c r="O199" i="9"/>
  <c r="L203" i="9"/>
  <c r="J203" i="9"/>
  <c r="K203" i="9" s="1"/>
  <c r="N203" i="9"/>
  <c r="M203" i="9"/>
  <c r="L207" i="9"/>
  <c r="N207" i="9"/>
  <c r="J207" i="9"/>
  <c r="K207" i="9" s="1"/>
  <c r="I207" i="9"/>
  <c r="L211" i="9"/>
  <c r="J211" i="9"/>
  <c r="K211" i="9" s="1"/>
  <c r="O211" i="9"/>
  <c r="N211" i="9"/>
  <c r="I211" i="9"/>
  <c r="L215" i="9"/>
  <c r="N215" i="9"/>
  <c r="M215" i="9"/>
  <c r="J215" i="9"/>
  <c r="K215" i="9" s="1"/>
  <c r="I215" i="9"/>
  <c r="O215" i="9"/>
  <c r="L219" i="9"/>
  <c r="J219" i="9"/>
  <c r="K219" i="9" s="1"/>
  <c r="I219" i="9"/>
  <c r="O219" i="9"/>
  <c r="N219" i="9"/>
  <c r="M219" i="9"/>
  <c r="L223" i="9"/>
  <c r="N223" i="9"/>
  <c r="O223" i="9"/>
  <c r="M223" i="9"/>
  <c r="J223" i="9"/>
  <c r="K223" i="9" s="1"/>
  <c r="I223" i="9"/>
  <c r="L227" i="9"/>
  <c r="J227" i="9"/>
  <c r="K227" i="9" s="1"/>
  <c r="M227" i="9"/>
  <c r="I227" i="9"/>
  <c r="O227" i="9"/>
  <c r="N227" i="9"/>
  <c r="L231" i="9"/>
  <c r="N231" i="9"/>
  <c r="I231" i="9"/>
  <c r="O231" i="9"/>
  <c r="M231" i="9"/>
  <c r="J231" i="9"/>
  <c r="K231" i="9" s="1"/>
  <c r="L235" i="9"/>
  <c r="J235" i="9"/>
  <c r="K235" i="9" s="1"/>
  <c r="N235" i="9"/>
  <c r="M235" i="9"/>
  <c r="I235" i="9"/>
  <c r="O235" i="9"/>
  <c r="L239" i="9"/>
  <c r="N239" i="9"/>
  <c r="J239" i="9"/>
  <c r="K239" i="9" s="1"/>
  <c r="I239" i="9"/>
  <c r="O239" i="9"/>
  <c r="M239" i="9"/>
  <c r="L243" i="9"/>
  <c r="J243" i="9"/>
  <c r="K243" i="9" s="1"/>
  <c r="O243" i="9"/>
  <c r="N243" i="9"/>
  <c r="M243" i="9"/>
  <c r="I243" i="9"/>
  <c r="L247" i="9"/>
  <c r="N247" i="9"/>
  <c r="M247" i="9"/>
  <c r="J247" i="9"/>
  <c r="K247" i="9" s="1"/>
  <c r="I247" i="9"/>
  <c r="O247" i="9"/>
  <c r="L251" i="9"/>
  <c r="J251" i="9"/>
  <c r="K251" i="9" s="1"/>
  <c r="I251" i="9"/>
  <c r="O251" i="9"/>
  <c r="N251" i="9"/>
  <c r="M251" i="9"/>
  <c r="L255" i="9"/>
  <c r="N255" i="9"/>
  <c r="O255" i="9"/>
  <c r="M255" i="9"/>
  <c r="J255" i="9"/>
  <c r="K255" i="9" s="1"/>
  <c r="I255" i="9"/>
  <c r="L259" i="9"/>
  <c r="J259" i="9"/>
  <c r="K259" i="9" s="1"/>
  <c r="M259" i="9"/>
  <c r="I259" i="9"/>
  <c r="O259" i="9"/>
  <c r="N259" i="9"/>
  <c r="L263" i="9"/>
  <c r="N263" i="9"/>
  <c r="I263" i="9"/>
  <c r="O263" i="9"/>
  <c r="M263" i="9"/>
  <c r="J263" i="9"/>
  <c r="K263" i="9" s="1"/>
  <c r="L267" i="9"/>
  <c r="J267" i="9"/>
  <c r="K267" i="9" s="1"/>
  <c r="N267" i="9"/>
  <c r="M267" i="9"/>
  <c r="I267" i="9"/>
  <c r="O267" i="9"/>
  <c r="L271" i="9"/>
  <c r="N271" i="9"/>
  <c r="J271" i="9"/>
  <c r="K271" i="9" s="1"/>
  <c r="I271" i="9"/>
  <c r="O271" i="9"/>
  <c r="M271" i="9"/>
  <c r="L275" i="9"/>
  <c r="J275" i="9"/>
  <c r="K275" i="9" s="1"/>
  <c r="O275" i="9"/>
  <c r="N275" i="9"/>
  <c r="M275" i="9"/>
  <c r="I275" i="9"/>
  <c r="L279" i="9"/>
  <c r="N279" i="9"/>
  <c r="M279" i="9"/>
  <c r="J279" i="9"/>
  <c r="K279" i="9" s="1"/>
  <c r="I279" i="9"/>
  <c r="O279" i="9"/>
  <c r="L283" i="9"/>
  <c r="J283" i="9"/>
  <c r="K283" i="9" s="1"/>
  <c r="I283" i="9"/>
  <c r="O283" i="9"/>
  <c r="N283" i="9"/>
  <c r="M283" i="9"/>
  <c r="L287" i="9"/>
  <c r="N287" i="9"/>
  <c r="O287" i="9"/>
  <c r="M287" i="9"/>
  <c r="J287" i="9"/>
  <c r="K287" i="9" s="1"/>
  <c r="I287" i="9"/>
  <c r="L291" i="9"/>
  <c r="J291" i="9"/>
  <c r="K291" i="9" s="1"/>
  <c r="I291" i="9"/>
  <c r="O291" i="9"/>
  <c r="N291" i="9"/>
  <c r="M291" i="9"/>
  <c r="L295" i="9"/>
  <c r="N295" i="9"/>
  <c r="O295" i="9"/>
  <c r="M295" i="9"/>
  <c r="J295" i="9"/>
  <c r="K295" i="9" s="1"/>
  <c r="I295" i="9"/>
  <c r="L299" i="9"/>
  <c r="J299" i="9"/>
  <c r="K299" i="9" s="1"/>
  <c r="M299" i="9"/>
  <c r="I299" i="9"/>
  <c r="N299" i="9"/>
  <c r="O299" i="9"/>
  <c r="L303" i="9"/>
  <c r="N303" i="9"/>
  <c r="I303" i="9"/>
  <c r="O303" i="9"/>
  <c r="J303" i="9"/>
  <c r="K303" i="9" s="1"/>
  <c r="M303" i="9"/>
  <c r="L307" i="9"/>
  <c r="J307" i="9"/>
  <c r="K307" i="9" s="1"/>
  <c r="N307" i="9"/>
  <c r="M307" i="9"/>
  <c r="I307" i="9"/>
  <c r="O307" i="9"/>
  <c r="L311" i="9"/>
  <c r="N311" i="9"/>
  <c r="J311" i="9"/>
  <c r="K311" i="9" s="1"/>
  <c r="I311" i="9"/>
  <c r="O311" i="9"/>
  <c r="M311" i="9"/>
  <c r="L315" i="9"/>
  <c r="J315" i="9"/>
  <c r="K315" i="9" s="1"/>
  <c r="O315" i="9"/>
  <c r="N315" i="9"/>
  <c r="M315" i="9"/>
  <c r="I315" i="9"/>
  <c r="L319" i="9"/>
  <c r="N319" i="9"/>
  <c r="M319" i="9"/>
  <c r="J319" i="9"/>
  <c r="K319" i="9" s="1"/>
  <c r="I319" i="9"/>
  <c r="O319" i="9"/>
  <c r="L323" i="9"/>
  <c r="J323" i="9"/>
  <c r="K323" i="9" s="1"/>
  <c r="I323" i="9"/>
  <c r="O323" i="9"/>
  <c r="N323" i="9"/>
  <c r="M323" i="9"/>
  <c r="L327" i="9"/>
  <c r="N327" i="9"/>
  <c r="O327" i="9"/>
  <c r="M327" i="9"/>
  <c r="J327" i="9"/>
  <c r="K327" i="9" s="1"/>
  <c r="I327" i="9"/>
  <c r="L331" i="9"/>
  <c r="J331" i="9"/>
  <c r="K331" i="9" s="1"/>
  <c r="M331" i="9"/>
  <c r="I331" i="9"/>
  <c r="O331" i="9"/>
  <c r="N331" i="9"/>
  <c r="L335" i="9"/>
  <c r="N335" i="9"/>
  <c r="I335" i="9"/>
  <c r="O335" i="9"/>
  <c r="M335" i="9"/>
  <c r="J335" i="9"/>
  <c r="K335" i="9" s="1"/>
  <c r="L339" i="9"/>
  <c r="J339" i="9"/>
  <c r="K339" i="9" s="1"/>
  <c r="N339" i="9"/>
  <c r="M339" i="9"/>
  <c r="I339" i="9"/>
  <c r="O339" i="9"/>
  <c r="L343" i="9"/>
  <c r="N343" i="9"/>
  <c r="J343" i="9"/>
  <c r="K343" i="9" s="1"/>
  <c r="I343" i="9"/>
  <c r="O343" i="9"/>
  <c r="M343" i="9"/>
  <c r="L347" i="9"/>
  <c r="J347" i="9"/>
  <c r="K347" i="9" s="1"/>
  <c r="O347" i="9"/>
  <c r="N347" i="9"/>
  <c r="M347" i="9"/>
  <c r="I347" i="9"/>
  <c r="M351" i="9"/>
  <c r="N351" i="9"/>
  <c r="I351" i="9"/>
  <c r="O351" i="9"/>
  <c r="L351" i="9"/>
  <c r="J351" i="9"/>
  <c r="K351" i="9" s="1"/>
  <c r="M355" i="9"/>
  <c r="J355" i="9"/>
  <c r="K355" i="9" s="1"/>
  <c r="N355" i="9"/>
  <c r="I355" i="9"/>
  <c r="O355" i="9"/>
  <c r="L355" i="9"/>
  <c r="M359" i="9"/>
  <c r="N359" i="9"/>
  <c r="J359" i="9"/>
  <c r="K359" i="9" s="1"/>
  <c r="O359" i="9"/>
  <c r="L359" i="9"/>
  <c r="I359" i="9"/>
  <c r="M363" i="9"/>
  <c r="J363" i="9"/>
  <c r="K363" i="9" s="1"/>
  <c r="O363" i="9"/>
  <c r="I363" i="9"/>
  <c r="N363" i="9"/>
  <c r="L363" i="9"/>
  <c r="M367" i="9"/>
  <c r="N367" i="9"/>
  <c r="L367" i="9"/>
  <c r="O367" i="9"/>
  <c r="J367" i="9"/>
  <c r="K367" i="9" s="1"/>
  <c r="I367" i="9"/>
  <c r="M371" i="9"/>
  <c r="J371" i="9"/>
  <c r="K371" i="9" s="1"/>
  <c r="I371" i="9"/>
  <c r="O371" i="9"/>
  <c r="N371" i="9"/>
  <c r="L371" i="9"/>
  <c r="M375" i="9"/>
  <c r="N375" i="9"/>
  <c r="O375" i="9"/>
  <c r="L375" i="9"/>
  <c r="J375" i="9"/>
  <c r="K375" i="9" s="1"/>
  <c r="I375" i="9"/>
  <c r="M379" i="9"/>
  <c r="J379" i="9"/>
  <c r="K379" i="9" s="1"/>
  <c r="L379" i="9"/>
  <c r="I379" i="9"/>
  <c r="N379" i="9"/>
  <c r="O379" i="9"/>
  <c r="M383" i="9"/>
  <c r="N383" i="9"/>
  <c r="I383" i="9"/>
  <c r="O383" i="9"/>
  <c r="L383" i="9"/>
  <c r="J383" i="9"/>
  <c r="K383" i="9" s="1"/>
  <c r="M387" i="9"/>
  <c r="J387" i="9"/>
  <c r="K387" i="9" s="1"/>
  <c r="N387" i="9"/>
  <c r="L387" i="9"/>
  <c r="O387" i="9"/>
  <c r="I387" i="9"/>
  <c r="M391" i="9"/>
  <c r="N391" i="9"/>
  <c r="J391" i="9"/>
  <c r="K391" i="9" s="1"/>
  <c r="I391" i="9"/>
  <c r="O391" i="9"/>
  <c r="L391" i="9"/>
  <c r="M395" i="9"/>
  <c r="J395" i="9"/>
  <c r="K395" i="9" s="1"/>
  <c r="O395" i="9"/>
  <c r="N395" i="9"/>
  <c r="L395" i="9"/>
  <c r="I395" i="9"/>
  <c r="M399" i="9"/>
  <c r="N399" i="9"/>
  <c r="L399" i="9"/>
  <c r="J399" i="9"/>
  <c r="K399" i="9" s="1"/>
  <c r="O399" i="9"/>
  <c r="I399" i="9"/>
  <c r="M403" i="9"/>
  <c r="J403" i="9"/>
  <c r="K403" i="9" s="1"/>
  <c r="I403" i="9"/>
  <c r="O403" i="9"/>
  <c r="N403" i="9"/>
  <c r="L403" i="9"/>
  <c r="M407" i="9"/>
  <c r="N407" i="9"/>
  <c r="O407" i="9"/>
  <c r="L407" i="9"/>
  <c r="J407" i="9"/>
  <c r="K407" i="9" s="1"/>
  <c r="I407" i="9"/>
  <c r="M411" i="9"/>
  <c r="J411" i="9"/>
  <c r="K411" i="9" s="1"/>
  <c r="L411" i="9"/>
  <c r="I411" i="9"/>
  <c r="N411" i="9"/>
  <c r="O411" i="9"/>
  <c r="M415" i="9"/>
  <c r="N415" i="9"/>
  <c r="I415" i="9"/>
  <c r="O415" i="9"/>
  <c r="L415" i="9"/>
  <c r="J415" i="9"/>
  <c r="K415" i="9" s="1"/>
  <c r="M419" i="9"/>
  <c r="J419" i="9"/>
  <c r="K419" i="9" s="1"/>
  <c r="N419" i="9"/>
  <c r="L419" i="9"/>
  <c r="O419" i="9"/>
  <c r="I419" i="9"/>
  <c r="M423" i="9"/>
  <c r="N423" i="9"/>
  <c r="J423" i="9"/>
  <c r="K423" i="9" s="1"/>
  <c r="I423" i="9"/>
  <c r="O423" i="9"/>
  <c r="L423" i="9"/>
  <c r="M427" i="9"/>
  <c r="J427" i="9"/>
  <c r="K427" i="9" s="1"/>
  <c r="O427" i="9"/>
  <c r="N427" i="9"/>
  <c r="L427" i="9"/>
  <c r="I427" i="9"/>
  <c r="M431" i="9"/>
  <c r="N431" i="9"/>
  <c r="L431" i="9"/>
  <c r="J431" i="9"/>
  <c r="K431" i="9" s="1"/>
  <c r="O431" i="9"/>
  <c r="I431" i="9"/>
  <c r="M435" i="9"/>
  <c r="J435" i="9"/>
  <c r="K435" i="9" s="1"/>
  <c r="I435" i="9"/>
  <c r="O435" i="9"/>
  <c r="N435" i="9"/>
  <c r="L435" i="9"/>
  <c r="M439" i="9"/>
  <c r="N439" i="9"/>
  <c r="O439" i="9"/>
  <c r="L439" i="9"/>
  <c r="J439" i="9"/>
  <c r="K439" i="9" s="1"/>
  <c r="I439" i="9"/>
  <c r="M443" i="9"/>
  <c r="J443" i="9"/>
  <c r="K443" i="9" s="1"/>
  <c r="L443" i="9"/>
  <c r="I443" i="9"/>
  <c r="N443" i="9"/>
  <c r="O443" i="9"/>
  <c r="M447" i="9"/>
  <c r="N447" i="9"/>
  <c r="I447" i="9"/>
  <c r="O447" i="9"/>
  <c r="L447" i="9"/>
  <c r="J447" i="9"/>
  <c r="K447" i="9" s="1"/>
  <c r="M451" i="9"/>
  <c r="J451" i="9"/>
  <c r="K451" i="9" s="1"/>
  <c r="N451" i="9"/>
  <c r="L451" i="9"/>
  <c r="O451" i="9"/>
  <c r="I451" i="9"/>
  <c r="M455" i="9"/>
  <c r="N455" i="9"/>
  <c r="J455" i="9"/>
  <c r="K455" i="9" s="1"/>
  <c r="I455" i="9"/>
  <c r="O455" i="9"/>
  <c r="L455" i="9"/>
  <c r="M459" i="9"/>
  <c r="J459" i="9"/>
  <c r="K459" i="9" s="1"/>
  <c r="O459" i="9"/>
  <c r="N459" i="9"/>
  <c r="L459" i="9"/>
  <c r="I459" i="9"/>
  <c r="M463" i="9"/>
  <c r="N463" i="9"/>
  <c r="L463" i="9"/>
  <c r="J463" i="9"/>
  <c r="K463" i="9" s="1"/>
  <c r="O463" i="9"/>
  <c r="I463" i="9"/>
  <c r="M467" i="9"/>
  <c r="J467" i="9"/>
  <c r="K467" i="9" s="1"/>
  <c r="I467" i="9"/>
  <c r="O467" i="9"/>
  <c r="L467" i="9"/>
  <c r="N467" i="9"/>
  <c r="M471" i="9"/>
  <c r="N471" i="9"/>
  <c r="O471" i="9"/>
  <c r="L471" i="9"/>
  <c r="I471" i="9"/>
  <c r="J471" i="9"/>
  <c r="K471" i="9" s="1"/>
  <c r="M475" i="9"/>
  <c r="J475" i="9"/>
  <c r="K475" i="9" s="1"/>
  <c r="L475" i="9"/>
  <c r="I475" i="9"/>
  <c r="N475" i="9"/>
  <c r="O475" i="9"/>
  <c r="M479" i="9"/>
  <c r="N479" i="9"/>
  <c r="I479" i="9"/>
  <c r="O479" i="9"/>
  <c r="J479" i="9"/>
  <c r="K479" i="9" s="1"/>
  <c r="L479" i="9"/>
  <c r="M483" i="9"/>
  <c r="J483" i="9"/>
  <c r="K483" i="9" s="1"/>
  <c r="N483" i="9"/>
  <c r="L483" i="9"/>
  <c r="I483" i="9"/>
  <c r="O483" i="9"/>
  <c r="M487" i="9"/>
  <c r="N487" i="9"/>
  <c r="J487" i="9"/>
  <c r="K487" i="9" s="1"/>
  <c r="I487" i="9"/>
  <c r="O487" i="9"/>
  <c r="L487" i="9"/>
  <c r="M491" i="9"/>
  <c r="J491" i="9"/>
  <c r="K491" i="9" s="1"/>
  <c r="O491" i="9"/>
  <c r="N491" i="9"/>
  <c r="L491" i="9"/>
  <c r="I491" i="9"/>
  <c r="O495" i="9"/>
  <c r="J495" i="9"/>
  <c r="K495" i="9" s="1"/>
  <c r="M495" i="9"/>
  <c r="L495" i="9"/>
  <c r="N495" i="9"/>
  <c r="I495" i="9"/>
  <c r="O499" i="9"/>
  <c r="J499" i="9"/>
  <c r="K499" i="9" s="1"/>
  <c r="I499" i="9"/>
  <c r="M499" i="9"/>
  <c r="L499" i="9"/>
  <c r="N499" i="9"/>
  <c r="O503" i="9"/>
  <c r="J503" i="9"/>
  <c r="K503" i="9" s="1"/>
  <c r="M503" i="9"/>
  <c r="N503" i="9"/>
  <c r="L503" i="9"/>
  <c r="I503" i="9"/>
  <c r="O507" i="9"/>
  <c r="J507" i="9"/>
  <c r="K507" i="9" s="1"/>
  <c r="I507" i="9"/>
  <c r="L507" i="9"/>
  <c r="M507" i="9"/>
  <c r="N507" i="9"/>
  <c r="O511" i="9"/>
  <c r="J511" i="9"/>
  <c r="K511" i="9" s="1"/>
  <c r="M511" i="9"/>
  <c r="N511" i="9"/>
  <c r="L511" i="9"/>
  <c r="I511" i="9"/>
  <c r="O515" i="9"/>
  <c r="J515" i="9"/>
  <c r="K515" i="9" s="1"/>
  <c r="I515" i="9"/>
  <c r="M515" i="9"/>
  <c r="L515" i="9"/>
  <c r="N515" i="9"/>
  <c r="O519" i="9"/>
  <c r="J519" i="9"/>
  <c r="K519" i="9" s="1"/>
  <c r="M519" i="9"/>
  <c r="I519" i="9"/>
  <c r="N519" i="9"/>
  <c r="L519" i="9"/>
  <c r="O523" i="9"/>
  <c r="J523" i="9"/>
  <c r="K523" i="9" s="1"/>
  <c r="I523" i="9"/>
  <c r="N523" i="9"/>
  <c r="L523" i="9"/>
  <c r="M523" i="9"/>
  <c r="O527" i="9"/>
  <c r="J527" i="9"/>
  <c r="K527" i="9" s="1"/>
  <c r="M527" i="9"/>
  <c r="L527" i="9"/>
  <c r="N527" i="9"/>
  <c r="I527" i="9"/>
  <c r="O531" i="9"/>
  <c r="J531" i="9"/>
  <c r="K531" i="9" s="1"/>
  <c r="I531" i="9"/>
  <c r="L531" i="9"/>
  <c r="N531" i="9"/>
  <c r="M531" i="9"/>
  <c r="O3" i="9"/>
  <c r="L7" i="9"/>
  <c r="O11" i="9"/>
  <c r="L15" i="9"/>
  <c r="O19" i="9"/>
  <c r="L23" i="9"/>
  <c r="O27" i="9"/>
  <c r="L31" i="9"/>
  <c r="O35" i="9"/>
  <c r="L39" i="9"/>
  <c r="O43" i="9"/>
  <c r="L47" i="9"/>
  <c r="O51" i="9"/>
  <c r="L55" i="9"/>
  <c r="O59" i="9"/>
  <c r="L63" i="9"/>
  <c r="M67" i="9"/>
  <c r="M71" i="9"/>
  <c r="J79" i="9"/>
  <c r="K79" i="9" s="1"/>
  <c r="M83" i="9"/>
  <c r="O87" i="9"/>
  <c r="J95" i="9"/>
  <c r="K95" i="9" s="1"/>
  <c r="N99" i="9"/>
  <c r="I107" i="9"/>
  <c r="M111" i="9"/>
  <c r="O115" i="9"/>
  <c r="I123" i="9"/>
  <c r="O127" i="9"/>
  <c r="O131" i="9"/>
  <c r="I135" i="9"/>
  <c r="N139" i="9"/>
  <c r="O143" i="9"/>
  <c r="I151" i="9"/>
  <c r="M155" i="9"/>
  <c r="J167" i="9"/>
  <c r="K167" i="9" s="1"/>
  <c r="I171" i="9"/>
  <c r="J3" i="9"/>
  <c r="K3" i="9" s="1"/>
  <c r="M7" i="9"/>
  <c r="J11" i="9"/>
  <c r="K11" i="9" s="1"/>
  <c r="M15" i="9"/>
  <c r="J19" i="9"/>
  <c r="K19" i="9" s="1"/>
  <c r="M23" i="9"/>
  <c r="J27" i="9"/>
  <c r="K27" i="9" s="1"/>
  <c r="M31" i="9"/>
  <c r="J35" i="9"/>
  <c r="K35" i="9" s="1"/>
  <c r="M39" i="9"/>
  <c r="J43" i="9"/>
  <c r="K43" i="9" s="1"/>
  <c r="M47" i="9"/>
  <c r="J51" i="9"/>
  <c r="K51" i="9" s="1"/>
  <c r="M55" i="9"/>
  <c r="J59" i="9"/>
  <c r="K59" i="9" s="1"/>
  <c r="M63" i="9"/>
  <c r="N67" i="9"/>
  <c r="I75" i="9"/>
  <c r="M79" i="9"/>
  <c r="O83" i="9"/>
  <c r="I91" i="9"/>
  <c r="O95" i="9"/>
  <c r="O99" i="9"/>
  <c r="I103" i="9"/>
  <c r="N107" i="9"/>
  <c r="O111" i="9"/>
  <c r="I119" i="9"/>
  <c r="M123" i="9"/>
  <c r="J135" i="9"/>
  <c r="K135" i="9" s="1"/>
  <c r="O139" i="9"/>
  <c r="I147" i="9"/>
  <c r="M151" i="9"/>
  <c r="N155" i="9"/>
  <c r="I159" i="9"/>
  <c r="M163" i="9"/>
  <c r="M167" i="9"/>
  <c r="O171" i="9"/>
  <c r="M175" i="9"/>
  <c r="I179" i="9"/>
  <c r="I183" i="9"/>
  <c r="I191" i="9"/>
  <c r="O67" i="9"/>
  <c r="I71" i="9"/>
  <c r="N75" i="9"/>
  <c r="O79" i="9"/>
  <c r="I87" i="9"/>
  <c r="M91" i="9"/>
  <c r="J103" i="9"/>
  <c r="K103" i="9" s="1"/>
  <c r="O107" i="9"/>
  <c r="I115" i="9"/>
  <c r="M119" i="9"/>
  <c r="N123" i="9"/>
  <c r="I127" i="9"/>
  <c r="M131" i="9"/>
  <c r="M135" i="9"/>
  <c r="J143" i="9"/>
  <c r="K143" i="9" s="1"/>
  <c r="M147" i="9"/>
  <c r="O151" i="9"/>
  <c r="J159" i="9"/>
  <c r="K159" i="9" s="1"/>
  <c r="N163" i="9"/>
  <c r="O175" i="9"/>
  <c r="M179" i="9"/>
  <c r="O183" i="9"/>
  <c r="M187" i="9"/>
  <c r="J191" i="9"/>
  <c r="K191" i="9" s="1"/>
  <c r="N195" i="9"/>
  <c r="J199" i="9"/>
  <c r="K199" i="9" s="1"/>
  <c r="I203" i="9"/>
  <c r="M211" i="9"/>
  <c r="N68" i="9"/>
  <c r="I68" i="9"/>
  <c r="N72" i="9"/>
  <c r="I72" i="9"/>
  <c r="N76" i="9"/>
  <c r="I76" i="9"/>
  <c r="N80" i="9"/>
  <c r="I80" i="9"/>
  <c r="N84" i="9"/>
  <c r="I84" i="9"/>
  <c r="N88" i="9"/>
  <c r="I88" i="9"/>
  <c r="N92" i="9"/>
  <c r="I92" i="9"/>
  <c r="N96" i="9"/>
  <c r="I96" i="9"/>
  <c r="N100" i="9"/>
  <c r="I100" i="9"/>
  <c r="N104" i="9"/>
  <c r="I104" i="9"/>
  <c r="N108" i="9"/>
  <c r="I108" i="9"/>
  <c r="N112" i="9"/>
  <c r="I112" i="9"/>
  <c r="N116" i="9"/>
  <c r="I116" i="9"/>
  <c r="N120" i="9"/>
  <c r="I120" i="9"/>
  <c r="N124" i="9"/>
  <c r="I124" i="9"/>
  <c r="N128" i="9"/>
  <c r="I128" i="9"/>
  <c r="N132" i="9"/>
  <c r="I132" i="9"/>
  <c r="N136" i="9"/>
  <c r="I136" i="9"/>
  <c r="N140" i="9"/>
  <c r="I140" i="9"/>
  <c r="N144" i="9"/>
  <c r="I144" i="9"/>
  <c r="N148" i="9"/>
  <c r="I148" i="9"/>
  <c r="N152" i="9"/>
  <c r="I152" i="9"/>
  <c r="N156" i="9"/>
  <c r="I156" i="9"/>
  <c r="N160" i="9"/>
  <c r="I160" i="9"/>
  <c r="N164" i="9"/>
  <c r="I164" i="9"/>
  <c r="N168" i="9"/>
  <c r="I168" i="9"/>
  <c r="N172" i="9"/>
  <c r="I172" i="9"/>
  <c r="N176" i="9"/>
  <c r="I176" i="9"/>
  <c r="N180" i="9"/>
  <c r="I180" i="9"/>
  <c r="N184" i="9"/>
  <c r="I184" i="9"/>
  <c r="N188" i="9"/>
  <c r="I188" i="9"/>
  <c r="N192" i="9"/>
  <c r="I192" i="9"/>
  <c r="N196" i="9"/>
  <c r="I196" i="9"/>
  <c r="N200" i="9"/>
  <c r="I200" i="9"/>
  <c r="N204" i="9"/>
  <c r="I204" i="9"/>
  <c r="N208" i="9"/>
  <c r="I208" i="9"/>
  <c r="N212" i="9"/>
  <c r="I212" i="9"/>
  <c r="N216" i="9"/>
  <c r="I216" i="9"/>
  <c r="N220" i="9"/>
  <c r="I220" i="9"/>
  <c r="N224" i="9"/>
  <c r="I224" i="9"/>
  <c r="N228" i="9"/>
  <c r="I228" i="9"/>
  <c r="N232" i="9"/>
  <c r="I232" i="9"/>
  <c r="N236" i="9"/>
  <c r="I236" i="9"/>
  <c r="N240" i="9"/>
  <c r="I240" i="9"/>
  <c r="N244" i="9"/>
  <c r="I244" i="9"/>
  <c r="N248" i="9"/>
  <c r="I248" i="9"/>
  <c r="N252" i="9"/>
  <c r="I252" i="9"/>
  <c r="N256" i="9"/>
  <c r="I256" i="9"/>
  <c r="N260" i="9"/>
  <c r="I260" i="9"/>
  <c r="N264" i="9"/>
  <c r="I264" i="9"/>
  <c r="N268" i="9"/>
  <c r="I268" i="9"/>
  <c r="N272" i="9"/>
  <c r="I272" i="9"/>
  <c r="N276" i="9"/>
  <c r="I276" i="9"/>
  <c r="N280" i="9"/>
  <c r="I280" i="9"/>
  <c r="N284" i="9"/>
  <c r="I284" i="9"/>
  <c r="N288" i="9"/>
  <c r="I288" i="9"/>
  <c r="N292" i="9"/>
  <c r="I292" i="9"/>
  <c r="N296" i="9"/>
  <c r="I296" i="9"/>
  <c r="N300" i="9"/>
  <c r="I300" i="9"/>
  <c r="N304" i="9"/>
  <c r="I304" i="9"/>
  <c r="N308" i="9"/>
  <c r="I308" i="9"/>
  <c r="N312" i="9"/>
  <c r="I312" i="9"/>
  <c r="N316" i="9"/>
  <c r="I316" i="9"/>
  <c r="N320" i="9"/>
  <c r="I320" i="9"/>
  <c r="N324" i="9"/>
  <c r="I324" i="9"/>
  <c r="N328" i="9"/>
  <c r="I328" i="9"/>
  <c r="N332" i="9"/>
  <c r="I332" i="9"/>
  <c r="N336" i="9"/>
  <c r="I336" i="9"/>
  <c r="N340" i="9"/>
  <c r="I340" i="9"/>
  <c r="N344" i="9"/>
  <c r="I344" i="9"/>
  <c r="N348" i="9"/>
  <c r="I348" i="9"/>
  <c r="O352" i="9"/>
  <c r="J352" i="9"/>
  <c r="K352" i="9" s="1"/>
  <c r="M352" i="9"/>
  <c r="O356" i="9"/>
  <c r="J356" i="9"/>
  <c r="K356" i="9" s="1"/>
  <c r="I356" i="9"/>
  <c r="O360" i="9"/>
  <c r="J360" i="9"/>
  <c r="K360" i="9" s="1"/>
  <c r="M360" i="9"/>
  <c r="O364" i="9"/>
  <c r="J364" i="9"/>
  <c r="K364" i="9" s="1"/>
  <c r="I364" i="9"/>
  <c r="O368" i="9"/>
  <c r="J368" i="9"/>
  <c r="K368" i="9" s="1"/>
  <c r="M368" i="9"/>
  <c r="O372" i="9"/>
  <c r="J372" i="9"/>
  <c r="K372" i="9" s="1"/>
  <c r="I372" i="9"/>
  <c r="O376" i="9"/>
  <c r="J376" i="9"/>
  <c r="K376" i="9" s="1"/>
  <c r="M376" i="9"/>
  <c r="O380" i="9"/>
  <c r="J380" i="9"/>
  <c r="K380" i="9" s="1"/>
  <c r="I380" i="9"/>
  <c r="O384" i="9"/>
  <c r="J384" i="9"/>
  <c r="K384" i="9" s="1"/>
  <c r="M384" i="9"/>
  <c r="O388" i="9"/>
  <c r="J388" i="9"/>
  <c r="K388" i="9" s="1"/>
  <c r="I388" i="9"/>
  <c r="O392" i="9"/>
  <c r="J392" i="9"/>
  <c r="K392" i="9" s="1"/>
  <c r="M392" i="9"/>
  <c r="O396" i="9"/>
  <c r="J396" i="9"/>
  <c r="K396" i="9" s="1"/>
  <c r="I396" i="9"/>
  <c r="O400" i="9"/>
  <c r="J400" i="9"/>
  <c r="K400" i="9" s="1"/>
  <c r="M400" i="9"/>
  <c r="O404" i="9"/>
  <c r="J404" i="9"/>
  <c r="K404" i="9" s="1"/>
  <c r="I404" i="9"/>
  <c r="O408" i="9"/>
  <c r="J408" i="9"/>
  <c r="K408" i="9" s="1"/>
  <c r="M408" i="9"/>
  <c r="O412" i="9"/>
  <c r="J412" i="9"/>
  <c r="K412" i="9" s="1"/>
  <c r="I412" i="9"/>
  <c r="O416" i="9"/>
  <c r="J416" i="9"/>
  <c r="K416" i="9" s="1"/>
  <c r="M416" i="9"/>
  <c r="O420" i="9"/>
  <c r="J420" i="9"/>
  <c r="K420" i="9" s="1"/>
  <c r="I420" i="9"/>
  <c r="O424" i="9"/>
  <c r="J424" i="9"/>
  <c r="K424" i="9" s="1"/>
  <c r="M424" i="9"/>
  <c r="O428" i="9"/>
  <c r="J428" i="9"/>
  <c r="K428" i="9" s="1"/>
  <c r="I428" i="9"/>
  <c r="O432" i="9"/>
  <c r="J432" i="9"/>
  <c r="K432" i="9" s="1"/>
  <c r="M432" i="9"/>
  <c r="O436" i="9"/>
  <c r="J436" i="9"/>
  <c r="K436" i="9" s="1"/>
  <c r="I436" i="9"/>
  <c r="O440" i="9"/>
  <c r="J440" i="9"/>
  <c r="K440" i="9" s="1"/>
  <c r="M440" i="9"/>
  <c r="O444" i="9"/>
  <c r="J444" i="9"/>
  <c r="K444" i="9" s="1"/>
  <c r="I444" i="9"/>
  <c r="O448" i="9"/>
  <c r="J448" i="9"/>
  <c r="K448" i="9" s="1"/>
  <c r="M448" i="9"/>
  <c r="O452" i="9"/>
  <c r="J452" i="9"/>
  <c r="K452" i="9" s="1"/>
  <c r="I452" i="9"/>
  <c r="O456" i="9"/>
  <c r="J456" i="9"/>
  <c r="K456" i="9" s="1"/>
  <c r="M456" i="9"/>
  <c r="O460" i="9"/>
  <c r="J460" i="9"/>
  <c r="K460" i="9" s="1"/>
  <c r="I460" i="9"/>
  <c r="O464" i="9"/>
  <c r="J464" i="9"/>
  <c r="K464" i="9" s="1"/>
  <c r="M464" i="9"/>
  <c r="O468" i="9"/>
  <c r="J468" i="9"/>
  <c r="K468" i="9" s="1"/>
  <c r="I468" i="9"/>
  <c r="O472" i="9"/>
  <c r="J472" i="9"/>
  <c r="K472" i="9" s="1"/>
  <c r="M472" i="9"/>
  <c r="O476" i="9"/>
  <c r="J476" i="9"/>
  <c r="K476" i="9" s="1"/>
  <c r="I476" i="9"/>
  <c r="O480" i="9"/>
  <c r="J480" i="9"/>
  <c r="K480" i="9" s="1"/>
  <c r="M480" i="9"/>
  <c r="O484" i="9"/>
  <c r="J484" i="9"/>
  <c r="K484" i="9" s="1"/>
  <c r="I484" i="9"/>
  <c r="O488" i="9"/>
  <c r="J488" i="9"/>
  <c r="K488" i="9" s="1"/>
  <c r="M488" i="9"/>
  <c r="O492" i="9"/>
  <c r="J492" i="9"/>
  <c r="K492" i="9" s="1"/>
  <c r="I492" i="9"/>
  <c r="M496" i="9"/>
  <c r="L496" i="9"/>
  <c r="N496" i="9"/>
  <c r="M500" i="9"/>
  <c r="O500" i="9"/>
  <c r="I500" i="9"/>
  <c r="J500" i="9"/>
  <c r="K500" i="9" s="1"/>
  <c r="M504" i="9"/>
  <c r="L504" i="9"/>
  <c r="O504" i="9"/>
  <c r="M508" i="9"/>
  <c r="O508" i="9"/>
  <c r="I508" i="9"/>
  <c r="L508" i="9"/>
  <c r="M512" i="9"/>
  <c r="L512" i="9"/>
  <c r="I512" i="9"/>
  <c r="M516" i="9"/>
  <c r="O516" i="9"/>
  <c r="I516" i="9"/>
  <c r="N516" i="9"/>
  <c r="M520" i="9"/>
  <c r="L520" i="9"/>
  <c r="J520" i="9"/>
  <c r="K520" i="9" s="1"/>
  <c r="M524" i="9"/>
  <c r="O524" i="9"/>
  <c r="I524" i="9"/>
  <c r="M528" i="9"/>
  <c r="L528" i="9"/>
  <c r="N528" i="9"/>
  <c r="J68" i="9"/>
  <c r="K68" i="9" s="1"/>
  <c r="M72" i="9"/>
  <c r="J76" i="9"/>
  <c r="K76" i="9" s="1"/>
  <c r="M80" i="9"/>
  <c r="J84" i="9"/>
  <c r="K84" i="9" s="1"/>
  <c r="M88" i="9"/>
  <c r="J92" i="9"/>
  <c r="K92" i="9" s="1"/>
  <c r="M96" i="9"/>
  <c r="J100" i="9"/>
  <c r="K100" i="9" s="1"/>
  <c r="M104" i="9"/>
  <c r="J108" i="9"/>
  <c r="K108" i="9" s="1"/>
  <c r="M112" i="9"/>
  <c r="J116" i="9"/>
  <c r="K116" i="9" s="1"/>
  <c r="M120" i="9"/>
  <c r="J124" i="9"/>
  <c r="K124" i="9" s="1"/>
  <c r="M128" i="9"/>
  <c r="J132" i="9"/>
  <c r="K132" i="9" s="1"/>
  <c r="M136" i="9"/>
  <c r="J140" i="9"/>
  <c r="K140" i="9" s="1"/>
  <c r="M144" i="9"/>
  <c r="J148" i="9"/>
  <c r="K148" i="9" s="1"/>
  <c r="M152" i="9"/>
  <c r="J156" i="9"/>
  <c r="K156" i="9" s="1"/>
  <c r="M160" i="9"/>
  <c r="J164" i="9"/>
  <c r="K164" i="9" s="1"/>
  <c r="M168" i="9"/>
  <c r="J172" i="9"/>
  <c r="K172" i="9" s="1"/>
  <c r="M176" i="9"/>
  <c r="J180" i="9"/>
  <c r="K180" i="9" s="1"/>
  <c r="M184" i="9"/>
  <c r="J188" i="9"/>
  <c r="K188" i="9" s="1"/>
  <c r="M192" i="9"/>
  <c r="J196" i="9"/>
  <c r="K196" i="9" s="1"/>
  <c r="M200" i="9"/>
  <c r="J204" i="9"/>
  <c r="K204" i="9" s="1"/>
  <c r="M208" i="9"/>
  <c r="J212" i="9"/>
  <c r="K212" i="9" s="1"/>
  <c r="M216" i="9"/>
  <c r="J220" i="9"/>
  <c r="K220" i="9" s="1"/>
  <c r="M224" i="9"/>
  <c r="J228" i="9"/>
  <c r="K228" i="9" s="1"/>
  <c r="M232" i="9"/>
  <c r="J236" i="9"/>
  <c r="K236" i="9" s="1"/>
  <c r="M240" i="9"/>
  <c r="J244" i="9"/>
  <c r="K244" i="9" s="1"/>
  <c r="M248" i="9"/>
  <c r="J252" i="9"/>
  <c r="K252" i="9" s="1"/>
  <c r="M256" i="9"/>
  <c r="J260" i="9"/>
  <c r="K260" i="9" s="1"/>
  <c r="M264" i="9"/>
  <c r="J268" i="9"/>
  <c r="K268" i="9" s="1"/>
  <c r="M272" i="9"/>
  <c r="J276" i="9"/>
  <c r="K276" i="9" s="1"/>
  <c r="M280" i="9"/>
  <c r="J284" i="9"/>
  <c r="K284" i="9" s="1"/>
  <c r="M288" i="9"/>
  <c r="J292" i="9"/>
  <c r="K292" i="9" s="1"/>
  <c r="M296" i="9"/>
  <c r="J300" i="9"/>
  <c r="K300" i="9" s="1"/>
  <c r="M304" i="9"/>
  <c r="J308" i="9"/>
  <c r="K308" i="9" s="1"/>
  <c r="M312" i="9"/>
  <c r="J316" i="9"/>
  <c r="K316" i="9" s="1"/>
  <c r="M320" i="9"/>
  <c r="J324" i="9"/>
  <c r="K324" i="9" s="1"/>
  <c r="M328" i="9"/>
  <c r="J332" i="9"/>
  <c r="K332" i="9" s="1"/>
  <c r="M336" i="9"/>
  <c r="J340" i="9"/>
  <c r="K340" i="9" s="1"/>
  <c r="M344" i="9"/>
  <c r="J348" i="9"/>
  <c r="K348" i="9" s="1"/>
  <c r="I352" i="9"/>
  <c r="N356" i="9"/>
  <c r="L360" i="9"/>
  <c r="N368" i="9"/>
  <c r="L372" i="9"/>
  <c r="M380" i="9"/>
  <c r="I384" i="9"/>
  <c r="N388" i="9"/>
  <c r="L392" i="9"/>
  <c r="N400" i="9"/>
  <c r="L404" i="9"/>
  <c r="M412" i="9"/>
  <c r="I416" i="9"/>
  <c r="N420" i="9"/>
  <c r="L424" i="9"/>
  <c r="N432" i="9"/>
  <c r="L436" i="9"/>
  <c r="M444" i="9"/>
  <c r="I448" i="9"/>
  <c r="N452" i="9"/>
  <c r="L456" i="9"/>
  <c r="N464" i="9"/>
  <c r="L468" i="9"/>
  <c r="M476" i="9"/>
  <c r="I480" i="9"/>
  <c r="N484" i="9"/>
  <c r="L488" i="9"/>
  <c r="J496" i="9"/>
  <c r="K496" i="9" s="1"/>
  <c r="J504" i="9"/>
  <c r="K504" i="9" s="1"/>
  <c r="J512" i="9"/>
  <c r="K512" i="9" s="1"/>
  <c r="I520" i="9"/>
  <c r="N524" i="9"/>
  <c r="I528" i="9"/>
</calcChain>
</file>

<file path=xl/sharedStrings.xml><?xml version="1.0" encoding="utf-8"?>
<sst xmlns="http://schemas.openxmlformats.org/spreadsheetml/2006/main" count="7468" uniqueCount="3858">
  <si>
    <t>TOK_ABS 525</t>
  </si>
  <si>
    <t>TOK_ACCENT 526</t>
  </si>
  <si>
    <t>TOK_ACOS 527</t>
  </si>
  <si>
    <t>TOK_ACOSH 623</t>
  </si>
  <si>
    <t>TOK_ACTION 445</t>
  </si>
  <si>
    <t>TOK_ACTIVE 257</t>
  </si>
  <si>
    <t>TOK_ADD 258</t>
  </si>
  <si>
    <t>TOK_ADMIN 446</t>
  </si>
  <si>
    <t>TOK_AFTER 259</t>
  </si>
  <si>
    <t>TOK_ALL 260</t>
  </si>
  <si>
    <t>TOK_ALTER 261</t>
  </si>
  <si>
    <t>TOK_ALWAYS 528</t>
  </si>
  <si>
    <t>TOK_AND 262</t>
  </si>
  <si>
    <t>TOK_ANY 263</t>
  </si>
  <si>
    <t>TOK_AS 264</t>
  </si>
  <si>
    <t>TOK_ASC 265</t>
  </si>
  <si>
    <t>TOK_ASCII_CHAR 529</t>
  </si>
  <si>
    <t>TOK_ASCII_VAL 530</t>
  </si>
  <si>
    <t>TOK_ASIN 531</t>
  </si>
  <si>
    <t>TOK_ASINH 624</t>
  </si>
  <si>
    <t>TOK_AT 266</t>
  </si>
  <si>
    <t>TOK_ATAN 532</t>
  </si>
  <si>
    <t>TOK_ATAN2 533</t>
  </si>
  <si>
    <t>TOK_ATANH 625</t>
  </si>
  <si>
    <t>TOK_AUTO 268</t>
  </si>
  <si>
    <t>TOK_AUTONOMOUS 590</t>
  </si>
  <si>
    <t>TOK_AVG 267</t>
  </si>
  <si>
    <t>TOK_BACKUP 495</t>
  </si>
  <si>
    <t>TOK_BEFORE 269</t>
  </si>
  <si>
    <t>TOK_BEGIN 270</t>
  </si>
  <si>
    <t>TOK_BETWEEN 271</t>
  </si>
  <si>
    <t>TOK_BIGINT 479</t>
  </si>
  <si>
    <t>TOK_BIN_AND 534</t>
  </si>
  <si>
    <t>TOK_BIN_NOT 606</t>
  </si>
  <si>
    <t>TOK_BIN_OR 535</t>
  </si>
  <si>
    <t>TOK_BIN_SHL 536</t>
  </si>
  <si>
    <t>TOK_BIN_SHR 537</t>
  </si>
  <si>
    <t>TOK_BIN_XOR 538</t>
  </si>
  <si>
    <t>TOK_BIND_PARAM 605</t>
  </si>
  <si>
    <t>TOK_BIT_LENGTH 511</t>
  </si>
  <si>
    <t>TOK_BLOB 272</t>
  </si>
  <si>
    <t>TOK_BLOCK 501</t>
  </si>
  <si>
    <t>TOK_BODY 607</t>
  </si>
  <si>
    <t>TOK_BOTH 508</t>
  </si>
  <si>
    <t>TOK_BY 273</t>
  </si>
  <si>
    <t>TOK_CALLER 600</t>
  </si>
  <si>
    <t>TOK_CASCADE 447</t>
  </si>
  <si>
    <t>TOK_CASE 480</t>
  </si>
  <si>
    <t>TOK_CAST 274</t>
  </si>
  <si>
    <t>TOK_CEIL 539</t>
  </si>
  <si>
    <t>TOK_CHAR_TO_UUID 591</t>
  </si>
  <si>
    <t>TOK_CHARACTER 275</t>
  </si>
  <si>
    <t>TOK_CHARACTER_LENGTH 513</t>
  </si>
  <si>
    <t>TOK_CHECK 276</t>
  </si>
  <si>
    <t>TOK_CLOSE 498</t>
  </si>
  <si>
    <t>TOK_COALESCE 482</t>
  </si>
  <si>
    <t>TOK_COLLATE 277</t>
  </si>
  <si>
    <t>TOK_COLLATION 509</t>
  </si>
  <si>
    <t>TOK_COLUMN 451</t>
  </si>
  <si>
    <t>TOK_COMMENT 510</t>
  </si>
  <si>
    <t>TOK_COMMIT 278</t>
  </si>
  <si>
    <t>TOK_COMMITTED 279</t>
  </si>
  <si>
    <t>TOK_COMMON 601</t>
  </si>
  <si>
    <t>TOK_COMPUTED 280</t>
  </si>
  <si>
    <t>TOK_CONCATENATE 281</t>
  </si>
  <si>
    <t>TOK_CONDITIONAL 282</t>
  </si>
  <si>
    <t>TOK_CONNECT 540</t>
  </si>
  <si>
    <t>TOK_CONSTRAINT 283</t>
  </si>
  <si>
    <t>TOK_CONTAINING 284</t>
  </si>
  <si>
    <t>TOK_CONTINUE 608</t>
  </si>
  <si>
    <t>TOK_COS 541</t>
  </si>
  <si>
    <t>TOK_COSH 542</t>
  </si>
  <si>
    <t>TOK_COT 543</t>
  </si>
  <si>
    <t>TOK_COUNT 285</t>
  </si>
  <si>
    <t>TOK_CREATE 286</t>
  </si>
  <si>
    <t>TOK_CROSS 504</t>
  </si>
  <si>
    <t>TOK_CSTRING 287</t>
  </si>
  <si>
    <t>TOK_CURRENT 288</t>
  </si>
  <si>
    <t>TOK_CURRENT_CONNECTION 477</t>
  </si>
  <si>
    <t>TOK_CURRENT_DATE 464</t>
  </si>
  <si>
    <t>TOK_CURRENT_ROLE 470</t>
  </si>
  <si>
    <t>TOK_CURRENT_TIME 465</t>
  </si>
  <si>
    <t>TOK_CURRENT_TIMESTAMP 466</t>
  </si>
  <si>
    <t>TOK_CURRENT_TRANSACTION 478</t>
  </si>
  <si>
    <t>TOK_CURRENT_USER 469</t>
  </si>
  <si>
    <t>TOK_CURSOR 289</t>
  </si>
  <si>
    <t>TOK_DATA 602</t>
  </si>
  <si>
    <t>TOK_DATABASE 290</t>
  </si>
  <si>
    <t>TOK_DATE 291</t>
  </si>
  <si>
    <t>TOK_DATEADD 544</t>
  </si>
  <si>
    <t>TOK_DATEDIFF 545</t>
  </si>
  <si>
    <t>TOK_DAY 456</t>
  </si>
  <si>
    <t>TOK_DB_KEY 292</t>
  </si>
  <si>
    <t>TOK_DDL 609</t>
  </si>
  <si>
    <t>TOK_DECIMAL 293</t>
  </si>
  <si>
    <t>TOK_DECIMAL_NUMBER 648</t>
  </si>
  <si>
    <t>TOK_DECLARE 294</t>
  </si>
  <si>
    <t>TOK_DECODE 546</t>
  </si>
  <si>
    <t>TOK_DECRYPT 610</t>
  </si>
  <si>
    <t>TOK_DEFAULT 295</t>
  </si>
  <si>
    <t>TOK_DELETING 494</t>
  </si>
  <si>
    <t>TOK_DENSE_RANK 629</t>
  </si>
  <si>
    <t>TOK_DESC 297</t>
  </si>
  <si>
    <t>TOK_DETERMINISTIC 627</t>
  </si>
  <si>
    <t>TOK_DISCONNECT 547</t>
  </si>
  <si>
    <t>TOK_DISTINCT 298</t>
  </si>
  <si>
    <t>TOK_DO 299</t>
  </si>
  <si>
    <t>TOK_DOMAIN 300</t>
  </si>
  <si>
    <t>TOK_DROP 301</t>
  </si>
  <si>
    <t>TOK_ELSE 302</t>
  </si>
  <si>
    <t>TOK_ENCRYPT 611</t>
  </si>
  <si>
    <t>TOK_END 303</t>
  </si>
  <si>
    <t>TOK_ENGINE 612</t>
  </si>
  <si>
    <t>TOK_ENTRY_POINT 304</t>
  </si>
  <si>
    <t>TOK_ESCAPE 305</t>
  </si>
  <si>
    <t>TOK_EXCEPTION 306</t>
  </si>
  <si>
    <t>TOK_EXECUTE 307</t>
  </si>
  <si>
    <t>TOK_EXISTS 308</t>
  </si>
  <si>
    <t>TOK_EXIT 309</t>
  </si>
  <si>
    <t>TOK_EXP 548</t>
  </si>
  <si>
    <t>TOK_EXTERNAL 310</t>
  </si>
  <si>
    <t>TOK_EXTRACT 453</t>
  </si>
  <si>
    <t>TOK_FETCH 499</t>
  </si>
  <si>
    <t>TOK_FILTER 311</t>
  </si>
  <si>
    <t>TOK_FIRST 475</t>
  </si>
  <si>
    <t>TOK_FIRST_VALUE 630</t>
  </si>
  <si>
    <t>TOK_FIRSTNAME 592</t>
  </si>
  <si>
    <t>TOK_FLOAT_NUMBER 440</t>
  </si>
  <si>
    <t>TOK_FLOOR 549</t>
  </si>
  <si>
    <t>TOK_FOR 312</t>
  </si>
  <si>
    <t>TOK_FOREIGN 313</t>
  </si>
  <si>
    <t>TOK_FREE_IT 448</t>
  </si>
  <si>
    <t>TOK_FROM 314</t>
  </si>
  <si>
    <t>TOK_FULL 315</t>
  </si>
  <si>
    <t>TOK_FUNCTION 316</t>
  </si>
  <si>
    <t>TOK_GDSCODE 317</t>
  </si>
  <si>
    <t>TOK_GEN_ID 320</t>
  </si>
  <si>
    <t>TOK_GEN_UUID 550</t>
  </si>
  <si>
    <t>TOK_GENERATED 551</t>
  </si>
  <si>
    <t>TOK_GENERATOR 319</t>
  </si>
  <si>
    <t>TOK_GEQ 318</t>
  </si>
  <si>
    <t>TOK_GLOBAL 552</t>
  </si>
  <si>
    <t>TOK_GRANT 321</t>
  </si>
  <si>
    <t>TOK_GRANTED 593</t>
  </si>
  <si>
    <t>TOK_GROUP 322</t>
  </si>
  <si>
    <t>TOK_HASH 553</t>
  </si>
  <si>
    <t>TOK_HAVING 323</t>
  </si>
  <si>
    <t>TOK_HOUR 457</t>
  </si>
  <si>
    <t>TOK_IDENTITY 628</t>
  </si>
  <si>
    <t>TOK_IF 324</t>
  </si>
  <si>
    <t>TOK_IIF 502</t>
  </si>
  <si>
    <t>TOK_INACTIVE 326</t>
  </si>
  <si>
    <t>TOK_INDEX 329</t>
  </si>
  <si>
    <t>TOK_INNER 327</t>
  </si>
  <si>
    <t>TOK_INPUT_TYPE 328</t>
  </si>
  <si>
    <t>TOK_INSENSITIVE 554</t>
  </si>
  <si>
    <t>TOK_INSERT 330</t>
  </si>
  <si>
    <t>TOK_INSERTING 492</t>
  </si>
  <si>
    <t>TOK_INTEGER 331</t>
  </si>
  <si>
    <t>TOK_INTO 332</t>
  </si>
  <si>
    <t>TOK_INTRODUCER 444</t>
  </si>
  <si>
    <t>TOK_IS 333</t>
  </si>
  <si>
    <t>TOK_ISOLATION 334</t>
  </si>
  <si>
    <t>TOK_JOIN 335</t>
  </si>
  <si>
    <t>TOK_KEY 336</t>
  </si>
  <si>
    <t>TOK_LAG 633</t>
  </si>
  <si>
    <t>TOK_LAST 485</t>
  </si>
  <si>
    <t>TOK_LAST_VALUE 632</t>
  </si>
  <si>
    <t>TOK_LASTNAME 594</t>
  </si>
  <si>
    <t>TOK_LEAD 634</t>
  </si>
  <si>
    <t>TOK_LEADING 514</t>
  </si>
  <si>
    <t>TOK_LEAVE 491</t>
  </si>
  <si>
    <t>TOK_LEFT 349</t>
  </si>
  <si>
    <t>TOK_LENGTH 348</t>
  </si>
  <si>
    <t>TOK_LEQ 350</t>
  </si>
  <si>
    <t>TOK_LEVEL 351</t>
  </si>
  <si>
    <t>TOK_LIKE 352</t>
  </si>
  <si>
    <t>TOK_LIMBO 521</t>
  </si>
  <si>
    <t>TOK_LIMIT64_INT 650</t>
  </si>
  <si>
    <t>TOK_LIMIT64_NUMBER 649</t>
  </si>
  <si>
    <t>TOK_LINGER 644</t>
  </si>
  <si>
    <t>TOK_LIST 555</t>
  </si>
  <si>
    <t>TOK_LN 556</t>
  </si>
  <si>
    <t>TOK_LOCK 487</t>
  </si>
  <si>
    <t>TOK_LOG 557</t>
  </si>
  <si>
    <t>TOK_LOG10 558</t>
  </si>
  <si>
    <t>TOK_LPAD 559</t>
  </si>
  <si>
    <t>TOK_MANUAL 353</t>
  </si>
  <si>
    <t>TOK_MAPPING 596</t>
  </si>
  <si>
    <t>TOK_MATCHED 560</t>
  </si>
  <si>
    <t>TOK_MATCHING 561</t>
  </si>
  <si>
    <t>TOK_MAXIMUM 354</t>
  </si>
  <si>
    <t>TOK_MAXVALUE 562</t>
  </si>
  <si>
    <t>TOK_MERGE 355</t>
  </si>
  <si>
    <t>TOK_MIDDLENAME 595</t>
  </si>
  <si>
    <t>TOK_MILLISECOND 563</t>
  </si>
  <si>
    <t>TOK_MINIMUM 356</t>
  </si>
  <si>
    <t>TOK_MINUTE 458</t>
  </si>
  <si>
    <t>TOK_MINVALUE 564</t>
  </si>
  <si>
    <t>TOK_MOD 565</t>
  </si>
  <si>
    <t>TOK_MODULE_NAME 357</t>
  </si>
  <si>
    <t>TOK_MONTH 455</t>
  </si>
  <si>
    <t>TOK_NAME 613</t>
  </si>
  <si>
    <t>TOK_NAMES 358</t>
  </si>
  <si>
    <t>TOK_NATIONAL 359</t>
  </si>
  <si>
    <t>TOK_NATURAL 360</t>
  </si>
  <si>
    <t>TOK_NCHAR 361</t>
  </si>
  <si>
    <t>TOK_NEQ 362</t>
  </si>
  <si>
    <t>TOK_NEXT 505</t>
  </si>
  <si>
    <t>TOK_NO 363</t>
  </si>
  <si>
    <t>TOK_NOT 364</t>
  </si>
  <si>
    <t>TOK_NOT_GTR 365</t>
  </si>
  <si>
    <t>TOK_NOT_LSS 366</t>
  </si>
  <si>
    <t>TOK_NTH_VALUE 631</t>
  </si>
  <si>
    <t>TOK_NULLIF 481</t>
  </si>
  <si>
    <t>TOK_NULLS 484</t>
  </si>
  <si>
    <t>TOK_NUM128 651</t>
  </si>
  <si>
    <t>TOK_NUMBER 442</t>
  </si>
  <si>
    <t>TOK_NUMBER32BIT 652</t>
  </si>
  <si>
    <t>TOK_NUMBER64BIT 467</t>
  </si>
  <si>
    <t>TOK_OCTET_LENGTH 516</t>
  </si>
  <si>
    <t>TOK_OF 367</t>
  </si>
  <si>
    <t>TOK_ON 368</t>
  </si>
  <si>
    <t>TOK_ONLY 369</t>
  </si>
  <si>
    <t>TOK_OPEN 497</t>
  </si>
  <si>
    <t>TOK_OPTION 370</t>
  </si>
  <si>
    <t>TOK_OR 371</t>
  </si>
  <si>
    <t>TOK_ORDER 372</t>
  </si>
  <si>
    <t>TOK_OS_NAME 597</t>
  </si>
  <si>
    <t>TOK_OUTER 373</t>
  </si>
  <si>
    <t>TOK_OUTPUT_TYPE 374</t>
  </si>
  <si>
    <t>TOK_OVER 614</t>
  </si>
  <si>
    <t>TOK_OVERFLOW 375</t>
  </si>
  <si>
    <t>TOK_OVERLAY 566</t>
  </si>
  <si>
    <t>TOK_PACKAGE 615</t>
  </si>
  <si>
    <t>TOK_PAD 567</t>
  </si>
  <si>
    <t>TOK_PAGE 376</t>
  </si>
  <si>
    <t>TOK_PAGES 377</t>
  </si>
  <si>
    <t>TOK_PARAMETER 379</t>
  </si>
  <si>
    <t>TOK_PARTITION 616</t>
  </si>
  <si>
    <t>TOK_PASSWORD 380</t>
  </si>
  <si>
    <t>TOK_PI 568</t>
  </si>
  <si>
    <t>TOK_PLACING 569</t>
  </si>
  <si>
    <t>TOK_PLAN 381</t>
  </si>
  <si>
    <t>TOK_POSITION 382</t>
  </si>
  <si>
    <t>TOK_POST_EVENT 383</t>
  </si>
  <si>
    <t>TOK_POWER 570</t>
  </si>
  <si>
    <t>TOK_PRECISION 384</t>
  </si>
  <si>
    <t>TOK_PRESERVE 571</t>
  </si>
  <si>
    <t>TOK_PRIMARY 385</t>
  </si>
  <si>
    <t>TOK_PRIOR 620</t>
  </si>
  <si>
    <t>TOK_PRIVILEGES 386</t>
  </si>
  <si>
    <t>TOK_PROCEDURE 387</t>
  </si>
  <si>
    <t>TOK_PROTECTED 388</t>
  </si>
  <si>
    <t>TOK_RAND 572</t>
  </si>
  <si>
    <t>TOK_RANK 635</t>
  </si>
  <si>
    <t>TOK_RDB_GET_CONTEXT 617</t>
  </si>
  <si>
    <t>TOK_RDB_RECORD_VERSION 643</t>
  </si>
  <si>
    <t>TOK_RDB_SET_CONTEXT 618</t>
  </si>
  <si>
    <t>TOK_READ 389</t>
  </si>
  <si>
    <t>TOK_REAL 390</t>
  </si>
  <si>
    <t>TOK_RECREATE 473</t>
  </si>
  <si>
    <t>TOK_RECURSIVE 573</t>
  </si>
  <si>
    <t>TOK_REFERENCES 391</t>
  </si>
  <si>
    <t>TOK_RELEASE 489</t>
  </si>
  <si>
    <t>TOK_REPLACE 574</t>
  </si>
  <si>
    <t>TOK_REQUESTS 523</t>
  </si>
  <si>
    <t>TOK_RESERVING 392</t>
  </si>
  <si>
    <t>TOK_RESTART 507</t>
  </si>
  <si>
    <t>TOK_RESTRICT 449</t>
  </si>
  <si>
    <t>TOK_RETAIN 393</t>
  </si>
  <si>
    <t>TOK_RETURN 626</t>
  </si>
  <si>
    <t>TOK_RETURNING 519</t>
  </si>
  <si>
    <t>TOK_RETURNING_VALUES 394</t>
  </si>
  <si>
    <t>TOK_RETURNS 395</t>
  </si>
  <si>
    <t>TOK_REVERSE 575</t>
  </si>
  <si>
    <t>TOK_REVOKE 396</t>
  </si>
  <si>
    <t>TOK_RIGHT 397</t>
  </si>
  <si>
    <t>TOK_ROLE 450</t>
  </si>
  <si>
    <t>TOK_ROLLBACK 398</t>
  </si>
  <si>
    <t>TOK_ROUND 576</t>
  </si>
  <si>
    <t>TOK_ROW_COUNT 486</t>
  </si>
  <si>
    <t>TOK_ROW_NUMBER 636</t>
  </si>
  <si>
    <t>TOK_ROWS 500</t>
  </si>
  <si>
    <t>TOK_RPAD 577</t>
  </si>
  <si>
    <t>TOK_SAVEPOINT 488</t>
  </si>
  <si>
    <t>TOK_SCALAR_ARRAY 503</t>
  </si>
  <si>
    <t>TOK_SCALEDINT 468</t>
  </si>
  <si>
    <t>TOK_SCROLL 619</t>
  </si>
  <si>
    <t>TOK_SECOND 459</t>
  </si>
  <si>
    <t>TOK_SEGMENT 399</t>
  </si>
  <si>
    <t>TOK_SELECT 400</t>
  </si>
  <si>
    <t>TOK_SENSITIVE 578</t>
  </si>
  <si>
    <t>TOK_SEQUENCE 506</t>
  </si>
  <si>
    <t>TOK_SET 401</t>
  </si>
  <si>
    <t>TOK_SHADOW 402</t>
  </si>
  <si>
    <t>TOK_SIGN 579</t>
  </si>
  <si>
    <t>TOK_SIMILAR 598</t>
  </si>
  <si>
    <t>TOK_SIN 580</t>
  </si>
  <si>
    <t>TOK_SINGULAR 404</t>
  </si>
  <si>
    <t>TOK_SINH 581</t>
  </si>
  <si>
    <t>TOK_SKIP 476</t>
  </si>
  <si>
    <t>TOK_SMALLINT 406</t>
  </si>
  <si>
    <t>TOK_SNAPSHOT 407</t>
  </si>
  <si>
    <t>TOK_SOME 408</t>
  </si>
  <si>
    <t>TOK_SORT 409</t>
  </si>
  <si>
    <t>TOK_SOURCE 603</t>
  </si>
  <si>
    <t>TOK_SPACE 582</t>
  </si>
  <si>
    <t>TOK_SQLCODE 410</t>
  </si>
  <si>
    <t>TOK_SQLSTATE 637</t>
  </si>
  <si>
    <t>TOK_SQRT 583</t>
  </si>
  <si>
    <t>TOK_STABILITY 411</t>
  </si>
  <si>
    <t>TOK_START 584</t>
  </si>
  <si>
    <t>TOK_STARTING 412</t>
  </si>
  <si>
    <t>TOK_STATEMENT 490</t>
  </si>
  <si>
    <t>TOK_STATISTICS 413</t>
  </si>
  <si>
    <t>TOK_STRING 443</t>
  </si>
  <si>
    <t>TOK_SUB_TYPE 414</t>
  </si>
  <si>
    <t>TOK_SUBSTRING 472</t>
  </si>
  <si>
    <t>TOK_SUM 416</t>
  </si>
  <si>
    <t>TOK_SUSPEND 415</t>
  </si>
  <si>
    <t>TOK_SYMBOL 441</t>
  </si>
  <si>
    <t>TOK_TABLE 417</t>
  </si>
  <si>
    <t>TOK_TAGS 645</t>
  </si>
  <si>
    <t>TOK_TAN 585</t>
  </si>
  <si>
    <t>TOK_TANH 586</t>
  </si>
  <si>
    <t>TOK_TEMPORARY 587</t>
  </si>
  <si>
    <t>TOK_THEN 418</t>
  </si>
  <si>
    <t>TOK_TIME 462</t>
  </si>
  <si>
    <t>TOK_TIMEOUT 524</t>
  </si>
  <si>
    <t>TOK_TIMESTAMP 463</t>
  </si>
  <si>
    <t>TOK_TO 419</t>
  </si>
  <si>
    <t>TOK_TRAILING 517</t>
  </si>
  <si>
    <t>TOK_TRANSACTION 420</t>
  </si>
  <si>
    <t>TOK_TRIGGER 421</t>
  </si>
  <si>
    <t>TOK_TRIM 518</t>
  </si>
  <si>
    <t>TOK_TRUNC 588</t>
  </si>
  <si>
    <t>TOK_TWO_PHASE 604</t>
  </si>
  <si>
    <t>TOK_UMINUS 646</t>
  </si>
  <si>
    <t>TOK_UNCOMMITTED 422</t>
  </si>
  <si>
    <t>TOK_UNDO 522</t>
  </si>
  <si>
    <t>TOK_UNION 423</t>
  </si>
  <si>
    <t>TOK_UNIQUE 424</t>
  </si>
  <si>
    <t>TOK_UNKNOWN 641</t>
  </si>
  <si>
    <t>TOK_UPDATE 425</t>
  </si>
  <si>
    <t>TOK_UPDATING 493</t>
  </si>
  <si>
    <t>TOK_UPLUS 647</t>
  </si>
  <si>
    <t>TOK_USAGE 642</t>
  </si>
  <si>
    <t>TOK_USER 426</t>
  </si>
  <si>
    <t>TOK_USING 483</t>
  </si>
  <si>
    <t>TOK_UUID_TO_CHAR 599</t>
  </si>
  <si>
    <t>TOK_VALUES 427</t>
  </si>
  <si>
    <t>TOK_VARCHAR 428</t>
  </si>
  <si>
    <t>TOK_VARIABLE 429</t>
  </si>
  <si>
    <t>TOK_VARYING 430</t>
  </si>
  <si>
    <t>TOK_VERSION 431</t>
  </si>
  <si>
    <t>TOK_VIEW 432</t>
  </si>
  <si>
    <t>TOK_WAIT 433</t>
  </si>
  <si>
    <t>TOK_WEEK 589</t>
  </si>
  <si>
    <t>TOK_WEEKDAY 460</t>
  </si>
  <si>
    <t>TOK_WHEN 434</t>
  </si>
  <si>
    <t>TOK_WHERE 435</t>
  </si>
  <si>
    <t>TOK_WHILE 436</t>
  </si>
  <si>
    <t>TOK_WITH 437</t>
  </si>
  <si>
    <t>TOK_WORK 438</t>
  </si>
  <si>
    <t>TOK_WRITE 439</t>
  </si>
  <si>
    <t>TOK_YEAR 454</t>
  </si>
  <si>
    <t>TOK_YEARDAY 461</t>
  </si>
  <si>
    <t>TOK_YYERRCODE 256</t>
  </si>
  <si>
    <t>// Alias of !=</t>
  </si>
  <si>
    <t>// Alias of ASCENDING</t>
  </si>
  <si>
    <t>// Alias of CEILING</t>
  </si>
  <si>
    <t>// Alias of DESCENDING</t>
  </si>
  <si>
    <t>// Alias of RESERVING</t>
  </si>
  <si>
    <t>// Alias of DATABASE</t>
  </si>
  <si>
    <t>// Alias of STARTING</t>
  </si>
  <si>
    <t>// Alias of !&lt;</t>
  </si>
  <si>
    <t>// Alias of !&gt;</t>
  </si>
  <si>
    <t>TOK_VOID, NULL, false}</t>
  </si>
  <si>
    <t>TOK_ABS, "ABS", true</t>
  </si>
  <si>
    <t>TOK_ABSOLUTE, "ABSOLUTE", true</t>
  </si>
  <si>
    <t>TOK_ACCENT, "ACCENT", true</t>
  </si>
  <si>
    <t>TOK_ACOS, "ACOS", true</t>
  </si>
  <si>
    <t>TOK_ACOSH, "ACOSH", true</t>
  </si>
  <si>
    <t>TOK_ACTION, "ACTION", true</t>
  </si>
  <si>
    <t>TOK_ACTIVE, "ACTIVE", true</t>
  </si>
  <si>
    <t>TOK_ADD, "ADD", false</t>
  </si>
  <si>
    <t>TOK_ADMIN, "ADMIN", false</t>
  </si>
  <si>
    <t>TOK_AFTER, "AFTER", true</t>
  </si>
  <si>
    <t>TOK_ALL, "ALL", false</t>
  </si>
  <si>
    <t>TOK_ALTER, "ALTER", false</t>
  </si>
  <si>
    <t>TOK_ALWAYS, "ALWAYS", true</t>
  </si>
  <si>
    <t>TOK_AND, "AND", false</t>
  </si>
  <si>
    <t>TOK_ANY, "ANY", false</t>
  </si>
  <si>
    <t>TOK_AS, "AS", false</t>
  </si>
  <si>
    <t>TOK_ASC, "ASC", true</t>
  </si>
  <si>
    <t>TOK_ASCII_CHAR, "ASCII_CHAR", true</t>
  </si>
  <si>
    <t>TOK_ASCII_VAL, "ASCII_VAL", true</t>
  </si>
  <si>
    <t>TOK_ASIN, "ASIN", true</t>
  </si>
  <si>
    <t>TOK_ASINH, "ASINH", true</t>
  </si>
  <si>
    <t>TOK_AT, "AT", false</t>
  </si>
  <si>
    <t>TOK_ATAN, "ATAN", true</t>
  </si>
  <si>
    <t>TOK_ATAN2, "ATAN2", true</t>
  </si>
  <si>
    <t>TOK_ATANH, "ATANH", true</t>
  </si>
  <si>
    <t>TOK_AUTO, "AUTO", true</t>
  </si>
  <si>
    <t>TOK_AUTONOMOUS, "AUTONOMOUS", true</t>
  </si>
  <si>
    <t>TOK_AVG, "AVG", false</t>
  </si>
  <si>
    <t>TOK_BACKUP, "BACKUP", true</t>
  </si>
  <si>
    <t>TOK_BASE64_DECODE, "BASE64_DECODE", true</t>
  </si>
  <si>
    <t>TOK_BASE64_ENCODE, "BASE64_ENCODE", true</t>
  </si>
  <si>
    <t>TOK_BEFORE, "BEFORE", true</t>
  </si>
  <si>
    <t>TOK_BEGIN, "BEGIN", false</t>
  </si>
  <si>
    <t>TOK_BETWEEN, "BETWEEN", false</t>
  </si>
  <si>
    <t>TOK_BIGINT, "BIGINT", false</t>
  </si>
  <si>
    <t>TOK_BIN_AND, "BIN_AND", true</t>
  </si>
  <si>
    <t>TOK_BIN_NOT, "BIN_NOT", true</t>
  </si>
  <si>
    <t>TOK_BIN_OR, "BIN_OR", true</t>
  </si>
  <si>
    <t>TOK_BIN_SHL, "BIN_SHL", true</t>
  </si>
  <si>
    <t>TOK_BIN_SHR, "BIN_SHR", true</t>
  </si>
  <si>
    <t>TOK_BIN_XOR, "BIN_XOR", true</t>
  </si>
  <si>
    <t>TOK_BINARY, "BINARY", false</t>
  </si>
  <si>
    <t>TOK_BIND, "BIND", true</t>
  </si>
  <si>
    <t>TOK_BIND_PARAM, ":=", false</t>
  </si>
  <si>
    <t>TOK_BIT_LENGTH, "BIT_LENGTH", false</t>
  </si>
  <si>
    <t>TOK_BLOB, "BLOB", false</t>
  </si>
  <si>
    <t>TOK_BLOB_APPEND, "BLOB_APPEND", true</t>
  </si>
  <si>
    <t>TOK_BLOCK, "BLOCK", true</t>
  </si>
  <si>
    <t>TOK_BODY, "BODY", true</t>
  </si>
  <si>
    <t>TOK_BOOLEAN, "BOOLEAN", false</t>
  </si>
  <si>
    <t>TOK_BOTH, "BOTH", false</t>
  </si>
  <si>
    <t>TOK_BREAK, "BREAK", true</t>
  </si>
  <si>
    <t>TOK_BY, "BY", false</t>
  </si>
  <si>
    <t>TOK_CALLER, "CALLER", true</t>
  </si>
  <si>
    <t>TOK_CASCADE, "CASCADE", true</t>
  </si>
  <si>
    <t>TOK_CASE, "CASE", false</t>
  </si>
  <si>
    <t>TOK_CAST, "CAST", false</t>
  </si>
  <si>
    <t>TOK_CEIL, "CEIL", true</t>
  </si>
  <si>
    <t>TOK_CHAR, "CHAR", false</t>
  </si>
  <si>
    <t>TOK_CHAR_LENGTH, "CHAR_LENGTH", false</t>
  </si>
  <si>
    <t>TOK_CHAR_TO_UUID, "CHAR_TO_UUID", true</t>
  </si>
  <si>
    <t>TOK_CHARACTER, "CHARACTER", false</t>
  </si>
  <si>
    <t>TOK_CHARACTER_LENGTH, "CHARACTER_LENGTH", false</t>
  </si>
  <si>
    <t>TOK_CHECK, "CHECK", false</t>
  </si>
  <si>
    <t>TOK_CLEAR, "CLEAR", true</t>
  </si>
  <si>
    <t>TOK_CLOSE, "CLOSE", false</t>
  </si>
  <si>
    <t>TOK_COALESCE, "COALESCE", true</t>
  </si>
  <si>
    <t>TOK_COLLATE, "COLLATE", false</t>
  </si>
  <si>
    <t>TOK_COLLATION, "COLLATION", true</t>
  </si>
  <si>
    <t>TOK_COLUMN, "COLUMN", false</t>
  </si>
  <si>
    <t>TOK_COMMA, ",", false</t>
  </si>
  <si>
    <t>TOK_COMMENT, "COMMENT", false</t>
  </si>
  <si>
    <t>TOK_COMMIT, "COMMIT", false</t>
  </si>
  <si>
    <t>TOK_COMMITTED, "COMMITTED", true</t>
  </si>
  <si>
    <t>TOK_COMMON, "COMMON", true</t>
  </si>
  <si>
    <t>TOK_COMPARE_DECFLOAT, "COMPARE_DECFLOAT", true</t>
  </si>
  <si>
    <t>TOK_COMPUTED, "COMPUTED", true</t>
  </si>
  <si>
    <t>TOK_CONCATENATE, "||", false</t>
  </si>
  <si>
    <t>TOK_CONDITIONAL, "CONDITIONAL", true</t>
  </si>
  <si>
    <t>TOK_CONNECT, "CONNECT", false</t>
  </si>
  <si>
    <t>TOK_CONNECTIONS, "CONNECTIONS", true</t>
  </si>
  <si>
    <t>TOK_CONSISTENCY, "CONSISTENCY", true</t>
  </si>
  <si>
    <t>TOK_CONSTRAINT, "CONSTRAINT", false</t>
  </si>
  <si>
    <t>TOK_CONTAINING, "CONTAINING", true</t>
  </si>
  <si>
    <t>TOK_CONTINUE, "CONTINUE", true</t>
  </si>
  <si>
    <t>TOK_CORR, "CORR", false</t>
  </si>
  <si>
    <t>TOK_COS, "COS", true</t>
  </si>
  <si>
    <t>TOK_COSH, "COSH", true</t>
  </si>
  <si>
    <t>TOK_COT, "COT", true</t>
  </si>
  <si>
    <t>TOK_COUNT, "COUNT", false</t>
  </si>
  <si>
    <t>TOK_COUNTER, "COUNTER", true</t>
  </si>
  <si>
    <t>TOK_COVAR_POP, "COVAR_POP", false</t>
  </si>
  <si>
    <t>TOK_COVAR_SAMP, "COVAR_SAMP", false</t>
  </si>
  <si>
    <t>TOK_CREATE, "CREATE", false</t>
  </si>
  <si>
    <t>TOK_CROSS, "CROSS", false</t>
  </si>
  <si>
    <t>TOK_CRYPT_HASH, "CRYPT_HASH", true</t>
  </si>
  <si>
    <t>TOK_CSTRING, "CSTRING", true</t>
  </si>
  <si>
    <t>TOK_CTR_BIG_ENDIAN, "CTR_BIG_ENDIAN", true</t>
  </si>
  <si>
    <t>TOK_CTR_LENGTH, "CTR_LENGTH", true</t>
  </si>
  <si>
    <t>TOK_CTR_LITTLE_ENDIAN, "CTR_LITTLE_ENDIAN", true</t>
  </si>
  <si>
    <t>TOK_CUME_DIST, "CUME_DIST", true</t>
  </si>
  <si>
    <t>TOK_CURRENT, "CURRENT", false</t>
  </si>
  <si>
    <t>TOK_CURRENT_CONNECTION, "CURRENT_CONNECTION", false</t>
  </si>
  <si>
    <t>TOK_CURRENT_DATE, "CURRENT_DATE", false</t>
  </si>
  <si>
    <t>TOK_CURRENT_ROLE, "CURRENT_ROLE", false</t>
  </si>
  <si>
    <t>TOK_CURRENT_TIME, "CURRENT_TIME", false</t>
  </si>
  <si>
    <t>TOK_CURRENT_TIMESTAMP, "CURRENT_TIMESTAMP", false</t>
  </si>
  <si>
    <t>TOK_CURRENT_TRANSACTION, "CURRENT_TRANSACTION", false</t>
  </si>
  <si>
    <t>TOK_CURRENT_USER, "CURRENT_USER", false</t>
  </si>
  <si>
    <t>TOK_CURSOR, "CURSOR", false</t>
  </si>
  <si>
    <t>TOK_DATA, "DATA", true</t>
  </si>
  <si>
    <t>TOK_DATABASE, "DATABASE", true</t>
  </si>
  <si>
    <t>TOK_DATE, "DATE", false</t>
  </si>
  <si>
    <t>TOK_DATEADD, "DATEADD", true</t>
  </si>
  <si>
    <t>TOK_DATEDIFF, "DATEDIFF", true</t>
  </si>
  <si>
    <t>TOK_DAY, "DAY", false</t>
  </si>
  <si>
    <t>TOK_DB_KEY, "RDB$DB_KEY", false</t>
  </si>
  <si>
    <t>TOK_DDL, "DDL", true</t>
  </si>
  <si>
    <t>TOK_DEBUG, "DEBUG", true</t>
  </si>
  <si>
    <t>TOK_DEC, "DEC", false</t>
  </si>
  <si>
    <t>TOK_DECFLOAT, "DECFLOAT", false</t>
  </si>
  <si>
    <t>TOK_DECIMAL, "DECIMAL", false</t>
  </si>
  <si>
    <t>TOK_DECLARE, "DECLARE", false</t>
  </si>
  <si>
    <t>TOK_DECODE, "DECODE", true</t>
  </si>
  <si>
    <t>TOK_DECRYPT, "DECRYPT", true</t>
  </si>
  <si>
    <t>TOK_DEFAULT, "DEFAULT", false</t>
  </si>
  <si>
    <t>TOK_DEFINER, "DEFINER", true</t>
  </si>
  <si>
    <t>TOK_DELETE, "DELETE", false</t>
  </si>
  <si>
    <t>TOK_DELETING, "DELETING", false</t>
  </si>
  <si>
    <t>TOK_DENSE_RANK, "DENSE_RANK", true</t>
  </si>
  <si>
    <t>TOK_DESC, "DESC", true</t>
  </si>
  <si>
    <t>TOK_DETERMINISTIC, "DETERMINISTIC", false</t>
  </si>
  <si>
    <t>TOK_DIFFERENCE, "DIFFERENCE", true</t>
  </si>
  <si>
    <t>TOK_DISABLE, "DISABLE", true</t>
  </si>
  <si>
    <t>TOK_DISCONNECT, "DISCONNECT", false</t>
  </si>
  <si>
    <t>TOK_DISTINCT, "DISTINCT", false</t>
  </si>
  <si>
    <t>TOK_DO, "DO", true</t>
  </si>
  <si>
    <t>TOK_DOMAIN, "DOMAIN", true</t>
  </si>
  <si>
    <t>TOK_DOUBLE, "DOUBLE", false</t>
  </si>
  <si>
    <t>DESCRIPTOR, true</t>
  </si>
  <si>
    <t>TOK_DROP, "DROP", false</t>
  </si>
  <si>
    <t>TOK_ELSE, "ELSE", false</t>
  </si>
  <si>
    <t>TOK_ENABLE, "ENABLE", true</t>
  </si>
  <si>
    <t>TOK_ENCRYPT, "ENCRYPT", true</t>
  </si>
  <si>
    <t>TOK_END, "END", false</t>
  </si>
  <si>
    <t>TOK_ENGINE, "ENGINE", true</t>
  </si>
  <si>
    <t>TOK_ENTRY_POINT, "ENTRY_POINT", true</t>
  </si>
  <si>
    <t>TOK_ESCAPE, "ESCAPE", false</t>
  </si>
  <si>
    <t>TOK_EXCEPTION, "EXCEPTION", true</t>
  </si>
  <si>
    <t>TOK_EXCESS, "EXCESS", true</t>
  </si>
  <si>
    <t>TOK_EXCLUDE, "EXCLUDE", true</t>
  </si>
  <si>
    <t>TOK_EXECUTE, "EXECUTE", false</t>
  </si>
  <si>
    <t>TOK_EXISTS, "EXISTS", false</t>
  </si>
  <si>
    <t>TOK_EXIT, "EXIT", true</t>
  </si>
  <si>
    <t>TOK_EXP, "EXP", true</t>
  </si>
  <si>
    <t>TOK_EXTENDED, "EXTENDED", true</t>
  </si>
  <si>
    <t>TOK_EXTERNAL, "EXTERNAL", false</t>
  </si>
  <si>
    <t>TOK_EXTRACT, "EXTRACT", false</t>
  </si>
  <si>
    <t>TOK_FALSE, "FALSE", false</t>
  </si>
  <si>
    <t>TOK_FETCH, "FETCH", false</t>
  </si>
  <si>
    <t>TOK_FILE, "FILE", true</t>
  </si>
  <si>
    <t>TOK_FILTER, "FILTER", false</t>
  </si>
  <si>
    <t>TOK_FIRST, "FIRST", true</t>
  </si>
  <si>
    <t>TOK_FIRST_DAY, "FIRST_DAY", true</t>
  </si>
  <si>
    <t>TOK_FIRST_VALUE, "FIRST_VALUE", true</t>
  </si>
  <si>
    <t>TOK_FIRSTNAME, "FIRSTNAME", true</t>
  </si>
  <si>
    <t>TOK_FLOAT, "FLOAT", false</t>
  </si>
  <si>
    <t>TOK_FLOOR, "FLOOR", true</t>
  </si>
  <si>
    <t>TOK_FOLLOWING, "FOLLOWING", true</t>
  </si>
  <si>
    <t>TOK_FOR, "FOR", false</t>
  </si>
  <si>
    <t>TOK_FOREIGN, "FOREIGN", false</t>
  </si>
  <si>
    <t>TOK_FREE_IT, "FREE_IT", true</t>
  </si>
  <si>
    <t>TOK_FROM, "FROM", false</t>
  </si>
  <si>
    <t>TOK_FULL, "FULL", false</t>
  </si>
  <si>
    <t>TOK_FUNCTION, "FUNCTION", false</t>
  </si>
  <si>
    <t>TOK_GDSCODE, "GDSCODE", false</t>
  </si>
  <si>
    <t>TOK_GEN_ID, "GEN_ID", true</t>
  </si>
  <si>
    <t>TOK_GEN_UUID, "GEN_UUID", true</t>
  </si>
  <si>
    <t>TOK_GENERATED, "GENERATED", true</t>
  </si>
  <si>
    <t>TOK_GENERATOR, "GENERATOR", true</t>
  </si>
  <si>
    <t>TOK_GEQ, "&gt;=", false</t>
  </si>
  <si>
    <t>TOK_GLOBAL, "GLOBAL", false</t>
  </si>
  <si>
    <t>TOK_GRANT, "GRANT", false</t>
  </si>
  <si>
    <t>TOK_GRANTED, "GRANTED", true</t>
  </si>
  <si>
    <t>TOK_GROUP, "GROUP", false</t>
  </si>
  <si>
    <t>TOK_HASH, "HASH", true</t>
  </si>
  <si>
    <t>TOK_HAVING, "HAVING", false</t>
  </si>
  <si>
    <t>TOK_HEX_DECODE, "HEX_DECODE", true</t>
  </si>
  <si>
    <t>TOK_HEX_ENCODE, "HEX_ENCODE", true</t>
  </si>
  <si>
    <t>TOK_HOUR, "HOUR", false</t>
  </si>
  <si>
    <t>TOK_IDENTITY, "IDENTITY", true</t>
  </si>
  <si>
    <t>TOK_IDLE, "IDLE", true</t>
  </si>
  <si>
    <t>TOK_IF, "IF", true</t>
  </si>
  <si>
    <t>TOK_IGNORE, "IGNORE", true</t>
  </si>
  <si>
    <t>TOK_IIF, "IIF", true</t>
  </si>
  <si>
    <t>TOK_IN, "IN", false</t>
  </si>
  <si>
    <t>TOK_INACTIVE, "INACTIVE", true</t>
  </si>
  <si>
    <t>TOK_INCLUDE, "INCLUDE", true</t>
  </si>
  <si>
    <t>TOK_INCREMENT, "INCREMENT", true</t>
  </si>
  <si>
    <t>TOK_INDEX, "INDEX", false</t>
  </si>
  <si>
    <t>TOK_INNER, "INNER", false</t>
  </si>
  <si>
    <t>TOK_INPUT_TYPE, "INPUT_TYPE", true</t>
  </si>
  <si>
    <t>TOK_INSENSITIVE, "INSENSITIVE", false</t>
  </si>
  <si>
    <t>TOK_INSERT, "INSERT", false</t>
  </si>
  <si>
    <t>TOK_INSERTING, "INSERTING", false</t>
  </si>
  <si>
    <t>TOK_INT, "INT", false</t>
  </si>
  <si>
    <t>TOK_INT128, "INT128", false</t>
  </si>
  <si>
    <t>TOK_INTEGER, "INTEGER", false</t>
  </si>
  <si>
    <t>TOK_INTO, "INTO", false</t>
  </si>
  <si>
    <t>TOK_INVOKER, "INVOKER", true</t>
  </si>
  <si>
    <t>TOK_IS, "IS", false</t>
  </si>
  <si>
    <t>TOK_ISOLATION, "ISOLATION", true</t>
  </si>
  <si>
    <t>TOK_IV, "IV", true</t>
  </si>
  <si>
    <t>TOK_JOIN, "JOIN", false</t>
  </si>
  <si>
    <t>TOK_KEY, "KEY", true</t>
  </si>
  <si>
    <t>TOK_LAG, "LAG", true</t>
  </si>
  <si>
    <t>TOK_LAST, "LAST", true</t>
  </si>
  <si>
    <t>TOK_LAST_DAY, "LAST_DAY", true</t>
  </si>
  <si>
    <t>TOK_LAST_VALUE, "LAST_VALUE", true</t>
  </si>
  <si>
    <t>TOK_LASTNAME, "LASTNAME", true</t>
  </si>
  <si>
    <t>TOK_LATERAL, "LATERAL", false</t>
  </si>
  <si>
    <t>TOK_LEAD, "LEAD", true</t>
  </si>
  <si>
    <t>TOK_LEADING, "LEADING", false</t>
  </si>
  <si>
    <t>TOK_LEAVE, "LEAVE", true</t>
  </si>
  <si>
    <t>TOK_LEFT, "LEFT", false</t>
  </si>
  <si>
    <t>TOK_LEGACY, "LEGACY", true</t>
  </si>
  <si>
    <t>TOK_LENGTH, "LENGTH", true</t>
  </si>
  <si>
    <t>TOK_LEQ, "&lt;=", false</t>
  </si>
  <si>
    <t>TOK_LEVEL, "LEVEL", true</t>
  </si>
  <si>
    <t>TOK_LIFETIME, "LIFETIME", true</t>
  </si>
  <si>
    <t>TOK_LIKE, "LIKE", false</t>
  </si>
  <si>
    <t>TOK_LIMBO, "LIMBO", true</t>
  </si>
  <si>
    <t>TOK_LINGER, "LINGER", true</t>
  </si>
  <si>
    <t>TOK_LIST, "LIST", true</t>
  </si>
  <si>
    <t>TOK_LN, "LN", true</t>
  </si>
  <si>
    <t>TOK_LOCAL, "LOCAL", false</t>
  </si>
  <si>
    <t>TOK_LOCALTIME, "LOCALTIME", false</t>
  </si>
  <si>
    <t>TOK_LOCALTIMESTAMP, "LOCALTIMESTAMP", false</t>
  </si>
  <si>
    <t>TOK_LOCK, "LOCK", true</t>
  </si>
  <si>
    <t>TOK_LOCKED, "LOCKED", true</t>
  </si>
  <si>
    <t>TOK_LOG, "LOG", true</t>
  </si>
  <si>
    <t>TOK_LOG10, "LOG10", true</t>
  </si>
  <si>
    <t>TOK_LONG, "LONG", false</t>
  </si>
  <si>
    <t>TOK_LOWER, "LOWER", false</t>
  </si>
  <si>
    <t>TOK_LPAD, "LPAD", true</t>
  </si>
  <si>
    <t>TOK_LPARAM, "LPARAM", true</t>
  </si>
  <si>
    <t>TOK_MAKE_DBKEY, "MAKE_DBKEY", true</t>
  </si>
  <si>
    <t>TOK_MANUAL, "MANUAL", true</t>
  </si>
  <si>
    <t>TOK_MAPPING, "MAPPING", true</t>
  </si>
  <si>
    <t>TOK_MATCHED, "MATCHED", true</t>
  </si>
  <si>
    <t>TOK_MATCHING, "MATCHING", true</t>
  </si>
  <si>
    <t>TOK_MAXIMUM, "MAX", false</t>
  </si>
  <si>
    <t>TOK_MAXVALUE, "MAXVALUE", true</t>
  </si>
  <si>
    <t>TOK_MERGE, "MERGE", false</t>
  </si>
  <si>
    <t>TOK_MESSAGE, "MESSAGE", true</t>
  </si>
  <si>
    <t>TOK_MIDDLENAME, "MIDDLENAME", true</t>
  </si>
  <si>
    <t>TOK_MILLISECOND, "MILLISECOND", true</t>
  </si>
  <si>
    <t>TOK_MINIMUM, "MIN", false</t>
  </si>
  <si>
    <t>TOK_MINUTE, "MINUTE", false</t>
  </si>
  <si>
    <t>TOK_MINVALUE, "MINVALUE", true</t>
  </si>
  <si>
    <t>TOK_MOD, "MOD", true</t>
  </si>
  <si>
    <t>TOK_MODE, "MODE", true</t>
  </si>
  <si>
    <t>TOK_MODULE_NAME, "MODULE_NAME", true</t>
  </si>
  <si>
    <t>TOK_MONTH, "MONTH", false</t>
  </si>
  <si>
    <t>TOK_NAME, "NAME", true</t>
  </si>
  <si>
    <t>TOK_NAMES, "NAMES", true</t>
  </si>
  <si>
    <t>TOK_NATIONAL, "NATIONAL", false</t>
  </si>
  <si>
    <t>TOK_NATIVE, "NATIVE", true</t>
  </si>
  <si>
    <t>TOK_NATURAL, "NATURAL", false</t>
  </si>
  <si>
    <t>TOK_NCHAR, "NCHAR", false</t>
  </si>
  <si>
    <t>TOK_NEQ, "!=", false</t>
  </si>
  <si>
    <t>TOK_NEXT, "NEXT", true</t>
  </si>
  <si>
    <t>TOK_NO, "NO", false</t>
  </si>
  <si>
    <t>TOK_NORMALIZE_DECFLOAT, "NORMALIZE_DECFLOAT", true</t>
  </si>
  <si>
    <t>TOK_NOT, "NOT", false</t>
  </si>
  <si>
    <t>TOK_NOT_GTR, "!&gt;", false</t>
  </si>
  <si>
    <t>TOK_NOT_LSS, "!&lt;", false</t>
  </si>
  <si>
    <t>TOK_NTH_VALUE, "NTH_VALUE", true</t>
  </si>
  <si>
    <t>TOK_NTILE, "NTILE", true</t>
  </si>
  <si>
    <t>TOK_NULL, "NULL", false</t>
  </si>
  <si>
    <t>TOK_NULLIF, "NULLIF", true</t>
  </si>
  <si>
    <t>TOK_NULLS, "NULLS", true</t>
  </si>
  <si>
    <t>TOK_NUMBER, "NUMBER", true</t>
  </si>
  <si>
    <t>TOK_NUMERIC, "NUMERIC", false</t>
  </si>
  <si>
    <t>TOK_OCTET_LENGTH, "OCTET_LENGTH", false</t>
  </si>
  <si>
    <t>TOK_OF, "OF", false</t>
  </si>
  <si>
    <t>TOK_OFFSET, "OFFSET", false</t>
  </si>
  <si>
    <t>TOK_OLDEST, "OLDEST", true</t>
  </si>
  <si>
    <t>TOK_ON, "ON", false</t>
  </si>
  <si>
    <t>TOK_ONLY, "ONLY", false</t>
  </si>
  <si>
    <t>TOK_OPEN, "OPEN", false</t>
  </si>
  <si>
    <t>TOK_OPTION, "OPTION", true</t>
  </si>
  <si>
    <t>TOK_OR, "OR", false</t>
  </si>
  <si>
    <t>TOK_ORDER, "ORDER", false</t>
  </si>
  <si>
    <t>TOK_OS_NAME, "OS_NAME", true</t>
  </si>
  <si>
    <t>TOK_OTHERS, "OTHERS", true</t>
  </si>
  <si>
    <t>TOK_OUTER, "OUTER", false</t>
  </si>
  <si>
    <t>TOK_OUTPUT_TYPE, "OUTPUT_TYPE", true</t>
  </si>
  <si>
    <t>TOK_OVER, "OVER", false</t>
  </si>
  <si>
    <t>TOK_OVERFLOW, "OVERFLOW", true</t>
  </si>
  <si>
    <t>TOK_OVERLAY, "OVERLAY", true</t>
  </si>
  <si>
    <t>TOK_OVERRIDING, "OVERRIDING", true</t>
  </si>
  <si>
    <t>TOK_PACKAGE, "PACKAGE", true</t>
  </si>
  <si>
    <t>TOK_PAD, "PAD", true</t>
  </si>
  <si>
    <t>TOK_PAGE, "PAGE", true</t>
  </si>
  <si>
    <t>TOK_PAGE_SIZE, "PAGE_SIZE", true</t>
  </si>
  <si>
    <t>TOK_PAGES, "PAGES", true</t>
  </si>
  <si>
    <t>TOK_PARAMETER, "PARAMETER", false</t>
  </si>
  <si>
    <t>TOK_PAREN_CLOSE, ")", false</t>
  </si>
  <si>
    <t>TOK_PAREN_OPEN, "(", false</t>
  </si>
  <si>
    <t>TOK_PARTITION, "PARTITION", true</t>
  </si>
  <si>
    <t>TOK_PASSWORD, "PASSWORD", true</t>
  </si>
  <si>
    <t>TOK_PERCENT_RANK, "PERCENT_RANK", true</t>
  </si>
  <si>
    <t>TOK_PI, "PI", true</t>
  </si>
  <si>
    <t>TOK_PKCS_1_5, "PKCS_1_5", true</t>
  </si>
  <si>
    <t>TOK_PLACING, "PLACING", true</t>
  </si>
  <si>
    <t>TOK_PLAN, "PLAN", false</t>
  </si>
  <si>
    <t>TOK_PLUGIN, "PLUGIN", true</t>
  </si>
  <si>
    <t>TOK_POOL, "POOL", true</t>
  </si>
  <si>
    <t>TOK_POSITION, "POSITION", false</t>
  </si>
  <si>
    <t>TOK_POST_EVENT, "POST_EVENT", false</t>
  </si>
  <si>
    <t>TOK_POWER, "POWER", true</t>
  </si>
  <si>
    <t>TOK_PRECEDING, "PRECEDING", true</t>
  </si>
  <si>
    <t>TOK_PRECISION, "PRECISION", false</t>
  </si>
  <si>
    <t>TOK_PRESERVE, "PRESERVE", true</t>
  </si>
  <si>
    <t>TOK_PRIMARY, "PRIMARY", false</t>
  </si>
  <si>
    <t>TOK_PRIOR, "PRIOR", true</t>
  </si>
  <si>
    <t>TOK_PRIVILEGE, "PRIVILEGE", true</t>
  </si>
  <si>
    <t>TOK_PRIVILEGES, "PRIVILEGES", true</t>
  </si>
  <si>
    <t>TOK_PROCEDURE, "PROCEDURE", false</t>
  </si>
  <si>
    <t>TOK_PROTECTED, "PROTECTED", true</t>
  </si>
  <si>
    <t>TOK_PUBLICATION, "PUBLICATION", false</t>
  </si>
  <si>
    <t>TOK_QUANTIZE, "QUANTIZE", true</t>
  </si>
  <si>
    <t>TOK_RAND, "RAND", true</t>
  </si>
  <si>
    <t>TOK_RANGE, "RANGE", true</t>
  </si>
  <si>
    <t>TOK_RANK, "RANK", true</t>
  </si>
  <si>
    <t>TOK_RDB_ERROR, "RDB$ERROR", false</t>
  </si>
  <si>
    <t>TOK_RDB_GET_CONTEXT, "RDB$GET_CONTEXT", false</t>
  </si>
  <si>
    <t>TOK_RDB_GET_TRANSACTION_CN, "RDB$GET_TRANSACTION_CN", false</t>
  </si>
  <si>
    <t>TOK_RDB_RECORD_VERSION, "RDB$RECORD_VERSION", false</t>
  </si>
  <si>
    <t>TOK_RDB_ROLE_IN_USE, "RDB$ROLE_IN_USE", false</t>
  </si>
  <si>
    <t>TOK_RDB_SET_CONTEXT, "RDB$SET_CONTEXT", false</t>
  </si>
  <si>
    <t>TOK_RDB_SYSTEM_PRIVILEGE, "RDB$SYSTEM_PRIVILEGE", false</t>
  </si>
  <si>
    <t>TOK_READ, "READ", true</t>
  </si>
  <si>
    <t>TOK_REAL, "REAL", false</t>
  </si>
  <si>
    <t>TOK_RECREATE, "RECREATE", false</t>
  </si>
  <si>
    <t>TOK_RECURSIVE, "RECURSIVE", false</t>
  </si>
  <si>
    <t>TOK_REFERENCES, "REFERENCES", false</t>
  </si>
  <si>
    <t>TOK_REGR_AVGX, "REGR_AVGX", false</t>
  </si>
  <si>
    <t>TOK_REGR_AVGY, "REGR_AVGY", false</t>
  </si>
  <si>
    <t>TOK_REGR_COUNT, "REGR_COUNT", false</t>
  </si>
  <si>
    <t>TOK_REGR_INTERCEPT, "REGR_INTERCEPT", false</t>
  </si>
  <si>
    <t>TOK_REGR_R2, "REGR_R2", false</t>
  </si>
  <si>
    <t>TOK_REGR_SLOPE, "REGR_SLOPE", false</t>
  </si>
  <si>
    <t>TOK_REGR_SXX, "REGR_SXX", false</t>
  </si>
  <si>
    <t>TOK_REGR_SXY, "REGR_SXY", false</t>
  </si>
  <si>
    <t>TOK_REGR_SYY, "REGR_SYY", false</t>
  </si>
  <si>
    <t>TOK_RELATIVE, "RELATIVE", true</t>
  </si>
  <si>
    <t>TOK_RELEASE, "RELEASE", false</t>
  </si>
  <si>
    <t>TOK_REPLACE, "REPLACE", true</t>
  </si>
  <si>
    <t>TOK_REQUESTS, "REQUESTS", true</t>
  </si>
  <si>
    <t>TOK_RESERVING, "RESERV", true</t>
  </si>
  <si>
    <t>TOK_RESERVING, "RESERVING", true</t>
  </si>
  <si>
    <t>TOK_RESET, "RESET", true</t>
  </si>
  <si>
    <t>TOK_RESETTING, "RESETTING", false</t>
  </si>
  <si>
    <t>TOK_RESTART, "RESTART", true</t>
  </si>
  <si>
    <t>TOK_RESTRICT, "RESTRICT", true</t>
  </si>
  <si>
    <t>TOK_RETAIN, "RETAIN", true</t>
  </si>
  <si>
    <t>TOK_RETURN, "RETURN", false</t>
  </si>
  <si>
    <t>TOK_RETURNING, "RETURNING", true</t>
  </si>
  <si>
    <t>TOK_RETURNING_VALUES, "RETURNING_VALUES", false</t>
  </si>
  <si>
    <t>TOK_RETURNS, "RETURNS", false</t>
  </si>
  <si>
    <t>TOK_REVERSE, "REVERSE", true</t>
  </si>
  <si>
    <t>TOK_REVOKE, "REVOKE", false</t>
  </si>
  <si>
    <t>TOK_RIGHT, "RIGHT", false</t>
  </si>
  <si>
    <t>TOK_ROLE, "ROLE", true</t>
  </si>
  <si>
    <t>TOK_ROLLBACK, "ROLLBACK", false</t>
  </si>
  <si>
    <t>TOK_ROUND, "ROUND", true</t>
  </si>
  <si>
    <t>TOK_ROW, "ROW", false</t>
  </si>
  <si>
    <t>TOK_ROW_COUNT, "ROW_COUNT", false</t>
  </si>
  <si>
    <t>TOK_ROW_NUMBER, "ROW_NUMBER", true</t>
  </si>
  <si>
    <t>TOK_ROWS, "ROWS", false</t>
  </si>
  <si>
    <t>TOK_RPAD, "RPAD", true</t>
  </si>
  <si>
    <t>TOK_RSA_DECRYPT, "RSA_DECRYPT", true</t>
  </si>
  <si>
    <t>TOK_RSA_ENCRYPT, "RSA_ENCRYPT", true</t>
  </si>
  <si>
    <t>TOK_RSA_PRIVATE, "RSA_PRIVATE", true</t>
  </si>
  <si>
    <t>TOK_RSA_PUBLIC, "RSA_PUBLIC", true</t>
  </si>
  <si>
    <t>TOK_RSA_SIGN_HASH, "RSA_SIGN_HASH", true</t>
  </si>
  <si>
    <t>TOK_RSA_VERIFY_HASH, "RSA_VERIFY_HASH", true</t>
  </si>
  <si>
    <t>TOK_SALT_LENGTH, "SALT_LENGTH", true</t>
  </si>
  <si>
    <t>TOK_SAVEPOINT, "SAVEPOINT", false</t>
  </si>
  <si>
    <t>TOK_SCALAR_ARRAY, "SCALAR_ARRAY", true</t>
  </si>
  <si>
    <t>TOK_SCROLL, "SCROLL", false</t>
  </si>
  <si>
    <t>TOK_SECOND, "SECOND", false</t>
  </si>
  <si>
    <t>TOK_SECURITY, "SECURITY", true</t>
  </si>
  <si>
    <t>TOK_SEGMENT, "SEGMENT", true</t>
  </si>
  <si>
    <t>TOK_SELECT, "SELECT", false</t>
  </si>
  <si>
    <t>TOK_SENSITIVE, "SENSITIVE", false</t>
  </si>
  <si>
    <t>TOK_SEQUENCE, "SEQUENCE", true</t>
  </si>
  <si>
    <t>TOK_SERVERWIDE, "SERVERWIDE", true</t>
  </si>
  <si>
    <t>TOK_SESSION, "SESSION", true</t>
  </si>
  <si>
    <t>TOK_SET, "SET", false</t>
  </si>
  <si>
    <t>TOK_SHADOW, "SHADOW", true</t>
  </si>
  <si>
    <t>TOK_SHARED, "SHARED", true</t>
  </si>
  <si>
    <t>TOK_SIGN, "SIGN", true</t>
  </si>
  <si>
    <t>TOK_SIGNATURE, "SIGNATURE", true</t>
  </si>
  <si>
    <t>TOK_SIMILAR, "SIMILAR", false</t>
  </si>
  <si>
    <t>TOK_SIN, "SIN", true</t>
  </si>
  <si>
    <t>TOK_SINGULAR, "SINGULAR", true</t>
  </si>
  <si>
    <t>TOK_SINH, "SINH", true</t>
  </si>
  <si>
    <t>TOK_SIZE, "SIZE", true</t>
  </si>
  <si>
    <t>TOK_SKIP, "SKIP", true</t>
  </si>
  <si>
    <t>TOK_SMALLINT, "SMALLINT", false</t>
  </si>
  <si>
    <t>TOK_SNAPSHOT, "SNAPSHOT", true</t>
  </si>
  <si>
    <t>TOK_SOME, "SOME", false</t>
  </si>
  <si>
    <t>TOK_SORT, "SORT", true</t>
  </si>
  <si>
    <t>TOK_SOURCE, "SOURCE", true</t>
  </si>
  <si>
    <t>TOK_SPACE, "SPACE", true</t>
  </si>
  <si>
    <t>TOK_SQL, "SQL", true</t>
  </si>
  <si>
    <t>TOK_SQLCODE, "SQLCODE", false</t>
  </si>
  <si>
    <t>TOK_SQLSTATE, "SQLSTATE", false</t>
  </si>
  <si>
    <t>TOK_SQRT, "SQRT", true</t>
  </si>
  <si>
    <t>TOK_STABILITY, "STABILITY", true</t>
  </si>
  <si>
    <t>TOK_START, "START", false</t>
  </si>
  <si>
    <t>TOK_STARTING, "STARTING", true</t>
  </si>
  <si>
    <t>SUBSTRING, true</t>
  </si>
  <si>
    <t>TOK_STATEMENT, "STATEMENT", true</t>
  </si>
  <si>
    <t>TOK_STATISTICS, "STATISTICS", true</t>
  </si>
  <si>
    <t>TOK_STDDEV_POP, "STDDEV_POP", false</t>
  </si>
  <si>
    <t>TOK_STDDEV_SAMP, "STDDEV_SAMP", false</t>
  </si>
  <si>
    <t>TOK_SUB_TYPE, "SUB_TYPE", true</t>
  </si>
  <si>
    <t>TOK_SUM, "SUM", false</t>
  </si>
  <si>
    <t>TOK_SUSPEND, "SUSPEND", true</t>
  </si>
  <si>
    <t>TOK_SYSTEM, "SYSTEM", true</t>
  </si>
  <si>
    <t>TOK_TABLE, "TABLE", false</t>
  </si>
  <si>
    <t>TOK_TAGS, "TAGS", true</t>
  </si>
  <si>
    <t>TOK_TAN, "TAN", true</t>
  </si>
  <si>
    <t>TOK_TANH, "TANH", true</t>
  </si>
  <si>
    <t>TOK_TARGET, "TARGET", true</t>
  </si>
  <si>
    <t>TOK_TEMPORARY, "TEMPORARY", true</t>
  </si>
  <si>
    <t>TOK_THEN, "THEN", false</t>
  </si>
  <si>
    <t>TOK_TIES, "TIES", true</t>
  </si>
  <si>
    <t>TOK_TIME, "TIME", false</t>
  </si>
  <si>
    <t>TOK_TIMEOUT, "TIMEOUT", true</t>
  </si>
  <si>
    <t>TOK_TIMESTAMP, "TIMESTAMP", false</t>
  </si>
  <si>
    <t>TOK_TIMEZONE_HOUR, "TIMEZONE_HOUR", false</t>
  </si>
  <si>
    <t>TOK_TIMEZONE_MINUTE, "TIMEZONE_MINUTE", false</t>
  </si>
  <si>
    <t>TOK_TIMEZONE_NAME, "TIMEZONE_NAME", true</t>
  </si>
  <si>
    <t>TOK_TO, "TO", false</t>
  </si>
  <si>
    <t>TOK_TOTALORDER, "TOTALORDER", true</t>
  </si>
  <si>
    <t>TOK_TRAILING, "TRAILING", false</t>
  </si>
  <si>
    <t>TOK_TRANSACTION, "TRANSACTION", true</t>
  </si>
  <si>
    <t>TOK_TRAPS, "TRAPS", true</t>
  </si>
  <si>
    <t>TOK_TRIGGER, "TRIGGER", false</t>
  </si>
  <si>
    <t>TOK_TRIM, "TRIM", false</t>
  </si>
  <si>
    <t>TOK_TRUE, "TRUE", false</t>
  </si>
  <si>
    <t>TOK_TRUNC, "TRUNC", true</t>
  </si>
  <si>
    <t>TOK_TRUSTED, "TRUSTED", true</t>
  </si>
  <si>
    <t>TOK_TWO_PHASE, "TWO_PHASE", true</t>
  </si>
  <si>
    <t>TOK_TYPE, "TYPE", true</t>
  </si>
  <si>
    <t>TOK_UNBOUNDED, "UNBOUNDED", false</t>
  </si>
  <si>
    <t>TOK_UNCOMMITTED, "UNCOMMITTED", true</t>
  </si>
  <si>
    <t>TOK_UNDO, "UNDO", true</t>
  </si>
  <si>
    <t>TOK_UNICODE_CHAR, "UNICODE_CHAR", true</t>
  </si>
  <si>
    <t>TOK_UNICODE_VAL, "UNICODE_VAL", true</t>
  </si>
  <si>
    <t>TOK_UNION, "UNION", false</t>
  </si>
  <si>
    <t>TOK_UNIQUE, "UNIQUE", false</t>
  </si>
  <si>
    <t>TOK_UNKNOWN, "UNKNOWN", false</t>
  </si>
  <si>
    <t>TOK_UPDATE, "UPDATE", false</t>
  </si>
  <si>
    <t>TOK_UPDATING, "UPDATING", false</t>
  </si>
  <si>
    <t>TOK_UPPER, "UPPER", false</t>
  </si>
  <si>
    <t>TOK_USAGE, "USAGE", true</t>
  </si>
  <si>
    <t>TOK_USER, "USER", false</t>
  </si>
  <si>
    <t>TOK_USING, "USING", false</t>
  </si>
  <si>
    <t>TOK_UUID_TO_CHAR, "UUID_TO_CHAR", true</t>
  </si>
  <si>
    <t>TOK_VALUE, "VALUE", false</t>
  </si>
  <si>
    <t>TOK_VALUES, "VALUES", false</t>
  </si>
  <si>
    <t>TOK_VAR_POP, "VAR_POP", false</t>
  </si>
  <si>
    <t>TOK_VAR_SAMP, "VAR_SAMP", false</t>
  </si>
  <si>
    <t>TOK_VARBINARY, "VARBINARY", false</t>
  </si>
  <si>
    <t>TOK_VARCHAR, "VARCHAR", false</t>
  </si>
  <si>
    <t>TOK_VARIABLE, "VARIABLE", false</t>
  </si>
  <si>
    <t>TOK_VARYING, "VARYING", false</t>
  </si>
  <si>
    <t>TOK_VERSION, "RECORD_VERSION", false</t>
  </si>
  <si>
    <t>TOK_VIEW, "VIEW", false</t>
  </si>
  <si>
    <t>TOK_WAIT, "WAIT", true</t>
  </si>
  <si>
    <t>TOK_WEEK, "WEEK", true</t>
  </si>
  <si>
    <t>TOK_WEEKDAY, "WEEKDAY", true</t>
  </si>
  <si>
    <t>TOK_WHEN, "WHEN", false</t>
  </si>
  <si>
    <t>TOK_WHERE, "WHERE", false</t>
  </si>
  <si>
    <t>TOK_WHILE, "WHILE", false</t>
  </si>
  <si>
    <t>TOK_WINDOW, "WINDOW", false</t>
  </si>
  <si>
    <t>TOK_WITH, "WITH", false</t>
  </si>
  <si>
    <t>TOK_WITHOUT, "WITHOUT", false</t>
  </si>
  <si>
    <t>TOK_WORK, "WORK", true</t>
  </si>
  <si>
    <t>TOK_WRITE, "WRITE", true</t>
  </si>
  <si>
    <t>TOK_YEAR, "YEAR", false</t>
  </si>
  <si>
    <t>TOK_YEARDAY, "YEARDAY", true</t>
  </si>
  <si>
    <t>TOK_ZONE, "ZONE", true</t>
  </si>
  <si>
    <t>TOK_DESCRIPTOR, "DESCRIPTOR", true</t>
  </si>
  <si>
    <t>TOK_SUBSTRING, "SUBSTRING", true</t>
  </si>
  <si>
    <t>","</t>
  </si>
  <si>
    <t>false</t>
  </si>
  <si>
    <t>TOK_ASCENDING, "ASCENDING", true</t>
  </si>
  <si>
    <t>TOK_ASCENDING 265</t>
  </si>
  <si>
    <t>TOK_BASE64_DECODE ***</t>
  </si>
  <si>
    <t>TOK_BASE64_ENCODE ***</t>
  </si>
  <si>
    <t>TOK_BINARY ***</t>
  </si>
  <si>
    <t>TOK_BIND ***</t>
  </si>
  <si>
    <t>TOK_BLOB_APPEND ***</t>
  </si>
  <si>
    <t>TOK_CEILING, "CEILING", true</t>
  </si>
  <si>
    <t>TOK_CEILING 539</t>
  </si>
  <si>
    <t>TOK_CHAR_LENGTH 513</t>
  </si>
  <si>
    <t>TOK_CLEAR ***</t>
  </si>
  <si>
    <t>TOK_COMMA ***</t>
  </si>
  <si>
    <t>TOK_COMPARE_DECFLOAT ***</t>
  </si>
  <si>
    <t>TOK_CONNECTIONS ***</t>
  </si>
  <si>
    <t>TOK_CONSISTENCY ***</t>
  </si>
  <si>
    <t>TOK_CORR ***</t>
  </si>
  <si>
    <t>TOK_COUNTER ***</t>
  </si>
  <si>
    <t>TOK_COVAR_POP ***</t>
  </si>
  <si>
    <t>TOK_COVER_SAMP ***</t>
  </si>
  <si>
    <t>TOK_CRYPT_HASH ***</t>
  </si>
  <si>
    <t>TOK_CTR_BIG_ENDIAN</t>
  </si>
  <si>
    <t>TOK_CTR_LENGTH</t>
  </si>
  <si>
    <t>TOK_CTR_LITTLE_ENDIAN</t>
  </si>
  <si>
    <t>TOK_CUME_DIST</t>
  </si>
  <si>
    <t>TOK_CTR_BIG_ENDIAN ***</t>
  </si>
  <si>
    <t>TOK_CTR_LENGTH ***</t>
  </si>
  <si>
    <t>TOK_CTR_LITTLE_ENDIAN ***</t>
  </si>
  <si>
    <t>TOK_CUME_DIST ***</t>
  </si>
  <si>
    <t>TOK_SCHEMA, "SCHEMA", false</t>
  </si>
  <si>
    <t>TOK_DEBUG ***</t>
  </si>
  <si>
    <t>TOK_DECFLOAT ***</t>
  </si>
  <si>
    <t>TOK_DECIMAL_NUMBER, "DECIMAL_NUMBER", false</t>
  </si>
  <si>
    <t>TOK_DEFINER ***</t>
  </si>
  <si>
    <t>TOK_DESCENDING 297</t>
  </si>
  <si>
    <t>TOK_DESCENDING, "DESCENDING", true</t>
  </si>
  <si>
    <t>TOK_DIFFERENCE</t>
  </si>
  <si>
    <t>TOK_DISABLE</t>
  </si>
  <si>
    <t>TOK_DISABLE ***</t>
  </si>
  <si>
    <t>TOK_ENABLE ***</t>
  </si>
  <si>
    <t>TOK_EXCESS ***</t>
  </si>
  <si>
    <t>TOK_FLOAT_NUMBER, "FLOAT_NUMBER", false</t>
  </si>
  <si>
    <t>TOK_INTRODUCER, "INTRODUCER", true</t>
  </si>
  <si>
    <t>TOK_ABSOLUTE 621</t>
  </si>
  <si>
    <t>TOK_BOOLEAN 638</t>
  </si>
  <si>
    <t>TOK_BREAK 471</t>
  </si>
  <si>
    <t>TOK_CHAR 337</t>
  </si>
  <si>
    <t>TOK_DEC 338</t>
  </si>
  <si>
    <t>TOK_DELETE 296</t>
  </si>
  <si>
    <t>TOK_DESCRIPTOR 474</t>
  </si>
  <si>
    <t>TOK_DIFFERENCE 496</t>
  </si>
  <si>
    <t>TOK_DOUBLE 339</t>
  </si>
  <si>
    <t>TOK_FALSE 639</t>
  </si>
  <si>
    <t>TOK_FILE 340</t>
  </si>
  <si>
    <t>TOK_FLOAT 341</t>
  </si>
  <si>
    <t>TOK_IGNORE 520</t>
  </si>
  <si>
    <t>TOK_IN 325</t>
  </si>
  <si>
    <t>TOK_INT 342</t>
  </si>
  <si>
    <t>TOK_LONG 343</t>
  </si>
  <si>
    <t>TOK_LOWER 515</t>
  </si>
  <si>
    <t>TOK_NULL 344</t>
  </si>
  <si>
    <t>TOK_NUMERIC 345</t>
  </si>
  <si>
    <t>TOK_PAGE_SIZE 378</t>
  </si>
  <si>
    <t>TOK_RELATIVE 622</t>
  </si>
  <si>
    <t>TOK_SHARED 403</t>
  </si>
  <si>
    <t>TOK_SIZE 405</t>
  </si>
  <si>
    <t>TOK_TRUE 640</t>
  </si>
  <si>
    <t>TOK_TYPE 452</t>
  </si>
  <si>
    <t>TOK_UPPER 346</t>
  </si>
  <si>
    <t>TOK_VALUE 347</t>
  </si>
  <si>
    <t>TOK_IV ***</t>
  </si>
  <si>
    <t>TOK_INVOKER ***</t>
  </si>
  <si>
    <t>TOK_INT128 ***</t>
  </si>
  <si>
    <t>TOK_IDLE</t>
  </si>
  <si>
    <t>TOK_HEX_DECODE</t>
  </si>
  <si>
    <t>TOK_HEX_ENCODE</t>
  </si>
  <si>
    <t>TOK_FOLLOWING</t>
  </si>
  <si>
    <t>TOK_FIRST_DAY</t>
  </si>
  <si>
    <t>TOK_EXTENDED</t>
  </si>
  <si>
    <t>TOK_EXCLUDE</t>
  </si>
  <si>
    <t>TOK_LIMIT64_INT,"TOK_LIMIT64_INT", true</t>
  </si>
  <si>
    <t>TOK_LIMIT64_NUMBER,"TOK_LIMIT64_NUMBER",true</t>
  </si>
  <si>
    <t>TOK_NOT_GTR_LSS, "&lt;&gt;", false</t>
  </si>
  <si>
    <t>TOK_BIN_OPR_XOR, "^=", false</t>
  </si>
  <si>
    <t>TOK_BIN_OPR_COMPLEMENT, "~=", false</t>
  </si>
  <si>
    <t>TOK_BIN_OPR_XOR</t>
  </si>
  <si>
    <t>TOK_BIN_OPR_COMPLEMENT</t>
  </si>
  <si>
    <t>TOK_BIN_OPR_XOR 538</t>
  </si>
  <si>
    <t>TOK_BIN_OPR_COMPLEMENT 606</t>
  </si>
  <si>
    <t>TOK_BIN_XOR_GTR, "^&gt;", false</t>
  </si>
  <si>
    <t>TOK_BIN_COMPLEMENT_GTR, "~&gt;", false</t>
  </si>
  <si>
    <t>TOK_BIN_XOR_LSS, "^&lt;", false</t>
  </si>
  <si>
    <t>TOK_BIN_COMPLIMENT_LSS, "~&lt;", false</t>
  </si>
  <si>
    <t>TOK_NUM126, "NUM128", true</t>
  </si>
  <si>
    <t>TOK_NUMBER32BIT, "NUMBER32BIT", true</t>
  </si>
  <si>
    <t>TOK_NUMBER64BIT, "NUMBER64BIT", true</t>
  </si>
  <si>
    <t>TOK_OPR_ASSIGN, "=", false</t>
  </si>
  <si>
    <t>TOK_OPR_GTR, "&gt;", false</t>
  </si>
  <si>
    <t>TOK_OPR_LSS, "&lt;", false</t>
  </si>
  <si>
    <t>TOK_SCALEDINT, "SCALEDINT", false</t>
  </si>
  <si>
    <t>TOK_STARTS, "STARTS", true</t>
  </si>
  <si>
    <t>TOK_STARTS 412</t>
  </si>
  <si>
    <t>TOK_STRING, "STRING", true</t>
  </si>
  <si>
    <t>TOK_SYMBOL, "SYMBOL", true</t>
  </si>
  <si>
    <t>TOK_UMINUS, "UMINUS", false</t>
  </si>
  <si>
    <t>TOK_UPLUS, "UPLUS", false</t>
  </si>
  <si>
    <t>TOK_YYERRCODE, "YYERRCODE", true</t>
  </si>
  <si>
    <t>621</t>
  </si>
  <si>
    <t>526</t>
  </si>
  <si>
    <t>527</t>
  </si>
  <si>
    <t>623</t>
  </si>
  <si>
    <t>445</t>
  </si>
  <si>
    <t>257</t>
  </si>
  <si>
    <t>258</t>
  </si>
  <si>
    <t>446</t>
  </si>
  <si>
    <t>259</t>
  </si>
  <si>
    <t>260</t>
  </si>
  <si>
    <t>261</t>
  </si>
  <si>
    <t>528</t>
  </si>
  <si>
    <t>262</t>
  </si>
  <si>
    <t>263</t>
  </si>
  <si>
    <t>264</t>
  </si>
  <si>
    <t>265</t>
  </si>
  <si>
    <t>529</t>
  </si>
  <si>
    <t>530</t>
  </si>
  <si>
    <t>531</t>
  </si>
  <si>
    <t>624</t>
  </si>
  <si>
    <t>266</t>
  </si>
  <si>
    <t>532</t>
  </si>
  <si>
    <t>533</t>
  </si>
  <si>
    <t>625</t>
  </si>
  <si>
    <t>268</t>
  </si>
  <si>
    <t>590</t>
  </si>
  <si>
    <t>267</t>
  </si>
  <si>
    <t>495</t>
  </si>
  <si>
    <t>269</t>
  </si>
  <si>
    <t>270</t>
  </si>
  <si>
    <t>271</t>
  </si>
  <si>
    <t>479</t>
  </si>
  <si>
    <t>534</t>
  </si>
  <si>
    <t>606</t>
  </si>
  <si>
    <t>538</t>
  </si>
  <si>
    <t>535</t>
  </si>
  <si>
    <t>536</t>
  </si>
  <si>
    <t>537</t>
  </si>
  <si>
    <t>605</t>
  </si>
  <si>
    <t>511</t>
  </si>
  <si>
    <t>272</t>
  </si>
  <si>
    <t>501</t>
  </si>
  <si>
    <t>607</t>
  </si>
  <si>
    <t>638</t>
  </si>
  <si>
    <t>508</t>
  </si>
  <si>
    <t>471</t>
  </si>
  <si>
    <t>273</t>
  </si>
  <si>
    <t>600</t>
  </si>
  <si>
    <t>447</t>
  </si>
  <si>
    <t>480</t>
  </si>
  <si>
    <t>274</t>
  </si>
  <si>
    <t>539</t>
  </si>
  <si>
    <t>337</t>
  </si>
  <si>
    <t>513</t>
  </si>
  <si>
    <t>591</t>
  </si>
  <si>
    <t>275</t>
  </si>
  <si>
    <t>276</t>
  </si>
  <si>
    <t>498</t>
  </si>
  <si>
    <t>482</t>
  </si>
  <si>
    <t>277</t>
  </si>
  <si>
    <t>509</t>
  </si>
  <si>
    <t>451</t>
  </si>
  <si>
    <t>510</t>
  </si>
  <si>
    <t>278</t>
  </si>
  <si>
    <t>279</t>
  </si>
  <si>
    <t>601</t>
  </si>
  <si>
    <t>280</t>
  </si>
  <si>
    <t>281</t>
  </si>
  <si>
    <t>282</t>
  </si>
  <si>
    <t>540</t>
  </si>
  <si>
    <t>283</t>
  </si>
  <si>
    <t>284</t>
  </si>
  <si>
    <t>608</t>
  </si>
  <si>
    <t>541</t>
  </si>
  <si>
    <t>542</t>
  </si>
  <si>
    <t>543</t>
  </si>
  <si>
    <t>285</t>
  </si>
  <si>
    <t>286</t>
  </si>
  <si>
    <t>504</t>
  </si>
  <si>
    <t>287</t>
  </si>
  <si>
    <t>288</t>
  </si>
  <si>
    <t>477</t>
  </si>
  <si>
    <t>464</t>
  </si>
  <si>
    <t>470</t>
  </si>
  <si>
    <t>465</t>
  </si>
  <si>
    <t>466</t>
  </si>
  <si>
    <t>478</t>
  </si>
  <si>
    <t>469</t>
  </si>
  <si>
    <t>289</t>
  </si>
  <si>
    <t>602</t>
  </si>
  <si>
    <t>290</t>
  </si>
  <si>
    <t>291</t>
  </si>
  <si>
    <t>544</t>
  </si>
  <si>
    <t>545</t>
  </si>
  <si>
    <t>456</t>
  </si>
  <si>
    <t>292</t>
  </si>
  <si>
    <t>609</t>
  </si>
  <si>
    <t>338</t>
  </si>
  <si>
    <t>293</t>
  </si>
  <si>
    <t>648</t>
  </si>
  <si>
    <t>294</t>
  </si>
  <si>
    <t>546</t>
  </si>
  <si>
    <t>610</t>
  </si>
  <si>
    <t>295</t>
  </si>
  <si>
    <t>296</t>
  </si>
  <si>
    <t>494</t>
  </si>
  <si>
    <t>629</t>
  </si>
  <si>
    <t>297</t>
  </si>
  <si>
    <t>474</t>
  </si>
  <si>
    <t>627</t>
  </si>
  <si>
    <t>496</t>
  </si>
  <si>
    <t>547</t>
  </si>
  <si>
    <t>298</t>
  </si>
  <si>
    <t>299</t>
  </si>
  <si>
    <t>300</t>
  </si>
  <si>
    <t>339</t>
  </si>
  <si>
    <t>301</t>
  </si>
  <si>
    <t>302</t>
  </si>
  <si>
    <t>611</t>
  </si>
  <si>
    <t>303</t>
  </si>
  <si>
    <t>612</t>
  </si>
  <si>
    <t>304</t>
  </si>
  <si>
    <t>305</t>
  </si>
  <si>
    <t>306</t>
  </si>
  <si>
    <t>307</t>
  </si>
  <si>
    <t>308</t>
  </si>
  <si>
    <t>309</t>
  </si>
  <si>
    <t>548</t>
  </si>
  <si>
    <t>310</t>
  </si>
  <si>
    <t>453</t>
  </si>
  <si>
    <t>639</t>
  </si>
  <si>
    <t>499</t>
  </si>
  <si>
    <t>340</t>
  </si>
  <si>
    <t>311</t>
  </si>
  <si>
    <t>475</t>
  </si>
  <si>
    <t>630</t>
  </si>
  <si>
    <t>592</t>
  </si>
  <si>
    <t>341</t>
  </si>
  <si>
    <t>440</t>
  </si>
  <si>
    <t>549</t>
  </si>
  <si>
    <t>312</t>
  </si>
  <si>
    <t>313</t>
  </si>
  <si>
    <t>448</t>
  </si>
  <si>
    <t>314</t>
  </si>
  <si>
    <t>315</t>
  </si>
  <si>
    <t>316</t>
  </si>
  <si>
    <t>317</t>
  </si>
  <si>
    <t>320</t>
  </si>
  <si>
    <t>550</t>
  </si>
  <si>
    <t>551</t>
  </si>
  <si>
    <t>319</t>
  </si>
  <si>
    <t>318</t>
  </si>
  <si>
    <t>552</t>
  </si>
  <si>
    <t>321</t>
  </si>
  <si>
    <t>593</t>
  </si>
  <si>
    <t>322</t>
  </si>
  <si>
    <t>553</t>
  </si>
  <si>
    <t>323</t>
  </si>
  <si>
    <t>457</t>
  </si>
  <si>
    <t>628</t>
  </si>
  <si>
    <t>324</t>
  </si>
  <si>
    <t>520</t>
  </si>
  <si>
    <t>502</t>
  </si>
  <si>
    <t>325</t>
  </si>
  <si>
    <t>326</t>
  </si>
  <si>
    <t>329</t>
  </si>
  <si>
    <t>327</t>
  </si>
  <si>
    <t>328</t>
  </si>
  <si>
    <t>554</t>
  </si>
  <si>
    <t>330</t>
  </si>
  <si>
    <t>492</t>
  </si>
  <si>
    <t>342</t>
  </si>
  <si>
    <t>331</t>
  </si>
  <si>
    <t>332</t>
  </si>
  <si>
    <t>444</t>
  </si>
  <si>
    <t>333</t>
  </si>
  <si>
    <t>334</t>
  </si>
  <si>
    <t>335</t>
  </si>
  <si>
    <t>336</t>
  </si>
  <si>
    <t>633</t>
  </si>
  <si>
    <t>485</t>
  </si>
  <si>
    <t>632</t>
  </si>
  <si>
    <t>594</t>
  </si>
  <si>
    <t>634</t>
  </si>
  <si>
    <t>514</t>
  </si>
  <si>
    <t>491</t>
  </si>
  <si>
    <t>349</t>
  </si>
  <si>
    <t>348</t>
  </si>
  <si>
    <t>350</t>
  </si>
  <si>
    <t>351</t>
  </si>
  <si>
    <t>352</t>
  </si>
  <si>
    <t>521</t>
  </si>
  <si>
    <t>650</t>
  </si>
  <si>
    <t>649</t>
  </si>
  <si>
    <t>644</t>
  </si>
  <si>
    <t>555</t>
  </si>
  <si>
    <t>556</t>
  </si>
  <si>
    <t>487</t>
  </si>
  <si>
    <t>557</t>
  </si>
  <si>
    <t>558</t>
  </si>
  <si>
    <t>343</t>
  </si>
  <si>
    <t>515</t>
  </si>
  <si>
    <t>559</t>
  </si>
  <si>
    <t>353</t>
  </si>
  <si>
    <t>596</t>
  </si>
  <si>
    <t>560</t>
  </si>
  <si>
    <t>561</t>
  </si>
  <si>
    <t>354</t>
  </si>
  <si>
    <t>562</t>
  </si>
  <si>
    <t>355</t>
  </si>
  <si>
    <t>595</t>
  </si>
  <si>
    <t>563</t>
  </si>
  <si>
    <t>356</t>
  </si>
  <si>
    <t>458</t>
  </si>
  <si>
    <t>564</t>
  </si>
  <si>
    <t>565</t>
  </si>
  <si>
    <t>357</t>
  </si>
  <si>
    <t>455</t>
  </si>
  <si>
    <t>613</t>
  </si>
  <si>
    <t>358</t>
  </si>
  <si>
    <t>359</t>
  </si>
  <si>
    <t>360</t>
  </si>
  <si>
    <t>361</t>
  </si>
  <si>
    <t>362</t>
  </si>
  <si>
    <t>505</t>
  </si>
  <si>
    <t>363</t>
  </si>
  <si>
    <t>364</t>
  </si>
  <si>
    <t>365</t>
  </si>
  <si>
    <t>366</t>
  </si>
  <si>
    <t>631</t>
  </si>
  <si>
    <t>344</t>
  </si>
  <si>
    <t>481</t>
  </si>
  <si>
    <t>484</t>
  </si>
  <si>
    <t>651</t>
  </si>
  <si>
    <t>442</t>
  </si>
  <si>
    <t>652</t>
  </si>
  <si>
    <t>467</t>
  </si>
  <si>
    <t>345</t>
  </si>
  <si>
    <t>516</t>
  </si>
  <si>
    <t>367</t>
  </si>
  <si>
    <t>368</t>
  </si>
  <si>
    <t>369</t>
  </si>
  <si>
    <t>497</t>
  </si>
  <si>
    <t>370</t>
  </si>
  <si>
    <t>371</t>
  </si>
  <si>
    <t>372</t>
  </si>
  <si>
    <t>597</t>
  </si>
  <si>
    <t>373</t>
  </si>
  <si>
    <t>374</t>
  </si>
  <si>
    <t>614</t>
  </si>
  <si>
    <t>375</t>
  </si>
  <si>
    <t>566</t>
  </si>
  <si>
    <t>615</t>
  </si>
  <si>
    <t>567</t>
  </si>
  <si>
    <t>376</t>
  </si>
  <si>
    <t>378</t>
  </si>
  <si>
    <t>377</t>
  </si>
  <si>
    <t>379</t>
  </si>
  <si>
    <t>616</t>
  </si>
  <si>
    <t>380</t>
  </si>
  <si>
    <t>568</t>
  </si>
  <si>
    <t>569</t>
  </si>
  <si>
    <t>381</t>
  </si>
  <si>
    <t>382</t>
  </si>
  <si>
    <t>383</t>
  </si>
  <si>
    <t>570</t>
  </si>
  <si>
    <t>384</t>
  </si>
  <si>
    <t>571</t>
  </si>
  <si>
    <t>385</t>
  </si>
  <si>
    <t>620</t>
  </si>
  <si>
    <t>386</t>
  </si>
  <si>
    <t>387</t>
  </si>
  <si>
    <t>388</t>
  </si>
  <si>
    <t>572</t>
  </si>
  <si>
    <t>635</t>
  </si>
  <si>
    <t>617</t>
  </si>
  <si>
    <t>643</t>
  </si>
  <si>
    <t>618</t>
  </si>
  <si>
    <t>389</t>
  </si>
  <si>
    <t>390</t>
  </si>
  <si>
    <t>473</t>
  </si>
  <si>
    <t>573</t>
  </si>
  <si>
    <t>391</t>
  </si>
  <si>
    <t>622</t>
  </si>
  <si>
    <t>489</t>
  </si>
  <si>
    <t>574</t>
  </si>
  <si>
    <t>523</t>
  </si>
  <si>
    <t>392</t>
  </si>
  <si>
    <t>507</t>
  </si>
  <si>
    <t>449</t>
  </si>
  <si>
    <t>393</t>
  </si>
  <si>
    <t>626</t>
  </si>
  <si>
    <t>519</t>
  </si>
  <si>
    <t>394</t>
  </si>
  <si>
    <t>395</t>
  </si>
  <si>
    <t>575</t>
  </si>
  <si>
    <t>396</t>
  </si>
  <si>
    <t>397</t>
  </si>
  <si>
    <t>450</t>
  </si>
  <si>
    <t>398</t>
  </si>
  <si>
    <t>576</t>
  </si>
  <si>
    <t>486</t>
  </si>
  <si>
    <t>636</t>
  </si>
  <si>
    <t>500</t>
  </si>
  <si>
    <t>577</t>
  </si>
  <si>
    <t>488</t>
  </si>
  <si>
    <t>503</t>
  </si>
  <si>
    <t>468</t>
  </si>
  <si>
    <t>619</t>
  </si>
  <si>
    <t>459</t>
  </si>
  <si>
    <t>399</t>
  </si>
  <si>
    <t>400</t>
  </si>
  <si>
    <t>578</t>
  </si>
  <si>
    <t>506</t>
  </si>
  <si>
    <t>401</t>
  </si>
  <si>
    <t>402</t>
  </si>
  <si>
    <t>403</t>
  </si>
  <si>
    <t>579</t>
  </si>
  <si>
    <t>598</t>
  </si>
  <si>
    <t>580</t>
  </si>
  <si>
    <t>404</t>
  </si>
  <si>
    <t>581</t>
  </si>
  <si>
    <t>405</t>
  </si>
  <si>
    <t>476</t>
  </si>
  <si>
    <t>406</t>
  </si>
  <si>
    <t>407</t>
  </si>
  <si>
    <t>408</t>
  </si>
  <si>
    <t>409</t>
  </si>
  <si>
    <t>603</t>
  </si>
  <si>
    <t>582</t>
  </si>
  <si>
    <t>410</t>
  </si>
  <si>
    <t>637</t>
  </si>
  <si>
    <t>583</t>
  </si>
  <si>
    <t>411</t>
  </si>
  <si>
    <t>584</t>
  </si>
  <si>
    <t>412</t>
  </si>
  <si>
    <t>490</t>
  </si>
  <si>
    <t>413</t>
  </si>
  <si>
    <t>443</t>
  </si>
  <si>
    <t>414</t>
  </si>
  <si>
    <t>472</t>
  </si>
  <si>
    <t>416</t>
  </si>
  <si>
    <t>415</t>
  </si>
  <si>
    <t>441</t>
  </si>
  <si>
    <t>417</t>
  </si>
  <si>
    <t>645</t>
  </si>
  <si>
    <t>585</t>
  </si>
  <si>
    <t>586</t>
  </si>
  <si>
    <t>587</t>
  </si>
  <si>
    <t>418</t>
  </si>
  <si>
    <t>462</t>
  </si>
  <si>
    <t>524</t>
  </si>
  <si>
    <t>463</t>
  </si>
  <si>
    <t>419</t>
  </si>
  <si>
    <t>517</t>
  </si>
  <si>
    <t>420</t>
  </si>
  <si>
    <t>421</t>
  </si>
  <si>
    <t>518</t>
  </si>
  <si>
    <t>640</t>
  </si>
  <si>
    <t>588</t>
  </si>
  <si>
    <t>604</t>
  </si>
  <si>
    <t>452</t>
  </si>
  <si>
    <t>646</t>
  </si>
  <si>
    <t>422</t>
  </si>
  <si>
    <t>522</t>
  </si>
  <si>
    <t>423</t>
  </si>
  <si>
    <t>424</t>
  </si>
  <si>
    <t>641</t>
  </si>
  <si>
    <t>425</t>
  </si>
  <si>
    <t>493</t>
  </si>
  <si>
    <t>647</t>
  </si>
  <si>
    <t>346</t>
  </si>
  <si>
    <t>642</t>
  </si>
  <si>
    <t>426</t>
  </si>
  <si>
    <t>483</t>
  </si>
  <si>
    <t>599</t>
  </si>
  <si>
    <t>347</t>
  </si>
  <si>
    <t>427</t>
  </si>
  <si>
    <t>428</t>
  </si>
  <si>
    <t>429</t>
  </si>
  <si>
    <t>430</t>
  </si>
  <si>
    <t>431</t>
  </si>
  <si>
    <t>432</t>
  </si>
  <si>
    <t>433</t>
  </si>
  <si>
    <t>589</t>
  </si>
  <si>
    <t>460</t>
  </si>
  <si>
    <t>434</t>
  </si>
  <si>
    <t>435</t>
  </si>
  <si>
    <t>436</t>
  </si>
  <si>
    <t>437</t>
  </si>
  <si>
    <t>438</t>
  </si>
  <si>
    <t>439</t>
  </si>
  <si>
    <t>454</t>
  </si>
  <si>
    <t>461</t>
  </si>
  <si>
    <t>256</t>
  </si>
  <si>
    <t>TOK_ABS</t>
  </si>
  <si>
    <t>TOK_ABSOLUTE</t>
  </si>
  <si>
    <t>TOK_ACCENT</t>
  </si>
  <si>
    <t>TOK_ACOS</t>
  </si>
  <si>
    <t>TOK_ACOSH</t>
  </si>
  <si>
    <t>TOK_ACTION</t>
  </si>
  <si>
    <t>TOK_ACTIVE</t>
  </si>
  <si>
    <t>TOK_ADD</t>
  </si>
  <si>
    <t>TOK_ADMIN</t>
  </si>
  <si>
    <t>TOK_AFTER</t>
  </si>
  <si>
    <t>TOK_ALL</t>
  </si>
  <si>
    <t>TOK_ALTER</t>
  </si>
  <si>
    <t>TOK_ALWAYS</t>
  </si>
  <si>
    <t>TOK_AND</t>
  </si>
  <si>
    <t>TOK_ANY</t>
  </si>
  <si>
    <t>TOK_AS</t>
  </si>
  <si>
    <t>TOK_ASC</t>
  </si>
  <si>
    <t>TOK_ASCENDING</t>
  </si>
  <si>
    <t>TOK_ASCII_CHAR</t>
  </si>
  <si>
    <t>TOK_ASCII_VAL</t>
  </si>
  <si>
    <t>TOK_ASIN</t>
  </si>
  <si>
    <t>TOK_ASINH</t>
  </si>
  <si>
    <t>TOK_AT</t>
  </si>
  <si>
    <t>TOK_ATAN</t>
  </si>
  <si>
    <t>TOK_ATAN2</t>
  </si>
  <si>
    <t>TOK_ATANH</t>
  </si>
  <si>
    <t>TOK_AUTO</t>
  </si>
  <si>
    <t>TOK_AUTONOMOUS</t>
  </si>
  <si>
    <t>TOK_AVG</t>
  </si>
  <si>
    <t>TOK_BACKUP</t>
  </si>
  <si>
    <t>TOK_BASE64_DECODE</t>
  </si>
  <si>
    <t>TOK_BASE64_ENCODE</t>
  </si>
  <si>
    <t>TOK_BEFORE</t>
  </si>
  <si>
    <t>TOK_BEGIN</t>
  </si>
  <si>
    <t>TOK_BETWEEN</t>
  </si>
  <si>
    <t>TOK_BIGINT</t>
  </si>
  <si>
    <t>TOK_BIN_AND</t>
  </si>
  <si>
    <t>TOK_BIN_COMPLEMENT_GTR</t>
  </si>
  <si>
    <t>TOK_BIN_COMPLIMENT_LSS</t>
  </si>
  <si>
    <t>TOK_BIN_NOT</t>
  </si>
  <si>
    <t>TOK_BIN_OR</t>
  </si>
  <si>
    <t>TOK_BIN_SHL</t>
  </si>
  <si>
    <t>TOK_BIN_SHR</t>
  </si>
  <si>
    <t>TOK_BIN_XOR</t>
  </si>
  <si>
    <t>TOK_BIN_XOR_GTR</t>
  </si>
  <si>
    <t>TOK_BIN_XOR_LSS</t>
  </si>
  <si>
    <t>TOK_BINARY</t>
  </si>
  <si>
    <t>TOK_BIND</t>
  </si>
  <si>
    <t>TOK_BIND_PARAM</t>
  </si>
  <si>
    <t>TOK_BIT_LENGTH</t>
  </si>
  <si>
    <t>TOK_BLOB</t>
  </si>
  <si>
    <t>TOK_BLOB_APPEND</t>
  </si>
  <si>
    <t>TOK_BLOCK</t>
  </si>
  <si>
    <t>TOK_BODY</t>
  </si>
  <si>
    <t>TOK_BOOLEAN</t>
  </si>
  <si>
    <t>TOK_BOTH</t>
  </si>
  <si>
    <t>TOK_BREAK</t>
  </si>
  <si>
    <t>TOK_BY</t>
  </si>
  <si>
    <t>TOK_CALLER</t>
  </si>
  <si>
    <t>TOK_CASCADE</t>
  </si>
  <si>
    <t>TOK_CASE</t>
  </si>
  <si>
    <t>TOK_CAST</t>
  </si>
  <si>
    <t>TOK_CEIL</t>
  </si>
  <si>
    <t>TOK_CEILING</t>
  </si>
  <si>
    <t>TOK_CHAR</t>
  </si>
  <si>
    <t>TOK_CHAR_LENGTH</t>
  </si>
  <si>
    <t>TOK_CHAR_TO_UUID</t>
  </si>
  <si>
    <t>TOK_CHARACTER</t>
  </si>
  <si>
    <t>TOK_CHARACTER_LENGTH</t>
  </si>
  <si>
    <t>TOK_CHECK</t>
  </si>
  <si>
    <t>TOK_CLEAR</t>
  </si>
  <si>
    <t>TOK_CLOSE</t>
  </si>
  <si>
    <t>TOK_COALESCE</t>
  </si>
  <si>
    <t>TOK_COLLATE</t>
  </si>
  <si>
    <t>TOK_COLLATION</t>
  </si>
  <si>
    <t>TOK_COLUMN</t>
  </si>
  <si>
    <t>TOK_COMMA</t>
  </si>
  <si>
    <t>TOK_COMMENT</t>
  </si>
  <si>
    <t>TOK_COMMIT</t>
  </si>
  <si>
    <t>TOK_COMMITTED</t>
  </si>
  <si>
    <t>TOK_COMMON</t>
  </si>
  <si>
    <t>TOK_COMPARE_DECFLOAT</t>
  </si>
  <si>
    <t>TOK_COMPUTED</t>
  </si>
  <si>
    <t>TOK_CONCATENATE</t>
  </si>
  <si>
    <t>TOK_CONDITIONAL</t>
  </si>
  <si>
    <t>TOK_CONNECT</t>
  </si>
  <si>
    <t>TOK_CONNECTIONS</t>
  </si>
  <si>
    <t>TOK_CONSISTENCY</t>
  </si>
  <si>
    <t>TOK_CONSTRAINT</t>
  </si>
  <si>
    <t>TOK_CONTAINING</t>
  </si>
  <si>
    <t>TOK_CONTINUE</t>
  </si>
  <si>
    <t>TOK_CORR</t>
  </si>
  <si>
    <t>TOK_COS</t>
  </si>
  <si>
    <t>TOK_COSH</t>
  </si>
  <si>
    <t>TOK_COT</t>
  </si>
  <si>
    <t>TOK_COUNT</t>
  </si>
  <si>
    <t>TOK_COUNTER</t>
  </si>
  <si>
    <t>TOK_COVAR_POP</t>
  </si>
  <si>
    <t>TOK_COVAR_SAMP</t>
  </si>
  <si>
    <t>TOK_CREATE</t>
  </si>
  <si>
    <t>TOK_CROSS</t>
  </si>
  <si>
    <t>TOK_CRYPT_HASH</t>
  </si>
  <si>
    <t>TOK_CSTRING</t>
  </si>
  <si>
    <t>TOK_CURRENT</t>
  </si>
  <si>
    <t>TOK_CURRENT_CONNECTION</t>
  </si>
  <si>
    <t>TOK_CURRENT_DATE</t>
  </si>
  <si>
    <t>TOK_CURRENT_ROLE</t>
  </si>
  <si>
    <t>TOK_CURRENT_TIME</t>
  </si>
  <si>
    <t>TOK_CURRENT_TIMESTAMP</t>
  </si>
  <si>
    <t>TOK_CURRENT_TRANSACTION</t>
  </si>
  <si>
    <t>TOK_CURRENT_USER</t>
  </si>
  <si>
    <t>TOK_CURSOR</t>
  </si>
  <si>
    <t>TOK_DATA</t>
  </si>
  <si>
    <t>TOK_DATABASE</t>
  </si>
  <si>
    <t>TOK_DATE</t>
  </si>
  <si>
    <t>TOK_DATEADD</t>
  </si>
  <si>
    <t>TOK_DATEDIFF</t>
  </si>
  <si>
    <t>TOK_DAY</t>
  </si>
  <si>
    <t>TOK_DB_KEY</t>
  </si>
  <si>
    <t>TOK_DDL</t>
  </si>
  <si>
    <t>TOK_DEBUG</t>
  </si>
  <si>
    <t>TOK_DEC</t>
  </si>
  <si>
    <t>TOK_DECFLOAT</t>
  </si>
  <si>
    <t>TOK_DECIMAL</t>
  </si>
  <si>
    <t>TOK_DECIMAL_NUMBER</t>
  </si>
  <si>
    <t>TOK_DECLARE</t>
  </si>
  <si>
    <t>TOK_DECODE</t>
  </si>
  <si>
    <t>TOK_DECRYPT</t>
  </si>
  <si>
    <t>TOK_DEFAULT</t>
  </si>
  <si>
    <t>TOK_DEFINER</t>
  </si>
  <si>
    <t>TOK_DELETE</t>
  </si>
  <si>
    <t>TOK_DELETING</t>
  </si>
  <si>
    <t>TOK_DENSE_RANK</t>
  </si>
  <si>
    <t>TOK_DESC</t>
  </si>
  <si>
    <t>TOK_DESCENDING</t>
  </si>
  <si>
    <t>TOK_DESCRIPTOR</t>
  </si>
  <si>
    <t>TOK_DETERMINISTIC</t>
  </si>
  <si>
    <t>TOK_DISCONNECT</t>
  </si>
  <si>
    <t>TOK_DISTINCT</t>
  </si>
  <si>
    <t>TOK_DO</t>
  </si>
  <si>
    <t>TOK_DOMAIN</t>
  </si>
  <si>
    <t>TOK_DOUBLE</t>
  </si>
  <si>
    <t>TOK_DROP</t>
  </si>
  <si>
    <t>TOK_ELSE</t>
  </si>
  <si>
    <t>TOK_ENABLE</t>
  </si>
  <si>
    <t>TOK_ENCRYPT</t>
  </si>
  <si>
    <t>TOK_END</t>
  </si>
  <si>
    <t>TOK_ENGINE</t>
  </si>
  <si>
    <t>TOK_ENTRY_POINT</t>
  </si>
  <si>
    <t>TOK_ESCAPE</t>
  </si>
  <si>
    <t>TOK_EXCEPTION</t>
  </si>
  <si>
    <t>TOK_EXCESS</t>
  </si>
  <si>
    <t>TOK_EXECUTE</t>
  </si>
  <si>
    <t>TOK_EXISTS</t>
  </si>
  <si>
    <t>TOK_EXIT</t>
  </si>
  <si>
    <t>TOK_EXP</t>
  </si>
  <si>
    <t>TOK_EXTERNAL</t>
  </si>
  <si>
    <t>TOK_EXTRACT</t>
  </si>
  <si>
    <t>TOK_FALSE</t>
  </si>
  <si>
    <t>TOK_FETCH</t>
  </si>
  <si>
    <t>TOK_FILE</t>
  </si>
  <si>
    <t>TOK_FILTER</t>
  </si>
  <si>
    <t>TOK_FIRST</t>
  </si>
  <si>
    <t>TOK_FIRST_VALUE</t>
  </si>
  <si>
    <t>TOK_FIRSTNAME</t>
  </si>
  <si>
    <t>TOK_FLOAT</t>
  </si>
  <si>
    <t>TOK_FLOAT_NUMBER</t>
  </si>
  <si>
    <t>TOK_FLOOR</t>
  </si>
  <si>
    <t>TOK_FOR</t>
  </si>
  <si>
    <t>TOK_FOREIGN</t>
  </si>
  <si>
    <t>TOK_FREE_IT</t>
  </si>
  <si>
    <t>TOK_FROM</t>
  </si>
  <si>
    <t>TOK_FULL</t>
  </si>
  <si>
    <t>TOK_FUNCTION</t>
  </si>
  <si>
    <t>TOK_GDSCODE</t>
  </si>
  <si>
    <t>TOK_GEN_ID</t>
  </si>
  <si>
    <t>TOK_GEN_UUID</t>
  </si>
  <si>
    <t>TOK_GENERATED</t>
  </si>
  <si>
    <t>TOK_GENERATOR</t>
  </si>
  <si>
    <t>TOK_GEQ</t>
  </si>
  <si>
    <t>TOK_GLOBAL</t>
  </si>
  <si>
    <t>TOK_GRANT</t>
  </si>
  <si>
    <t>TOK_GRANTED</t>
  </si>
  <si>
    <t>TOK_GROUP</t>
  </si>
  <si>
    <t>TOK_HASH</t>
  </si>
  <si>
    <t>TOK_HAVING</t>
  </si>
  <si>
    <t>TOK_HOUR</t>
  </si>
  <si>
    <t>TOK_IDENTITY</t>
  </si>
  <si>
    <t>TOK_IF</t>
  </si>
  <si>
    <t>TOK_IGNORE</t>
  </si>
  <si>
    <t>TOK_IIF</t>
  </si>
  <si>
    <t>TOK_IN</t>
  </si>
  <si>
    <t>TOK_INACTIVE</t>
  </si>
  <si>
    <t>TOK_INCLUDE</t>
  </si>
  <si>
    <t>TOK_INCREMENT</t>
  </si>
  <si>
    <t>TOK_INDEX</t>
  </si>
  <si>
    <t>TOK_INNER</t>
  </si>
  <si>
    <t>TOK_INPUT_TYPE</t>
  </si>
  <si>
    <t>TOK_INSENSITIVE</t>
  </si>
  <si>
    <t>TOK_INSERT</t>
  </si>
  <si>
    <t>TOK_INSERTING</t>
  </si>
  <si>
    <t>TOK_INT</t>
  </si>
  <si>
    <t>TOK_INT128</t>
  </si>
  <si>
    <t>TOK_INTEGER</t>
  </si>
  <si>
    <t>TOK_INTO</t>
  </si>
  <si>
    <t>TOK_INTRODUCER</t>
  </si>
  <si>
    <t>TOK_INVOKER</t>
  </si>
  <si>
    <t>TOK_IS</t>
  </si>
  <si>
    <t>TOK_ISOLATION</t>
  </si>
  <si>
    <t>TOK_IV</t>
  </si>
  <si>
    <t>TOK_JOIN</t>
  </si>
  <si>
    <t>TOK_KEY</t>
  </si>
  <si>
    <t>TOK_LAG</t>
  </si>
  <si>
    <t>TOK_LAST</t>
  </si>
  <si>
    <t>TOK_LAST_DAY</t>
  </si>
  <si>
    <t>TOK_LAST_VALUE</t>
  </si>
  <si>
    <t>TOK_LASTNAME</t>
  </si>
  <si>
    <t>TOK_LATERAL</t>
  </si>
  <si>
    <t>TOK_LEAD</t>
  </si>
  <si>
    <t>TOK_LEADING</t>
  </si>
  <si>
    <t>TOK_LEAVE</t>
  </si>
  <si>
    <t>TOK_LEFT</t>
  </si>
  <si>
    <t>TOK_LEGACY</t>
  </si>
  <si>
    <t>TOK_LENGTH</t>
  </si>
  <si>
    <t>TOK_LEQ</t>
  </si>
  <si>
    <t>TOK_LEVEL</t>
  </si>
  <si>
    <t>TOK_LIFETIME</t>
  </si>
  <si>
    <t>TOK_LIKE</t>
  </si>
  <si>
    <t>TOK_LIMBO</t>
  </si>
  <si>
    <t>TOK_LIMIT64_INT</t>
  </si>
  <si>
    <t>TOK_LIMIT64_NUMBER</t>
  </si>
  <si>
    <t>TOK_LINGER</t>
  </si>
  <si>
    <t>TOK_LIST</t>
  </si>
  <si>
    <t>TOK_LN</t>
  </si>
  <si>
    <t>TOK_LOCAL</t>
  </si>
  <si>
    <t>TOK_LOCALTIME</t>
  </si>
  <si>
    <t>TOK_LOCALTIMESTAMP</t>
  </si>
  <si>
    <t>TOK_LOCK</t>
  </si>
  <si>
    <t>TOK_LOCKED</t>
  </si>
  <si>
    <t>TOK_LOG</t>
  </si>
  <si>
    <t>TOK_LOG10</t>
  </si>
  <si>
    <t>TOK_LONG</t>
  </si>
  <si>
    <t>TOK_LOWER</t>
  </si>
  <si>
    <t>TOK_LPAD</t>
  </si>
  <si>
    <t>TOK_LPARAM</t>
  </si>
  <si>
    <t>TOK_MAKE_DBKEY</t>
  </si>
  <si>
    <t>TOK_MANUAL</t>
  </si>
  <si>
    <t>TOK_MAPPING</t>
  </si>
  <si>
    <t>TOK_MATCHED</t>
  </si>
  <si>
    <t>TOK_MATCHING</t>
  </si>
  <si>
    <t>TOK_MAXIMUM</t>
  </si>
  <si>
    <t>TOK_MAXVALUE</t>
  </si>
  <si>
    <t>TOK_MERGE</t>
  </si>
  <si>
    <t>TOK_MESSAGE</t>
  </si>
  <si>
    <t>TOK_MIDDLENAME</t>
  </si>
  <si>
    <t>TOK_MILLISECOND</t>
  </si>
  <si>
    <t>TOK_MINIMUM</t>
  </si>
  <si>
    <t>TOK_MINUTE</t>
  </si>
  <si>
    <t>TOK_MINVALUE</t>
  </si>
  <si>
    <t>TOK_MOD</t>
  </si>
  <si>
    <t>TOK_MODE</t>
  </si>
  <si>
    <t>TOK_MODULE_NAME</t>
  </si>
  <si>
    <t>TOK_MONTH</t>
  </si>
  <si>
    <t>TOK_NAME</t>
  </si>
  <si>
    <t>TOK_NAMES</t>
  </si>
  <si>
    <t>TOK_NATIONAL</t>
  </si>
  <si>
    <t>TOK_NATIVE</t>
  </si>
  <si>
    <t>TOK_NATURAL</t>
  </si>
  <si>
    <t>TOK_NCHAR</t>
  </si>
  <si>
    <t>TOK_NEQ</t>
  </si>
  <si>
    <t>TOK_NOT_GTR_LSS</t>
  </si>
  <si>
    <t>TOK_NEXT</t>
  </si>
  <si>
    <t>TOK_NO</t>
  </si>
  <si>
    <t>TOK_NORMALIZE_DECFLOAT</t>
  </si>
  <si>
    <t>TOK_NOT</t>
  </si>
  <si>
    <t>TOK_NOT_GTR</t>
  </si>
  <si>
    <t>TOK_NOT_LSS</t>
  </si>
  <si>
    <t>TOK_NTH_VALUE</t>
  </si>
  <si>
    <t>TOK_NTILE</t>
  </si>
  <si>
    <t>TOK_NULL</t>
  </si>
  <si>
    <t>TOK_NULLIF</t>
  </si>
  <si>
    <t>TOK_NULLS</t>
  </si>
  <si>
    <t>TOK_NUM126</t>
  </si>
  <si>
    <t>TOK_NUMBER</t>
  </si>
  <si>
    <t>TOK_NUMBER32BIT</t>
  </si>
  <si>
    <t>TOK_NUMBER64BIT</t>
  </si>
  <si>
    <t>TOK_NUMERIC</t>
  </si>
  <si>
    <t>TOK_OCTET_LENGTH</t>
  </si>
  <si>
    <t>TOK_OF</t>
  </si>
  <si>
    <t>TOK_OFFSET</t>
  </si>
  <si>
    <t>TOK_OLDEST</t>
  </si>
  <si>
    <t>TOK_ON</t>
  </si>
  <si>
    <t>TOK_ONLY</t>
  </si>
  <si>
    <t>TOK_OPEN</t>
  </si>
  <si>
    <t>TOK_OPR_GTR</t>
  </si>
  <si>
    <t>TOK_OPR_LSS</t>
  </si>
  <si>
    <t>TOK_OPTION</t>
  </si>
  <si>
    <t>TOK_OR</t>
  </si>
  <si>
    <t>TOK_ORDER</t>
  </si>
  <si>
    <t>TOK_OS_NAME</t>
  </si>
  <si>
    <t>TOK_OTHERS</t>
  </si>
  <si>
    <t>TOK_OUTER</t>
  </si>
  <si>
    <t>TOK_OUTPUT_TYPE</t>
  </si>
  <si>
    <t>TOK_OVER</t>
  </si>
  <si>
    <t>TOK_OVERFLOW</t>
  </si>
  <si>
    <t>TOK_OVERLAY</t>
  </si>
  <si>
    <t>TOK_OVERRIDING</t>
  </si>
  <si>
    <t>TOK_PACKAGE</t>
  </si>
  <si>
    <t>TOK_PAD</t>
  </si>
  <si>
    <t>TOK_PAGE</t>
  </si>
  <si>
    <t>TOK_PAGE_SIZE</t>
  </si>
  <si>
    <t>TOK_PAGES</t>
  </si>
  <si>
    <t>TOK_PARAMETER</t>
  </si>
  <si>
    <t>TOK_PAREN_CLOSE</t>
  </si>
  <si>
    <t>TOK_PAREN_OPEN</t>
  </si>
  <si>
    <t>TOK_PARTITION</t>
  </si>
  <si>
    <t>TOK_PASSWORD</t>
  </si>
  <si>
    <t>TOK_PERCENT_RANK</t>
  </si>
  <si>
    <t>TOK_PI</t>
  </si>
  <si>
    <t>TOK_PKCS_1_5</t>
  </si>
  <si>
    <t>TOK_PLACING</t>
  </si>
  <si>
    <t>TOK_PLAN</t>
  </si>
  <si>
    <t>TOK_PLUGIN</t>
  </si>
  <si>
    <t>TOK_POOL</t>
  </si>
  <si>
    <t>TOK_POSITION</t>
  </si>
  <si>
    <t>TOK_POST_EVENT</t>
  </si>
  <si>
    <t>TOK_POWER</t>
  </si>
  <si>
    <t>TOK_PRECEDING</t>
  </si>
  <si>
    <t>TOK_PRECISION</t>
  </si>
  <si>
    <t>TOK_PRESERVE</t>
  </si>
  <si>
    <t>TOK_PRIMARY</t>
  </si>
  <si>
    <t>TOK_PRIOR</t>
  </si>
  <si>
    <t>TOK_PRIVILEGE</t>
  </si>
  <si>
    <t>TOK_PRIVILEGES</t>
  </si>
  <si>
    <t>TOK_PROCEDURE</t>
  </si>
  <si>
    <t>TOK_PROTECTED</t>
  </si>
  <si>
    <t>TOK_PUBLICATION</t>
  </si>
  <si>
    <t>TOK_QUANTIZE</t>
  </si>
  <si>
    <t>TOK_RAND</t>
  </si>
  <si>
    <t>TOK_RANGE</t>
  </si>
  <si>
    <t>TOK_RANK</t>
  </si>
  <si>
    <t>TOK_RDB_ERROR</t>
  </si>
  <si>
    <t>TOK_RDB_GET_CONTEXT</t>
  </si>
  <si>
    <t>TOK_RDB_GET_TRANSACTION_CN</t>
  </si>
  <si>
    <t>TOK_RDB_RECORD_VERSION</t>
  </si>
  <si>
    <t>TOK_RDB_ROLE_IN_USE</t>
  </si>
  <si>
    <t>TOK_RDB_SET_CONTEXT</t>
  </si>
  <si>
    <t>TOK_RDB_SYSTEM_PRIVILEGE</t>
  </si>
  <si>
    <t>TOK_READ</t>
  </si>
  <si>
    <t>TOK_REAL</t>
  </si>
  <si>
    <t>TOK_RECREATE</t>
  </si>
  <si>
    <t>TOK_RECURSIVE</t>
  </si>
  <si>
    <t>TOK_REFERENCES</t>
  </si>
  <si>
    <t>TOK_REGR_AVGX</t>
  </si>
  <si>
    <t>TOK_REGR_AVGY</t>
  </si>
  <si>
    <t>TOK_REGR_COUNT</t>
  </si>
  <si>
    <t>TOK_REGR_INTERCEPT</t>
  </si>
  <si>
    <t>TOK_REGR_R2</t>
  </si>
  <si>
    <t>TOK_REGR_SLOPE</t>
  </si>
  <si>
    <t>TOK_REGR_SXX</t>
  </si>
  <si>
    <t>TOK_REGR_SXY</t>
  </si>
  <si>
    <t>TOK_REGR_SYY</t>
  </si>
  <si>
    <t>TOK_RELATIVE</t>
  </si>
  <si>
    <t>TOK_RELEASE</t>
  </si>
  <si>
    <t>TOK_REPLACE</t>
  </si>
  <si>
    <t>TOK_REQUESTS</t>
  </si>
  <si>
    <t>TOK_RESERVING</t>
  </si>
  <si>
    <t>TOK_RESET</t>
  </si>
  <si>
    <t>TOK_RESETTING</t>
  </si>
  <si>
    <t>TOK_RESTART</t>
  </si>
  <si>
    <t>TOK_RESTRICT</t>
  </si>
  <si>
    <t>TOK_RETAIN</t>
  </si>
  <si>
    <t>TOK_RETURN</t>
  </si>
  <si>
    <t>TOK_RETURNING</t>
  </si>
  <si>
    <t>TOK_RETURNING_VALUES</t>
  </si>
  <si>
    <t>TOK_RETURNS</t>
  </si>
  <si>
    <t>TOK_REVERSE</t>
  </si>
  <si>
    <t>TOK_REVOKE</t>
  </si>
  <si>
    <t>TOK_RIGHT</t>
  </si>
  <si>
    <t>TOK_ROLE</t>
  </si>
  <si>
    <t>TOK_ROLLBACK</t>
  </si>
  <si>
    <t>TOK_ROUND</t>
  </si>
  <si>
    <t>TOK_ROW</t>
  </si>
  <si>
    <t>TOK_ROW_COUNT</t>
  </si>
  <si>
    <t>TOK_ROW_NUMBER</t>
  </si>
  <si>
    <t>TOK_ROWS</t>
  </si>
  <si>
    <t>TOK_RPAD</t>
  </si>
  <si>
    <t>TOK_RSA_DECRYPT</t>
  </si>
  <si>
    <t>TOK_RSA_ENCRYPT</t>
  </si>
  <si>
    <t>TOK_RSA_PRIVATE</t>
  </si>
  <si>
    <t>TOK_RSA_PUBLIC</t>
  </si>
  <si>
    <t>TOK_RSA_SIGN_HASH</t>
  </si>
  <si>
    <t>TOK_RSA_VERIFY_HASH</t>
  </si>
  <si>
    <t>TOK_SALT_LENGTH</t>
  </si>
  <si>
    <t>TOK_SAVEPOINT</t>
  </si>
  <si>
    <t>TOK_SCALAR_ARRAY</t>
  </si>
  <si>
    <t>TOK_SCHEMA</t>
  </si>
  <si>
    <t>TOK_SCALEDINT</t>
  </si>
  <si>
    <t>TOK_SCROLL</t>
  </si>
  <si>
    <t>TOK_SECOND</t>
  </si>
  <si>
    <t>TOK_SECURITY</t>
  </si>
  <si>
    <t>TOK_SEGMENT</t>
  </si>
  <si>
    <t>TOK_SELECT</t>
  </si>
  <si>
    <t>TOK_SENSITIVE</t>
  </si>
  <si>
    <t>TOK_SEQUENCE</t>
  </si>
  <si>
    <t>TOK_SERVERWIDE</t>
  </si>
  <si>
    <t>TOK_SESSION</t>
  </si>
  <si>
    <t>TOK_SET</t>
  </si>
  <si>
    <t>TOK_SHADOW</t>
  </si>
  <si>
    <t>TOK_SHARED</t>
  </si>
  <si>
    <t>TOK_SIGN</t>
  </si>
  <si>
    <t>TOK_SIGNATURE</t>
  </si>
  <si>
    <t>TOK_SIMILAR</t>
  </si>
  <si>
    <t>TOK_SIN</t>
  </si>
  <si>
    <t>TOK_SINGULAR</t>
  </si>
  <si>
    <t>TOK_SINH</t>
  </si>
  <si>
    <t>TOK_SIZE</t>
  </si>
  <si>
    <t>TOK_SKIP</t>
  </si>
  <si>
    <t>TOK_SMALLINT</t>
  </si>
  <si>
    <t>TOK_SNAPSHOT</t>
  </si>
  <si>
    <t>TOK_SOME</t>
  </si>
  <si>
    <t>TOK_SORT</t>
  </si>
  <si>
    <t>TOK_SOURCE</t>
  </si>
  <si>
    <t>TOK_SPACE</t>
  </si>
  <si>
    <t>TOK_SQL</t>
  </si>
  <si>
    <t>TOK_SQLCODE</t>
  </si>
  <si>
    <t>TOK_SQLSTATE</t>
  </si>
  <si>
    <t>TOK_SQRT</t>
  </si>
  <si>
    <t>TOK_STABILITY</t>
  </si>
  <si>
    <t>TOK_START</t>
  </si>
  <si>
    <t>TOK_STARTING</t>
  </si>
  <si>
    <t>TOK_STARTS</t>
  </si>
  <si>
    <t>TOK_STATEMENT</t>
  </si>
  <si>
    <t>TOK_STATISTICS</t>
  </si>
  <si>
    <t>TOK_STDDEV_POP</t>
  </si>
  <si>
    <t>TOK_STDDEV_SAMP</t>
  </si>
  <si>
    <t>TOK_STRING</t>
  </si>
  <si>
    <t>TOK_SUB_TYPE</t>
  </si>
  <si>
    <t>TOK_SUBSTRING</t>
  </si>
  <si>
    <t>TOK_SUM</t>
  </si>
  <si>
    <t>TOK_SUSPEND</t>
  </si>
  <si>
    <t>TOK_SYMBOL</t>
  </si>
  <si>
    <t>TOK_SYSTEM</t>
  </si>
  <si>
    <t>TOK_TABLE</t>
  </si>
  <si>
    <t>TOK_TAGS</t>
  </si>
  <si>
    <t>TOK_TAN</t>
  </si>
  <si>
    <t>TOK_TANH</t>
  </si>
  <si>
    <t>TOK_TARGET</t>
  </si>
  <si>
    <t>TOK_TEMPORARY</t>
  </si>
  <si>
    <t>TOK_THEN</t>
  </si>
  <si>
    <t>TOK_TIES</t>
  </si>
  <si>
    <t>TOK_TIME</t>
  </si>
  <si>
    <t>TOK_TIMEOUT</t>
  </si>
  <si>
    <t>TOK_TIMESTAMP</t>
  </si>
  <si>
    <t>TOK_TIMEZONE_HOUR</t>
  </si>
  <si>
    <t>TOK_TIMEZONE_MINUTE</t>
  </si>
  <si>
    <t>TOK_TIMEZONE_NAME</t>
  </si>
  <si>
    <t>TOK_TO</t>
  </si>
  <si>
    <t>TOK_TOTALORDER</t>
  </si>
  <si>
    <t>TOK_TRAILING</t>
  </si>
  <si>
    <t>TOK_TRANSACTION</t>
  </si>
  <si>
    <t>TOK_TRAPS</t>
  </si>
  <si>
    <t>TOK_TRIGGER</t>
  </si>
  <si>
    <t>TOK_TRIM</t>
  </si>
  <si>
    <t>TOK_TRUE</t>
  </si>
  <si>
    <t>TOK_TRUNC</t>
  </si>
  <si>
    <t>TOK_TRUSTED</t>
  </si>
  <si>
    <t>TOK_TWO_PHASE</t>
  </si>
  <si>
    <t>TOK_TYPE</t>
  </si>
  <si>
    <t>TOK_UMINUS</t>
  </si>
  <si>
    <t>TOK_UNBOUNDED</t>
  </si>
  <si>
    <t>TOK_UNCOMMITTED</t>
  </si>
  <si>
    <t>TOK_UNDO</t>
  </si>
  <si>
    <t>TOK_UNICODE_CHAR</t>
  </si>
  <si>
    <t>TOK_UNICODE_VAL</t>
  </si>
  <si>
    <t>TOK_UNION</t>
  </si>
  <si>
    <t>TOK_UNIQUE</t>
  </si>
  <si>
    <t>TOK_UNKNOWN</t>
  </si>
  <si>
    <t>TOK_UPDATE</t>
  </si>
  <si>
    <t>TOK_UPDATING</t>
  </si>
  <si>
    <t>TOK_UPLUS</t>
  </si>
  <si>
    <t>TOK_UPPER</t>
  </si>
  <si>
    <t>TOK_USAGE</t>
  </si>
  <si>
    <t>TOK_USER</t>
  </si>
  <si>
    <t>TOK_USING</t>
  </si>
  <si>
    <t>TOK_UUID_TO_CHAR</t>
  </si>
  <si>
    <t>TOK_VALUE</t>
  </si>
  <si>
    <t>TOK_VALUES</t>
  </si>
  <si>
    <t>TOK_VAR_POP</t>
  </si>
  <si>
    <t>TOK_VAR_SAMP</t>
  </si>
  <si>
    <t>TOK_VARBINARY</t>
  </si>
  <si>
    <t>TOK_VARCHAR</t>
  </si>
  <si>
    <t>TOK_VARIABLE</t>
  </si>
  <si>
    <t>TOK_VARYING</t>
  </si>
  <si>
    <t>TOK_VERSION</t>
  </si>
  <si>
    <t>TOK_VIEW</t>
  </si>
  <si>
    <t>TOK_VOID</t>
  </si>
  <si>
    <t>TOK_WAIT</t>
  </si>
  <si>
    <t>TOK_WEEK</t>
  </si>
  <si>
    <t>TOK_WEEKDAY</t>
  </si>
  <si>
    <t>TOK_WHEN</t>
  </si>
  <si>
    <t>TOK_WHERE</t>
  </si>
  <si>
    <t>TOK_WHILE</t>
  </si>
  <si>
    <t>TOK_WINDOW</t>
  </si>
  <si>
    <t>TOK_WITH</t>
  </si>
  <si>
    <t>TOK_WITHOUT</t>
  </si>
  <si>
    <t>TOK_WORK</t>
  </si>
  <si>
    <t>TOK_WRITE</t>
  </si>
  <si>
    <t>TOK_YEAR</t>
  </si>
  <si>
    <t>TOK_YEARDAY</t>
  </si>
  <si>
    <t>TOK_YYERRCODE</t>
  </si>
  <si>
    <t>TOK_ZONE</t>
  </si>
  <si>
    <t>"ABS"</t>
  </si>
  <si>
    <t>"ABSOLUTE"</t>
  </si>
  <si>
    <t>"ACCENT"</t>
  </si>
  <si>
    <t>"ACOS"</t>
  </si>
  <si>
    <t>"ACOSH"</t>
  </si>
  <si>
    <t>"ACTION"</t>
  </si>
  <si>
    <t>"ACTIVE"</t>
  </si>
  <si>
    <t>"ADD"</t>
  </si>
  <si>
    <t>"ADMIN"</t>
  </si>
  <si>
    <t>"AFTER"</t>
  </si>
  <si>
    <t>"ALL"</t>
  </si>
  <si>
    <t>"ALTER"</t>
  </si>
  <si>
    <t>"ALWAYS"</t>
  </si>
  <si>
    <t>"AND"</t>
  </si>
  <si>
    <t>"ANY"</t>
  </si>
  <si>
    <t>"AS"</t>
  </si>
  <si>
    <t>"ASC"</t>
  </si>
  <si>
    <t>"ASCENDING"</t>
  </si>
  <si>
    <t>"ASCII_CHAR"</t>
  </si>
  <si>
    <t>"ASCII_VAL"</t>
  </si>
  <si>
    <t>"ASIN"</t>
  </si>
  <si>
    <t>"ASINH"</t>
  </si>
  <si>
    <t>"AT"</t>
  </si>
  <si>
    <t>"ATAN"</t>
  </si>
  <si>
    <t>"ATAN2"</t>
  </si>
  <si>
    <t>"ATANH"</t>
  </si>
  <si>
    <t>"AUTO"</t>
  </si>
  <si>
    <t>"AUTONOMOUS"</t>
  </si>
  <si>
    <t>"AVG"</t>
  </si>
  <si>
    <t>"BACKUP"</t>
  </si>
  <si>
    <t>"BASE64_DECODE"</t>
  </si>
  <si>
    <t>"BASE64_ENCODE"</t>
  </si>
  <si>
    <t>"BEFORE"</t>
  </si>
  <si>
    <t>"BEGIN"</t>
  </si>
  <si>
    <t>"BETWEEN"</t>
  </si>
  <si>
    <t>"BIGINT"</t>
  </si>
  <si>
    <t>"BIN_AND"</t>
  </si>
  <si>
    <t>"~&gt;"</t>
  </si>
  <si>
    <t>"~&lt;"</t>
  </si>
  <si>
    <t>"BIN_NOT"</t>
  </si>
  <si>
    <t>"^="</t>
  </si>
  <si>
    <t>"~="</t>
  </si>
  <si>
    <t>"BIN_OR"</t>
  </si>
  <si>
    <t>"BIN_SHL"</t>
  </si>
  <si>
    <t>"BIN_SHR"</t>
  </si>
  <si>
    <t>"BIN_XOR"</t>
  </si>
  <si>
    <t>"^&gt;"</t>
  </si>
  <si>
    <t>"^&lt;"</t>
  </si>
  <si>
    <t>"BINARY"</t>
  </si>
  <si>
    <t>"BIND"</t>
  </si>
  <si>
    <t>":="</t>
  </si>
  <si>
    <t>"BIT_LENGTH"</t>
  </si>
  <si>
    <t>"BLOB"</t>
  </si>
  <si>
    <t>"BLOB_APPEND"</t>
  </si>
  <si>
    <t>"BLOCK"</t>
  </si>
  <si>
    <t>"BODY"</t>
  </si>
  <si>
    <t>"BOOLEAN"</t>
  </si>
  <si>
    <t>"BOTH"</t>
  </si>
  <si>
    <t>"BREAK"</t>
  </si>
  <si>
    <t>"BY"</t>
  </si>
  <si>
    <t>"CALLER"</t>
  </si>
  <si>
    <t>"CASCADE"</t>
  </si>
  <si>
    <t>"CASE"</t>
  </si>
  <si>
    <t>"CAST"</t>
  </si>
  <si>
    <t>"CEIL"</t>
  </si>
  <si>
    <t>"CEILING"</t>
  </si>
  <si>
    <t>"CHAR"</t>
  </si>
  <si>
    <t>"CHAR_LENGTH"</t>
  </si>
  <si>
    <t>"CHAR_TO_UUID"</t>
  </si>
  <si>
    <t>"CHARACTER"</t>
  </si>
  <si>
    <t>"CHARACTER_LENGTH"</t>
  </si>
  <si>
    <t>"CHECK"</t>
  </si>
  <si>
    <t>"CLEAR"</t>
  </si>
  <si>
    <t>"CLOSE"</t>
  </si>
  <si>
    <t>"COALESCE"</t>
  </si>
  <si>
    <t>"COLLATE"</t>
  </si>
  <si>
    <t>"COLLATION"</t>
  </si>
  <si>
    <t>"COLUMN"</t>
  </si>
  <si>
    <t>"COMMENT"</t>
  </si>
  <si>
    <t>"COMMIT"</t>
  </si>
  <si>
    <t>"COMMITTED"</t>
  </si>
  <si>
    <t>"COMMON"</t>
  </si>
  <si>
    <t>"COMPARE_DECFLOAT"</t>
  </si>
  <si>
    <t>"COMPUTED"</t>
  </si>
  <si>
    <t>"||"</t>
  </si>
  <si>
    <t>"CONDITIONAL"</t>
  </si>
  <si>
    <t>"CONNECT"</t>
  </si>
  <si>
    <t>"CONNECTIONS"</t>
  </si>
  <si>
    <t>"CONSISTENCY"</t>
  </si>
  <si>
    <t>"CONSTRAINT"</t>
  </si>
  <si>
    <t>"CONTAINING"</t>
  </si>
  <si>
    <t>"CONTINUE"</t>
  </si>
  <si>
    <t>"CORR"</t>
  </si>
  <si>
    <t>"COS"</t>
  </si>
  <si>
    <t>"COSH"</t>
  </si>
  <si>
    <t>"COT"</t>
  </si>
  <si>
    <t>"COUNT"</t>
  </si>
  <si>
    <t>"COUNTER"</t>
  </si>
  <si>
    <t>"COVAR_POP"</t>
  </si>
  <si>
    <t>"COVAR_SAMP"</t>
  </si>
  <si>
    <t>"CREATE"</t>
  </si>
  <si>
    <t>"CROSS"</t>
  </si>
  <si>
    <t>"CRYPT_HASH"</t>
  </si>
  <si>
    <t>"CSTRING"</t>
  </si>
  <si>
    <t>"CTR_BIG_ENDIAN"</t>
  </si>
  <si>
    <t>"CTR_LENGTH"</t>
  </si>
  <si>
    <t>"CTR_LITTLE_ENDIAN"</t>
  </si>
  <si>
    <t>"CUME_DIST"</t>
  </si>
  <si>
    <t>"CURRENT"</t>
  </si>
  <si>
    <t>"CURRENT_CONNECTION"</t>
  </si>
  <si>
    <t>"CURRENT_DATE"</t>
  </si>
  <si>
    <t>"CURRENT_ROLE"</t>
  </si>
  <si>
    <t>"CURRENT_TIME"</t>
  </si>
  <si>
    <t>"CURRENT_TIMESTAMP"</t>
  </si>
  <si>
    <t>"CURRENT_TRANSACTION"</t>
  </si>
  <si>
    <t>"CURRENT_USER"</t>
  </si>
  <si>
    <t>"CURSOR"</t>
  </si>
  <si>
    <t>"DATA"</t>
  </si>
  <si>
    <t>"DATABASE"</t>
  </si>
  <si>
    <t>"DATE"</t>
  </si>
  <si>
    <t>"DATEADD"</t>
  </si>
  <si>
    <t>"DATEDIFF"</t>
  </si>
  <si>
    <t>"DAY"</t>
  </si>
  <si>
    <t>"RDB$DB_KEY"</t>
  </si>
  <si>
    <t>"DDL"</t>
  </si>
  <si>
    <t>"DEBUG"</t>
  </si>
  <si>
    <t>"DEC"</t>
  </si>
  <si>
    <t>"DECFLOAT"</t>
  </si>
  <si>
    <t>"DECIMAL"</t>
  </si>
  <si>
    <t>"DECIMAL_NUMBER"</t>
  </si>
  <si>
    <t>"DECLARE"</t>
  </si>
  <si>
    <t>"DECODE"</t>
  </si>
  <si>
    <t>"DECRYPT"</t>
  </si>
  <si>
    <t>"DEFAULT"</t>
  </si>
  <si>
    <t>"DEFINER"</t>
  </si>
  <si>
    <t>"DELETE"</t>
  </si>
  <si>
    <t>"DELETING"</t>
  </si>
  <si>
    <t>"DENSE_RANK"</t>
  </si>
  <si>
    <t>"DESC"</t>
  </si>
  <si>
    <t>"DESCENDING"</t>
  </si>
  <si>
    <t>"DESCRIPTOR"</t>
  </si>
  <si>
    <t>"DETERMINISTIC"</t>
  </si>
  <si>
    <t>"DIFFERENCE"</t>
  </si>
  <si>
    <t>"DISABLE"</t>
  </si>
  <si>
    <t>"DISCONNECT"</t>
  </si>
  <si>
    <t>"DISTINCT"</t>
  </si>
  <si>
    <t>"DO"</t>
  </si>
  <si>
    <t>"DOMAIN"</t>
  </si>
  <si>
    <t>"DOUBLE"</t>
  </si>
  <si>
    <t>"DROP"</t>
  </si>
  <si>
    <t>"ELSE"</t>
  </si>
  <si>
    <t>"ENABLE"</t>
  </si>
  <si>
    <t>"ENCRYPT"</t>
  </si>
  <si>
    <t>"END"</t>
  </si>
  <si>
    <t>"ENGINE"</t>
  </si>
  <si>
    <t>"ENTRY_POINT"</t>
  </si>
  <si>
    <t>"ESCAPE"</t>
  </si>
  <si>
    <t>"EXCEPTION"</t>
  </si>
  <si>
    <t>"EXCESS"</t>
  </si>
  <si>
    <t>"EXCLUDE"</t>
  </si>
  <si>
    <t>"EXECUTE"</t>
  </si>
  <si>
    <t>"EXISTS"</t>
  </si>
  <si>
    <t>"EXIT"</t>
  </si>
  <si>
    <t>"EXP"</t>
  </si>
  <si>
    <t>"EXTENDED"</t>
  </si>
  <si>
    <t>"EXTERNAL"</t>
  </si>
  <si>
    <t>"EXTRACT"</t>
  </si>
  <si>
    <t>"FALSE"</t>
  </si>
  <si>
    <t>"FETCH"</t>
  </si>
  <si>
    <t>"FILE"</t>
  </si>
  <si>
    <t>"FILTER"</t>
  </si>
  <si>
    <t>"FIRST"</t>
  </si>
  <si>
    <t>"FIRST_DAY"</t>
  </si>
  <si>
    <t>"FIRST_VALUE"</t>
  </si>
  <si>
    <t>"FIRSTNAME"</t>
  </si>
  <si>
    <t>"FLOAT"</t>
  </si>
  <si>
    <t>"FLOAT_NUMBER"</t>
  </si>
  <si>
    <t>"FLOOR"</t>
  </si>
  <si>
    <t>"FOLLOWING"</t>
  </si>
  <si>
    <t>"FOR"</t>
  </si>
  <si>
    <t>"FOREIGN"</t>
  </si>
  <si>
    <t>"FREE_IT"</t>
  </si>
  <si>
    <t>"FROM"</t>
  </si>
  <si>
    <t>"FULL"</t>
  </si>
  <si>
    <t>"FUNCTION"</t>
  </si>
  <si>
    <t>"GDSCODE"</t>
  </si>
  <si>
    <t>"GEN_ID"</t>
  </si>
  <si>
    <t>"GEN_UUID"</t>
  </si>
  <si>
    <t>"GENERATED"</t>
  </si>
  <si>
    <t>"GENERATOR"</t>
  </si>
  <si>
    <t>"&gt;="</t>
  </si>
  <si>
    <t>"GLOBAL"</t>
  </si>
  <si>
    <t>"GRANT"</t>
  </si>
  <si>
    <t>"GRANTED"</t>
  </si>
  <si>
    <t>"GROUP"</t>
  </si>
  <si>
    <t>"HASH"</t>
  </si>
  <si>
    <t>"HAVING"</t>
  </si>
  <si>
    <t>"HEX_DECODE"</t>
  </si>
  <si>
    <t>"HEX_ENCODE"</t>
  </si>
  <si>
    <t>"HOUR"</t>
  </si>
  <si>
    <t>"IDENTITY"</t>
  </si>
  <si>
    <t>"IDLE"</t>
  </si>
  <si>
    <t>"IF"</t>
  </si>
  <si>
    <t>"IGNORE"</t>
  </si>
  <si>
    <t>"IIF"</t>
  </si>
  <si>
    <t>"IN"</t>
  </si>
  <si>
    <t>"INACTIVE"</t>
  </si>
  <si>
    <t>"INCLUDE"</t>
  </si>
  <si>
    <t>"INCREMENT"</t>
  </si>
  <si>
    <t>"INDEX"</t>
  </si>
  <si>
    <t>"INNER"</t>
  </si>
  <si>
    <t>"INPUT_TYPE"</t>
  </si>
  <si>
    <t>"INSENSITIVE"</t>
  </si>
  <si>
    <t>"INSERT"</t>
  </si>
  <si>
    <t>"INSERTING"</t>
  </si>
  <si>
    <t>"INT"</t>
  </si>
  <si>
    <t>"INT128"</t>
  </si>
  <si>
    <t>"INTEGER"</t>
  </si>
  <si>
    <t>"INTO"</t>
  </si>
  <si>
    <t>"INTRODUCER"</t>
  </si>
  <si>
    <t>"INVOKER"</t>
  </si>
  <si>
    <t>"IS"</t>
  </si>
  <si>
    <t>"ISOLATION"</t>
  </si>
  <si>
    <t>"IV"</t>
  </si>
  <si>
    <t>"JOIN"</t>
  </si>
  <si>
    <t>"KEY"</t>
  </si>
  <si>
    <t>"LAG"</t>
  </si>
  <si>
    <t>"LAST"</t>
  </si>
  <si>
    <t>"LAST_DAY"</t>
  </si>
  <si>
    <t>"LAST_VALUE"</t>
  </si>
  <si>
    <t>"LASTNAME"</t>
  </si>
  <si>
    <t>"LATERAL"</t>
  </si>
  <si>
    <t>"LEAD"</t>
  </si>
  <si>
    <t>"LEADING"</t>
  </si>
  <si>
    <t>"LEAVE"</t>
  </si>
  <si>
    <t>"LEFT"</t>
  </si>
  <si>
    <t>"LEGACY"</t>
  </si>
  <si>
    <t>"LENGTH"</t>
  </si>
  <si>
    <t>"&lt;="</t>
  </si>
  <si>
    <t>"LEVEL"</t>
  </si>
  <si>
    <t>"LIFETIME"</t>
  </si>
  <si>
    <t>"LIKE"</t>
  </si>
  <si>
    <t>"LIMBO"</t>
  </si>
  <si>
    <t>"TOK_LIMIT64_INT"</t>
  </si>
  <si>
    <t>"TOK_LIMIT64_NUMBER"</t>
  </si>
  <si>
    <t>"LINGER"</t>
  </si>
  <si>
    <t>"LIST"</t>
  </si>
  <si>
    <t>"LN"</t>
  </si>
  <si>
    <t>"LOCAL"</t>
  </si>
  <si>
    <t>"LOCALTIME"</t>
  </si>
  <si>
    <t>"LOCALTIMESTAMP"</t>
  </si>
  <si>
    <t>"LOCK"</t>
  </si>
  <si>
    <t>"LOCKED"</t>
  </si>
  <si>
    <t>"LOG"</t>
  </si>
  <si>
    <t>"LOG10"</t>
  </si>
  <si>
    <t>"LONG"</t>
  </si>
  <si>
    <t>"LOWER"</t>
  </si>
  <si>
    <t>"LPAD"</t>
  </si>
  <si>
    <t>"LPARAM"</t>
  </si>
  <si>
    <t>"MAKE_DBKEY"</t>
  </si>
  <si>
    <t>"MANUAL"</t>
  </si>
  <si>
    <t>"MAPPING"</t>
  </si>
  <si>
    <t>"MATCHED"</t>
  </si>
  <si>
    <t>"MATCHING"</t>
  </si>
  <si>
    <t>"MAX"</t>
  </si>
  <si>
    <t>"MAXVALUE"</t>
  </si>
  <si>
    <t>"MERGE"</t>
  </si>
  <si>
    <t>"MESSAGE"</t>
  </si>
  <si>
    <t>"MIDDLENAME"</t>
  </si>
  <si>
    <t>"MILLISECOND"</t>
  </si>
  <si>
    <t>"MIN"</t>
  </si>
  <si>
    <t>"MINUTE"</t>
  </si>
  <si>
    <t>"MINVALUE"</t>
  </si>
  <si>
    <t>"MOD"</t>
  </si>
  <si>
    <t>"MODE"</t>
  </si>
  <si>
    <t>"MODULE_NAME"</t>
  </si>
  <si>
    <t>"MONTH"</t>
  </si>
  <si>
    <t>"NAME"</t>
  </si>
  <si>
    <t>"NAMES"</t>
  </si>
  <si>
    <t>"NATIONAL"</t>
  </si>
  <si>
    <t>"NATIVE"</t>
  </si>
  <si>
    <t>"NATURAL"</t>
  </si>
  <si>
    <t>"NCHAR"</t>
  </si>
  <si>
    <t>"!="</t>
  </si>
  <si>
    <t>"&lt;&gt;"</t>
  </si>
  <si>
    <t>"NEXT"</t>
  </si>
  <si>
    <t>"NO"</t>
  </si>
  <si>
    <t>"NORMALIZE_DECFLOAT"</t>
  </si>
  <si>
    <t>"NOT"</t>
  </si>
  <si>
    <t>"!&gt;"</t>
  </si>
  <si>
    <t>"!&lt;"</t>
  </si>
  <si>
    <t>"NTH_VALUE"</t>
  </si>
  <si>
    <t>"NTILE"</t>
  </si>
  <si>
    <t>"NULL"</t>
  </si>
  <si>
    <t>"NULLIF"</t>
  </si>
  <si>
    <t>"NULLS"</t>
  </si>
  <si>
    <t>"NUM128"</t>
  </si>
  <si>
    <t>"NUMBER"</t>
  </si>
  <si>
    <t>"NUMBER32BIT"</t>
  </si>
  <si>
    <t>"NUMBER64BIT"</t>
  </si>
  <si>
    <t>"NUMERIC"</t>
  </si>
  <si>
    <t>"OCTET_LENGTH"</t>
  </si>
  <si>
    <t>"OF"</t>
  </si>
  <si>
    <t>"OFFSET"</t>
  </si>
  <si>
    <t>"OLDEST"</t>
  </si>
  <si>
    <t>"ON"</t>
  </si>
  <si>
    <t>"ONLY"</t>
  </si>
  <si>
    <t>"OPEN"</t>
  </si>
  <si>
    <t>"="</t>
  </si>
  <si>
    <t>"&gt;"</t>
  </si>
  <si>
    <t>"&lt;"</t>
  </si>
  <si>
    <t>"OPTION"</t>
  </si>
  <si>
    <t>"OR"</t>
  </si>
  <si>
    <t>"ORDER"</t>
  </si>
  <si>
    <t>"OS_NAME"</t>
  </si>
  <si>
    <t>"OTHERS"</t>
  </si>
  <si>
    <t>"OUTER"</t>
  </si>
  <si>
    <t>"OUTPUT_TYPE"</t>
  </si>
  <si>
    <t>"OVER"</t>
  </si>
  <si>
    <t>"OVERFLOW"</t>
  </si>
  <si>
    <t>"OVERLAY"</t>
  </si>
  <si>
    <t>"OVERRIDING"</t>
  </si>
  <si>
    <t>"PACKAGE"</t>
  </si>
  <si>
    <t>"PAD"</t>
  </si>
  <si>
    <t>"PAGE"</t>
  </si>
  <si>
    <t>"PAGE_SIZE"</t>
  </si>
  <si>
    <t>"PAGES"</t>
  </si>
  <si>
    <t>"PARAMETER"</t>
  </si>
  <si>
    <t>")"</t>
  </si>
  <si>
    <t>"("</t>
  </si>
  <si>
    <t>"PARTITION"</t>
  </si>
  <si>
    <t>"PASSWORD"</t>
  </si>
  <si>
    <t>"PERCENT_RANK"</t>
  </si>
  <si>
    <t>"PI"</t>
  </si>
  <si>
    <t>"PKCS_1_5"</t>
  </si>
  <si>
    <t>"PLACING"</t>
  </si>
  <si>
    <t>"PLAN"</t>
  </si>
  <si>
    <t>"PLUGIN"</t>
  </si>
  <si>
    <t>"POOL"</t>
  </si>
  <si>
    <t>"POSITION"</t>
  </si>
  <si>
    <t>"POST_EVENT"</t>
  </si>
  <si>
    <t>"POWER"</t>
  </si>
  <si>
    <t>"PRECEDING"</t>
  </si>
  <si>
    <t>"PRECISION"</t>
  </si>
  <si>
    <t>"PRESERVE"</t>
  </si>
  <si>
    <t>"PRIMARY"</t>
  </si>
  <si>
    <t>"PRIOR"</t>
  </si>
  <si>
    <t>"PRIVILEGE"</t>
  </si>
  <si>
    <t>"PRIVILEGES"</t>
  </si>
  <si>
    <t>"PROCEDURE"</t>
  </si>
  <si>
    <t>"PROTECTED"</t>
  </si>
  <si>
    <t>"PUBLICATION"</t>
  </si>
  <si>
    <t>"QUANTIZE"</t>
  </si>
  <si>
    <t>"RAND"</t>
  </si>
  <si>
    <t>"RANGE"</t>
  </si>
  <si>
    <t>"RANK"</t>
  </si>
  <si>
    <t>"RDB$ERROR"</t>
  </si>
  <si>
    <t>"RDB$GET_CONTEXT"</t>
  </si>
  <si>
    <t>"RDB$GET_TRANSACTION_CN"</t>
  </si>
  <si>
    <t>"RDB$RECORD_VERSION"</t>
  </si>
  <si>
    <t>"RDB$ROLE_IN_USE"</t>
  </si>
  <si>
    <t>"RDB$SET_CONTEXT"</t>
  </si>
  <si>
    <t>"RDB$SYSTEM_PRIVILEGE"</t>
  </si>
  <si>
    <t>"READ"</t>
  </si>
  <si>
    <t>"REAL"</t>
  </si>
  <si>
    <t>"RECREATE"</t>
  </si>
  <si>
    <t>"RECURSIVE"</t>
  </si>
  <si>
    <t>"REFERENCES"</t>
  </si>
  <si>
    <t>"REGR_AVGX"</t>
  </si>
  <si>
    <t>"REGR_AVGY"</t>
  </si>
  <si>
    <t>"REGR_COUNT"</t>
  </si>
  <si>
    <t>"REGR_INTERCEPT"</t>
  </si>
  <si>
    <t>"REGR_R2"</t>
  </si>
  <si>
    <t>"REGR_SLOPE"</t>
  </si>
  <si>
    <t>"REGR_SXX"</t>
  </si>
  <si>
    <t>"REGR_SXY"</t>
  </si>
  <si>
    <t>"REGR_SYY"</t>
  </si>
  <si>
    <t>"RELATIVE"</t>
  </si>
  <si>
    <t>"RELEASE"</t>
  </si>
  <si>
    <t>"REPLACE"</t>
  </si>
  <si>
    <t>"REQUESTS"</t>
  </si>
  <si>
    <t>"RESERV"</t>
  </si>
  <si>
    <t>"RESERVING"</t>
  </si>
  <si>
    <t>"RESET"</t>
  </si>
  <si>
    <t>"RESETTING"</t>
  </si>
  <si>
    <t>"RESTART"</t>
  </si>
  <si>
    <t>"RESTRICT"</t>
  </si>
  <si>
    <t>"RETAIN"</t>
  </si>
  <si>
    <t>"RETURN"</t>
  </si>
  <si>
    <t>"RETURNING"</t>
  </si>
  <si>
    <t>"RETURNING_VALUES"</t>
  </si>
  <si>
    <t>"RETURNS"</t>
  </si>
  <si>
    <t>"REVERSE"</t>
  </si>
  <si>
    <t>"REVOKE"</t>
  </si>
  <si>
    <t>"RIGHT"</t>
  </si>
  <si>
    <t>"ROLE"</t>
  </si>
  <si>
    <t>"ROLLBACK"</t>
  </si>
  <si>
    <t>"ROUND"</t>
  </si>
  <si>
    <t>"ROW"</t>
  </si>
  <si>
    <t>"ROW_COUNT"</t>
  </si>
  <si>
    <t>"ROW_NUMBER"</t>
  </si>
  <si>
    <t>"ROWS"</t>
  </si>
  <si>
    <t>"RPAD"</t>
  </si>
  <si>
    <t>"RSA_DECRYPT"</t>
  </si>
  <si>
    <t>"RSA_ENCRYPT"</t>
  </si>
  <si>
    <t>"RSA_PRIVATE"</t>
  </si>
  <si>
    <t>"RSA_PUBLIC"</t>
  </si>
  <si>
    <t>"RSA_SIGN_HASH"</t>
  </si>
  <si>
    <t>"RSA_VERIFY_HASH"</t>
  </si>
  <si>
    <t>"SALT_LENGTH"</t>
  </si>
  <si>
    <t>"SAVEPOINT"</t>
  </si>
  <si>
    <t>"SCALAR_ARRAY"</t>
  </si>
  <si>
    <t>"SCHEMA"</t>
  </si>
  <si>
    <t>"SCALEDINT"</t>
  </si>
  <si>
    <t>"SCROLL"</t>
  </si>
  <si>
    <t>"SECOND"</t>
  </si>
  <si>
    <t>"SECURITY"</t>
  </si>
  <si>
    <t>"SEGMENT"</t>
  </si>
  <si>
    <t>"SELECT"</t>
  </si>
  <si>
    <t>"SENSITIVE"</t>
  </si>
  <si>
    <t>"SEQUENCE"</t>
  </si>
  <si>
    <t>"SERVERWIDE"</t>
  </si>
  <si>
    <t>"SESSION"</t>
  </si>
  <si>
    <t>"SET"</t>
  </si>
  <si>
    <t>"SHADOW"</t>
  </si>
  <si>
    <t>"SHARED"</t>
  </si>
  <si>
    <t>"SIGN"</t>
  </si>
  <si>
    <t>"SIGNATURE"</t>
  </si>
  <si>
    <t>"SIMILAR"</t>
  </si>
  <si>
    <t>"SIN"</t>
  </si>
  <si>
    <t>"SINGULAR"</t>
  </si>
  <si>
    <t>"SINH"</t>
  </si>
  <si>
    <t>"SIZE"</t>
  </si>
  <si>
    <t>"SKIP"</t>
  </si>
  <si>
    <t>"SMALLINT"</t>
  </si>
  <si>
    <t>"SNAPSHOT"</t>
  </si>
  <si>
    <t>"SOME"</t>
  </si>
  <si>
    <t>"SORT"</t>
  </si>
  <si>
    <t>"SOURCE"</t>
  </si>
  <si>
    <t>"SPACE"</t>
  </si>
  <si>
    <t>"SQL"</t>
  </si>
  <si>
    <t>"SQLCODE"</t>
  </si>
  <si>
    <t>"SQLSTATE"</t>
  </si>
  <si>
    <t>"SQRT"</t>
  </si>
  <si>
    <t>"STABILITY"</t>
  </si>
  <si>
    <t>"START"</t>
  </si>
  <si>
    <t>"STARTING"</t>
  </si>
  <si>
    <t>"STARTS"</t>
  </si>
  <si>
    <t>"STATEMENT"</t>
  </si>
  <si>
    <t>"STATISTICS"</t>
  </si>
  <si>
    <t>"STDDEV_POP"</t>
  </si>
  <si>
    <t>"STDDEV_SAMP"</t>
  </si>
  <si>
    <t>"STRING"</t>
  </si>
  <si>
    <t>"SUB_TYPE"</t>
  </si>
  <si>
    <t>"SUBSTRING"</t>
  </si>
  <si>
    <t>"SUM"</t>
  </si>
  <si>
    <t>"SUSPEND"</t>
  </si>
  <si>
    <t>"SYMBOL"</t>
  </si>
  <si>
    <t>"SYSTEM"</t>
  </si>
  <si>
    <t>"TABLE"</t>
  </si>
  <si>
    <t>"TAGS"</t>
  </si>
  <si>
    <t>"TAN"</t>
  </si>
  <si>
    <t>"TANH"</t>
  </si>
  <si>
    <t>"TARGET"</t>
  </si>
  <si>
    <t>"TEMPORARY"</t>
  </si>
  <si>
    <t>"THEN"</t>
  </si>
  <si>
    <t>"TIES"</t>
  </si>
  <si>
    <t>"TIME"</t>
  </si>
  <si>
    <t>"TIMEOUT"</t>
  </si>
  <si>
    <t>"TIMESTAMP"</t>
  </si>
  <si>
    <t>"TIMEZONE_HOUR"</t>
  </si>
  <si>
    <t>"TIMEZONE_MINUTE"</t>
  </si>
  <si>
    <t>"TIMEZONE_NAME"</t>
  </si>
  <si>
    <t>"TO"</t>
  </si>
  <si>
    <t>"TOTALORDER"</t>
  </si>
  <si>
    <t>"TRAILING"</t>
  </si>
  <si>
    <t>"TRANSACTION"</t>
  </si>
  <si>
    <t>"TRAPS"</t>
  </si>
  <si>
    <t>"TRIGGER"</t>
  </si>
  <si>
    <t>"TRIM"</t>
  </si>
  <si>
    <t>"TRUE"</t>
  </si>
  <si>
    <t>"TRUNC"</t>
  </si>
  <si>
    <t>"TRUSTED"</t>
  </si>
  <si>
    <t>"TWO_PHASE"</t>
  </si>
  <si>
    <t>"TYPE"</t>
  </si>
  <si>
    <t>"UMINUS"</t>
  </si>
  <si>
    <t>"UNBOUNDED"</t>
  </si>
  <si>
    <t>"UNCOMMITTED"</t>
  </si>
  <si>
    <t>"UNDO"</t>
  </si>
  <si>
    <t>"UNICODE_CHAR"</t>
  </si>
  <si>
    <t>"UNICODE_VAL"</t>
  </si>
  <si>
    <t>"UNION"</t>
  </si>
  <si>
    <t>"UNIQUE"</t>
  </si>
  <si>
    <t>"UNKNOWN"</t>
  </si>
  <si>
    <t>"UPDATE"</t>
  </si>
  <si>
    <t>"UPDATING"</t>
  </si>
  <si>
    <t>"UPLUS"</t>
  </si>
  <si>
    <t>"UPPER"</t>
  </si>
  <si>
    <t>"USAGE"</t>
  </si>
  <si>
    <t>"USER"</t>
  </si>
  <si>
    <t>"USING"</t>
  </si>
  <si>
    <t>"UUID_TO_CHAR"</t>
  </si>
  <si>
    <t>"VALUE"</t>
  </si>
  <si>
    <t>"VALUES"</t>
  </si>
  <si>
    <t>"VAR_POP"</t>
  </si>
  <si>
    <t>"VAR_SAMP"</t>
  </si>
  <si>
    <t>"VARBINARY"</t>
  </si>
  <si>
    <t>"VARCHAR"</t>
  </si>
  <si>
    <t>"VARIABLE"</t>
  </si>
  <si>
    <t>"VARYING"</t>
  </si>
  <si>
    <t>"RECORD_VERSION"</t>
  </si>
  <si>
    <t>"VIEW"</t>
  </si>
  <si>
    <t>NULL</t>
  </si>
  <si>
    <t>"WAIT"</t>
  </si>
  <si>
    <t>"WEEK"</t>
  </si>
  <si>
    <t>"WEEKDAY"</t>
  </si>
  <si>
    <t>"WHEN"</t>
  </si>
  <si>
    <t>"WHERE"</t>
  </si>
  <si>
    <t>"WHILE"</t>
  </si>
  <si>
    <t>"WINDOW"</t>
  </si>
  <si>
    <t>"WITH"</t>
  </si>
  <si>
    <t>"WITHOUT"</t>
  </si>
  <si>
    <t>"WORK"</t>
  </si>
  <si>
    <t>"WRITE"</t>
  </si>
  <si>
    <t>"YEAR"</t>
  </si>
  <si>
    <t>"YEARDAY"</t>
  </si>
  <si>
    <t>"YYERRCODE"</t>
  </si>
  <si>
    <t>"ZONE"</t>
  </si>
  <si>
    <t>true</t>
  </si>
  <si>
    <t>"abort",TOK_ABORT_P,UNRESERVED,BARE_LABEL</t>
  </si>
  <si>
    <t>"absolute",TOK_ABSOLUTE_P,UNRESERVED,BARE_LABEL</t>
  </si>
  <si>
    <t>"access",TOK_ACCESS,UNRESERVED,BARE_LABEL</t>
  </si>
  <si>
    <t>"action",TOK_ACTION,UNRESERVED,BARE_LABEL</t>
  </si>
  <si>
    <t>"add",TOK_ADD_P,UNRESERVED,BARE_LABEL</t>
  </si>
  <si>
    <t>"admin",TOK_ADMIN,UNRESERVED,BARE_LABEL</t>
  </si>
  <si>
    <t>"after",TOK_AFTER,UNRESERVED,BARE_LABEL</t>
  </si>
  <si>
    <t>"aggregate",TOK_AGGREGATE,UNRESERVED,BARE_LABEL</t>
  </si>
  <si>
    <t>"all",TOK_ALL,RESERVED,BARE_LABEL</t>
  </si>
  <si>
    <t>"also",TOK_ALSO,UNRESERVED,BARE_LABEL</t>
  </si>
  <si>
    <t>"alter",TOK_ALTER,UNRESERVED,BARE_LABEL</t>
  </si>
  <si>
    <t>"always",TOK_ALWAYS,UNRESERVED,BARE_LABEL</t>
  </si>
  <si>
    <t>"analyse",TOK_ANALYSE,RESERVED,BARE_LABEL</t>
  </si>
  <si>
    <t>"analyze",TOK_ANALYZE,RESERVED,BARE_LABEL</t>
  </si>
  <si>
    <t>"and",TOK_AND,RESERVED,BARE_LABEL</t>
  </si>
  <si>
    <t>"any",TOK_ANY,RESERVED,BARE_LABEL</t>
  </si>
  <si>
    <t>"array",TOK_ARRAY,RESERVED,AS_LABEL</t>
  </si>
  <si>
    <t>"as",TOK_AS,RESERVED,AS_LABEL</t>
  </si>
  <si>
    <t>"asc",TOK_ASC,RESERVED,BARE_LABEL</t>
  </si>
  <si>
    <t>"asensitive",TOK_ASENSITIVE,UNRESERVED,BARE_LABEL</t>
  </si>
  <si>
    <t>"assertion",TOK_ASSERTION,UNRESERVED,BARE_LABEL</t>
  </si>
  <si>
    <t>"assignment",TOK_ASSIGNMENT,UNRESERVED,BARE_LABEL</t>
  </si>
  <si>
    <t>"asymmetric",TOK_ASYMMETRIC,RESERVED,BARE_LABEL</t>
  </si>
  <si>
    <t>"at",TOK_AT,UNRESERVED,BARE_LABEL</t>
  </si>
  <si>
    <t>"atomic",TOK_ATOMIC,UNRESERVED,BARE_LABEL</t>
  </si>
  <si>
    <t>"attach",TOK_ATTACH,UNRESERVED,BARE_LABEL</t>
  </si>
  <si>
    <t>"attribute",TOK_ATTRIBUTE,UNRESERVED,BARE_LABEL</t>
  </si>
  <si>
    <t>"backward",TOK_BACKWARD,UNRESERVED,BARE_LABEL</t>
  </si>
  <si>
    <t>"before",TOK_BEFORE,UNRESERVED,BARE_LABEL</t>
  </si>
  <si>
    <t>"begin",TOK_BEGIN_P,UNRESERVED,BARE_LABEL</t>
  </si>
  <si>
    <t>"both",TOK_BOTH,RESERVED,BARE_LABEL</t>
  </si>
  <si>
    <t>"breadth",TOK_BREADTH,UNRESERVED,BARE_LABEL</t>
  </si>
  <si>
    <t>"by",TOK_BY,UNRESERVED,BARE_LABEL</t>
  </si>
  <si>
    <t>"cache",TOK_CACHE,UNRESERVED,BARE_LABEL</t>
  </si>
  <si>
    <t>"call",TOK_CALL,UNRESERVED,BARE_LABEL</t>
  </si>
  <si>
    <t>"called",TOK_CALLED,UNRESERVED,BARE_LABEL</t>
  </si>
  <si>
    <t>"cascade",TOK_CASCADE,UNRESERVED,BARE_LABEL</t>
  </si>
  <si>
    <t>"cascaded",TOK_CASCADED,UNRESERVED,BARE_LABEL</t>
  </si>
  <si>
    <t>"case",TOK_CASE,RESERVED,BARE_LABEL</t>
  </si>
  <si>
    <t>"cast",TOK_CAST,RESERVED,BARE_LABEL</t>
  </si>
  <si>
    <t>"catalog",TOK_CATALOG_P,UNRESERVED,BARE_LABEL</t>
  </si>
  <si>
    <t>"chain",TOK_CHAIN,UNRESERVED,BARE_LABEL</t>
  </si>
  <si>
    <t>"characteristics",TOK_CHARACTERISTICS,UNRESERVED,BARE_LABEL</t>
  </si>
  <si>
    <t>"check",TOK_CHECK,RESERVED,BARE_LABEL</t>
  </si>
  <si>
    <t>"checkpoint",TOK_CHECKPOINT,UNRESERVED,BARE_LABEL</t>
  </si>
  <si>
    <t>"class",TOK_CLASS,UNRESERVED,BARE_LABEL</t>
  </si>
  <si>
    <t>"close",TOK_CLOSE,UNRESERVED,BARE_LABEL</t>
  </si>
  <si>
    <t>"cluster",TOK_CLUSTER,UNRESERVED,BARE_LABEL</t>
  </si>
  <si>
    <t>"collate",TOK_COLLATE,RESERVED,BARE_LABEL</t>
  </si>
  <si>
    <t>"column",TOK_COLUMN,RESERVED,BARE_LABEL</t>
  </si>
  <si>
    <t>"columns",TOK_COLUMNS,UNRESERVED,BARE_LABEL</t>
  </si>
  <si>
    <t>"comment",TOK_COMMENT,UNRESERVED,BARE_LABEL</t>
  </si>
  <si>
    <t>"comments",TOK_COMMENTS,UNRESERVED,BARE_LABEL</t>
  </si>
  <si>
    <t>"commit",TOK_COMMIT,UNRESERVED,BARE_LABEL</t>
  </si>
  <si>
    <t>"committed",TOK_COMMITTED,UNRESERVED,BARE_LABEL</t>
  </si>
  <si>
    <t>"compression",TOK_COMPRESSION,UNRESERVED,BARE_LABEL</t>
  </si>
  <si>
    <t>"configuration",TOK_CONFIGURATION,UNRESERVED,BARE_LABEL</t>
  </si>
  <si>
    <t>"conflict",TOK_CONFLICT,UNRESERVED,BARE_LABEL</t>
  </si>
  <si>
    <t>"connection",TOK_CONNECTION,UNRESERVED,BARE_LABEL</t>
  </si>
  <si>
    <t>"constraint",TOK_CONSTRAINT,RESERVED,BARE_LABEL</t>
  </si>
  <si>
    <t>"constraints",TOK_CONSTRAINTS,UNRESERVED,BARE_LABEL</t>
  </si>
  <si>
    <t>"content",TOK_CONTENT_P,UNRESERVED,BARE_LABEL</t>
  </si>
  <si>
    <t>"continue",TOK_CONTINUE_P,UNRESERVED,BARE_LABEL</t>
  </si>
  <si>
    <t>"conversion",TOK_CONVERSION_P,UNRESERVED,BARE_LABEL</t>
  </si>
  <si>
    <t>"copy",TOK_COPY,UNRESERVED,BARE_LABEL</t>
  </si>
  <si>
    <t>"cost",TOK_COST,UNRESERVED,BARE_LABEL</t>
  </si>
  <si>
    <t>"create",TOK_CREATE,RESERVED,AS_LABEL</t>
  </si>
  <si>
    <t>"csv",TOK_CSV,UNRESERVED,BARE_LABEL</t>
  </si>
  <si>
    <t>"cube",TOK_CUBE,UNRESERVED,BARE_LABEL</t>
  </si>
  <si>
    <t>"current",TOK_CURRENT_P,UNRESERVED,BARE_LABEL</t>
  </si>
  <si>
    <t>"current_catalog",TOK_CURRENT_CATALOG,RESERVED,BARE_LABEL</t>
  </si>
  <si>
    <t>"current_date",TOK_CURRENT_DATE,RESERVED,BARE_LABEL</t>
  </si>
  <si>
    <t>"current_role",TOK_CURRENT_ROLE,RESERVED,BARE_LABEL</t>
  </si>
  <si>
    <t>"current_time",TOK_CURRENT_TIME,RESERVED,BARE_LABEL</t>
  </si>
  <si>
    <t>"current_timestamp",TOK_CURRENT_TIMESTAMP,RESERVED,BARE_LABEL</t>
  </si>
  <si>
    <t>"current_user",TOK_CURRENT_USER,RESERVED,BARE_LABEL</t>
  </si>
  <si>
    <t>"cursor",TOK_CURSOR,UNRESERVED,BARE_LABEL</t>
  </si>
  <si>
    <t>"cycle",TOK_CYCLE,UNRESERVED,BARE_LABEL</t>
  </si>
  <si>
    <t>"data",TOK_DATA_P,UNRESERVED,BARE_LABEL</t>
  </si>
  <si>
    <t>"database",TOK_DATABASE,UNRESERVED,BARE_LABEL</t>
  </si>
  <si>
    <t>"day",TOK_DAY_P,UNRESERVED,AS_LABEL</t>
  </si>
  <si>
    <t>"deallocate",TOK_DEALLOCATE,UNRESERVED,BARE_LABEL</t>
  </si>
  <si>
    <t>"declare",TOK_DECLARE,UNRESERVED,BARE_LABEL</t>
  </si>
  <si>
    <t>"default",TOK_DEFAULT,RESERVED,BARE_LABEL</t>
  </si>
  <si>
    <t>"defaults",TOK_DEFAULTS,UNRESERVED,BARE_LABEL</t>
  </si>
  <si>
    <t>"deferrable",TOK_DEFERRABLE,RESERVED,BARE_LABEL</t>
  </si>
  <si>
    <t>"deferred",TOK_DEFERRED,UNRESERVED,BARE_LABEL</t>
  </si>
  <si>
    <t>"definer",TOK_DEFINER,UNRESERVED,BARE_LABEL</t>
  </si>
  <si>
    <t>"delete",TOK_DELETE_P,UNRESERVED,BARE_LABEL</t>
  </si>
  <si>
    <t>"delimiter",TOK_DELIMITER,UNRESERVED,BARE_LABEL</t>
  </si>
  <si>
    <t>"delimiters",TOK_DELIMITERS,UNRESERVED,BARE_LABEL</t>
  </si>
  <si>
    <t>"depends",TOK_DEPENDS,UNRESERVED,BARE_LABEL</t>
  </si>
  <si>
    <t>"depth",TOK_DEPTH,UNRESERVED,BARE_LABEL</t>
  </si>
  <si>
    <t>"desc",TOK_DESC,RESERVED,BARE_LABEL</t>
  </si>
  <si>
    <t>"detach",TOK_DETACH,UNRESERVED,BARE_LABEL</t>
  </si>
  <si>
    <t>"dictionary",TOK_DICTIONARY,UNRESERVED,BARE_LABEL</t>
  </si>
  <si>
    <t>"disable",TOK_DISABLE_P,UNRESERVED,BARE_LABEL</t>
  </si>
  <si>
    <t>"discard",TOK_DISCARD,UNRESERVED,BARE_LABEL</t>
  </si>
  <si>
    <t>"distinct",TOK_DISTINCT,RESERVED,BARE_LABEL</t>
  </si>
  <si>
    <t>"do",TOK_DO,RESERVED,BARE_LABEL</t>
  </si>
  <si>
    <t>"document",TOK_DOCUMENT_P,UNRESERVED,BARE_LABEL</t>
  </si>
  <si>
    <t>"domain",TOK_DOMAIN_P,UNRESERVED,BARE_LABEL</t>
  </si>
  <si>
    <t>"double",TOK_DOUBLE_P,UNRESERVED,BARE_LABEL</t>
  </si>
  <si>
    <t>"drop",TOK_DROP,UNRESERVED,BARE_LABEL</t>
  </si>
  <si>
    <t>"each",TOK_EACH,UNRESERVED,BARE_LABEL</t>
  </si>
  <si>
    <t>"else",TOK_ELSE,RESERVED,BARE_LABEL</t>
  </si>
  <si>
    <t>"enable",TOK_ENABLE_P,UNRESERVED,BARE_LABEL</t>
  </si>
  <si>
    <t>"encoding",TOK_ENCODING,UNRESERVED,BARE_LABEL</t>
  </si>
  <si>
    <t>"encrypted",TOK_ENCRYPTED,UNRESERVED,BARE_LABEL</t>
  </si>
  <si>
    <t>"end",TOK_END_P,RESERVED,BARE_LABEL</t>
  </si>
  <si>
    <t>"enum",TOK_ENUM_P,UNRESERVED,BARE_LABEL</t>
  </si>
  <si>
    <t>"escape",TOK_ESCAPE,UNRESERVED,BARE_LABEL</t>
  </si>
  <si>
    <t>"event",TOK_EVENT,UNRESERVED,BARE_LABEL</t>
  </si>
  <si>
    <t>"except",TOK_EXCEPT,RESERVED,AS_LABEL</t>
  </si>
  <si>
    <t>"exclude",TOK_EXCLUDE,UNRESERVED,BARE_LABEL</t>
  </si>
  <si>
    <t>"excluding",TOK_EXCLUDING,UNRESERVED,BARE_LABEL</t>
  </si>
  <si>
    <t>"exclusive",TOK_EXCLUSIVE,UNRESERVED,BARE_LABEL</t>
  </si>
  <si>
    <t>"execute",TOK_EXECUTE,UNRESERVED,BARE_LABEL</t>
  </si>
  <si>
    <t>"explain",TOK_EXPLAIN,UNRESERVED,BARE_LABEL</t>
  </si>
  <si>
    <t>"expression",TOK_EXPRESSION,UNRESERVED,BARE_LABEL</t>
  </si>
  <si>
    <t>"extension",TOK_EXTENSION,UNRESERVED,BARE_LABEL</t>
  </si>
  <si>
    <t>"external",TOK_EXTERNAL,UNRESERVED,BARE_LABEL</t>
  </si>
  <si>
    <t>"false",TOK_FALSE_P,RESERVED,BARE_LABEL</t>
  </si>
  <si>
    <t>"family",TOK_FAMILY,UNRESERVED,BARE_LABEL</t>
  </si>
  <si>
    <t>"fetch",TOK_FETCH,RESERVED,AS_LABEL</t>
  </si>
  <si>
    <t>"filter",TOK_FILTER,UNRESERVED,AS_LABEL</t>
  </si>
  <si>
    <t>"finalize",TOK_FINALIZE,UNRESERVED,BARE_LABEL</t>
  </si>
  <si>
    <t>"first",TOK_FIRST_P,UNRESERVED,BARE_LABEL</t>
  </si>
  <si>
    <t>"following",TOK_FOLLOWING,UNRESERVED,BARE_LABEL</t>
  </si>
  <si>
    <t>"for",TOK_FOR,RESERVED,AS_LABEL</t>
  </si>
  <si>
    <t>"force",TOK_FORCE,UNRESERVED,BARE_LABEL</t>
  </si>
  <si>
    <t>"foreign",TOK_FOREIGN,RESERVED,BARE_LABEL</t>
  </si>
  <si>
    <t>"forward",TOK_FORWARD,UNRESERVED,BARE_LABEL</t>
  </si>
  <si>
    <t>"from",TOK_FROM,RESERVED,AS_LABEL</t>
  </si>
  <si>
    <t>"function",TOK_FUNCTION,UNRESERVED,BARE_LABEL</t>
  </si>
  <si>
    <t>"functions",TOK_FUNCTIONS,UNRESERVED,BARE_LABEL</t>
  </si>
  <si>
    <t>"generated",TOK_GENERATED,UNRESERVED,BARE_LABEL</t>
  </si>
  <si>
    <t>"global",TOK_GLOBAL,UNRESERVED,BARE_LABEL</t>
  </si>
  <si>
    <t>"grant",TOK_GRANT,RESERVED,AS_LABEL</t>
  </si>
  <si>
    <t>"granted",TOK_GRANTED,UNRESERVED,BARE_LABEL</t>
  </si>
  <si>
    <t>"group",TOK_GROUP_P,RESERVED,AS_LABEL</t>
  </si>
  <si>
    <t>"groups",TOK_GROUPS,UNRESERVED,BARE_LABEL</t>
  </si>
  <si>
    <t>"handler",TOK_HANDLER,UNRESERVED,BARE_LABEL</t>
  </si>
  <si>
    <t>"having",TOK_HAVING,RESERVED,AS_LABEL</t>
  </si>
  <si>
    <t>"header",TOK_HEADER_P,UNRESERVED,BARE_LABEL</t>
  </si>
  <si>
    <t>"hold",TOK_HOLD,UNRESERVED,BARE_LABEL</t>
  </si>
  <si>
    <t>"hour",TOK_HOUR_P,UNRESERVED,AS_LABEL</t>
  </si>
  <si>
    <t>"identity",TOK_IDENTITY_P,UNRESERVED,BARE_LABEL</t>
  </si>
  <si>
    <t>"if",TOK_IF_P,UNRESERVED,BARE_LABEL</t>
  </si>
  <si>
    <t>"immediate",TOK_IMMEDIATE,UNRESERVED,BARE_LABEL</t>
  </si>
  <si>
    <t>"immutable",TOK_IMMUTABLE,UNRESERVED,BARE_LABEL</t>
  </si>
  <si>
    <t>"implicit",TOK_IMPLICIT_P,UNRESERVED,BARE_LABEL</t>
  </si>
  <si>
    <t>"import",TOK_IMPORT_P,UNRESERVED,BARE_LABEL</t>
  </si>
  <si>
    <t>"in",TOK_IN_P,RESERVED,BARE_LABEL</t>
  </si>
  <si>
    <t>"include",TOK_INCLUDE,UNRESERVED,BARE_LABEL</t>
  </si>
  <si>
    <t>"including",TOK_INCLUDING,UNRESERVED,BARE_LABEL</t>
  </si>
  <si>
    <t>"increment",TOK_INCREMENT,UNRESERVED,BARE_LABEL</t>
  </si>
  <si>
    <t>"index",TOK_INDEX,UNRESERVED,BARE_LABEL</t>
  </si>
  <si>
    <t>"indexes",TOK_INDEXES,UNRESERVED,BARE_LABEL</t>
  </si>
  <si>
    <t>"inherit",TOK_INHERIT,UNRESERVED,BARE_LABEL</t>
  </si>
  <si>
    <t>"inherits",TOK_INHERITS,UNRESERVED,BARE_LABEL</t>
  </si>
  <si>
    <t>"initially",TOK_INITIALLY,RESERVED,BARE_LABEL</t>
  </si>
  <si>
    <t>"inline",TOK_INLINE_P,UNRESERVED,BARE_LABEL</t>
  </si>
  <si>
    <t>"input",TOK_INPUT_P,UNRESERVED,BARE_LABEL</t>
  </si>
  <si>
    <t>"insensitive",TOK_INSENSITIVE,UNRESERVED,BARE_LABEL</t>
  </si>
  <si>
    <t>"insert",TOK_INSERT,UNRESERVED,BARE_LABEL</t>
  </si>
  <si>
    <t>"instead",TOK_INSTEAD,UNRESERVED,BARE_LABEL</t>
  </si>
  <si>
    <t>"intersect",TOK_INTERSECT,RESERVED,AS_LABEL</t>
  </si>
  <si>
    <t>"into",TOK_INTO,RESERVED,AS_LABEL</t>
  </si>
  <si>
    <t>"invoker",TOK_INVOKER,UNRESERVED,BARE_LABEL</t>
  </si>
  <si>
    <t>"isolation",TOK_ISOLATION,UNRESERVED,BARE_LABEL</t>
  </si>
  <si>
    <t>"key",TOK_KEY,UNRESERVED,BARE_LABEL</t>
  </si>
  <si>
    <t>"label",TOK_LABEL,UNRESERVED,BARE_LABEL</t>
  </si>
  <si>
    <t>"language",TOK_LANGUAGE,UNRESERVED,BARE_LABEL</t>
  </si>
  <si>
    <t>"large",TOK_LARGE_P,UNRESERVED,BARE_LABEL</t>
  </si>
  <si>
    <t>"last",TOK_LAST_P,UNRESERVED,BARE_LABEL</t>
  </si>
  <si>
    <t>"lateral",TOK_LATERAL_P,RESERVED,BARE_LABEL</t>
  </si>
  <si>
    <t>"leading",TOK_LEADING,RESERVED,BARE_LABEL</t>
  </si>
  <si>
    <t>"leakproof",TOK_LEAKPROOF,UNRESERVED,BARE_LABEL</t>
  </si>
  <si>
    <t>"level",TOK_LEVEL,UNRESERVED,BARE_LABEL</t>
  </si>
  <si>
    <t>"limit",TOK_LIMIT,RESERVED,AS_LABEL</t>
  </si>
  <si>
    <t>"listen",TOK_LISTEN,UNRESERVED,BARE_LABEL</t>
  </si>
  <si>
    <t>"load",TOK_LOAD,UNRESERVED,BARE_LABEL</t>
  </si>
  <si>
    <t>"local",TOK_LOCAL,UNRESERVED,BARE_LABEL</t>
  </si>
  <si>
    <t>"localtime",TOK_LOCALTIME,RESERVED,BARE_LABEL</t>
  </si>
  <si>
    <t>"localtimestamp",TOK_LOCALTIMESTAMP,RESERVED,BARE_LABEL</t>
  </si>
  <si>
    <t>"location",TOK_LOCATION,UNRESERVED,BARE_LABEL</t>
  </si>
  <si>
    <t>"lock",TOK_LOCK_P,UNRESERVED,BARE_LABEL</t>
  </si>
  <si>
    <t>"locked",TOK_LOCKED,UNRESERVED,BARE_LABEL</t>
  </si>
  <si>
    <t>"logged",TOK_LOGGED,UNRESERVED,BARE_LABEL</t>
  </si>
  <si>
    <t>"mapping",TOK_MAPPING,UNRESERVED,BARE_LABEL</t>
  </si>
  <si>
    <t>"match",TOK_MATCH,UNRESERVED,BARE_LABEL</t>
  </si>
  <si>
    <t>"matched",TOK_MATCHED,UNRESERVED,BARE_LABEL</t>
  </si>
  <si>
    <t>"materialized",TOK_MATERIALIZED,UNRESERVED,BARE_LABEL</t>
  </si>
  <si>
    <t>"maxvalue",TOK_MAXVALUE,UNRESERVED,BARE_LABEL</t>
  </si>
  <si>
    <t>"merge",TOK_MERGE,UNRESERVED,BARE_LABEL</t>
  </si>
  <si>
    <t>"method",TOK_METHOD,UNRESERVED,BARE_LABEL</t>
  </si>
  <si>
    <t>"minute",TOK_MINUTE_P,UNRESERVED,AS_LABEL</t>
  </si>
  <si>
    <t>"minvalue",TOK_MINVALUE,UNRESERVED,BARE_LABEL</t>
  </si>
  <si>
    <t>"mode",TOK_MODE,UNRESERVED,BARE_LABEL</t>
  </si>
  <si>
    <t>"month",TOK_MONTH_P,UNRESERVED,AS_LABEL</t>
  </si>
  <si>
    <t>"move",TOK_MOVE,UNRESERVED,BARE_LABEL</t>
  </si>
  <si>
    <t>"name",TOK_NAME_P,UNRESERVED,BARE_LABEL</t>
  </si>
  <si>
    <t>"names",TOK_NAMES,UNRESERVED,BARE_LABEL</t>
  </si>
  <si>
    <t>"new",TOK_NEW,UNRESERVED,BARE_LABEL</t>
  </si>
  <si>
    <t>"next",TOK_NEXT,UNRESERVED,BARE_LABEL</t>
  </si>
  <si>
    <t>"nfc",TOK_NFC,UNRESERVED,BARE_LABEL</t>
  </si>
  <si>
    <t>"nfd",TOK_NFD,UNRESERVED,BARE_LABEL</t>
  </si>
  <si>
    <t>"nfkc",TOK_NFKC,UNRESERVED,BARE_LABEL</t>
  </si>
  <si>
    <t>"nfkd",TOK_NFKD,UNRESERVED,BARE_LABEL</t>
  </si>
  <si>
    <t>"no",TOK_NO,UNRESERVED,BARE_LABEL</t>
  </si>
  <si>
    <t>"normalized",TOK_NORMALIZED,UNRESERVED,BARE_LABEL</t>
  </si>
  <si>
    <t>"not",TOK_NOT,RESERVED,BARE_LABEL</t>
  </si>
  <si>
    <t>"nothing",TOK_NOTHING,UNRESERVED,BARE_LABEL</t>
  </si>
  <si>
    <t>"notify",TOK_NOTIFY,UNRESERVED,BARE_LABEL</t>
  </si>
  <si>
    <t>"nowait",TOK_NOWAIT,UNRESERVED,BARE_LABEL</t>
  </si>
  <si>
    <t>"null",TOK_NULL_P,RESERVED,BARE_LABEL</t>
  </si>
  <si>
    <t>"nulls",TOK_NULLS_P,UNRESERVED,BARE_LABEL</t>
  </si>
  <si>
    <t>"object",TOK_OBJECT_P,UNRESERVED,BARE_LABEL</t>
  </si>
  <si>
    <t>"of",TOK_OF,UNRESERVED,BARE_LABEL</t>
  </si>
  <si>
    <t>"off",TOK_OFF,UNRESERVED,BARE_LABEL</t>
  </si>
  <si>
    <t>"offset",TOK_OFFSET,RESERVED,AS_LABEL</t>
  </si>
  <si>
    <t>"oids",TOK_OIDS,UNRESERVED,BARE_LABEL</t>
  </si>
  <si>
    <t>"old",TOK_OLD,UNRESERVED,BARE_LABEL</t>
  </si>
  <si>
    <t>"on",TOK_ON,RESERVED,AS_LABEL</t>
  </si>
  <si>
    <t>"only",TOK_ONLY,RESERVED,BARE_LABEL</t>
  </si>
  <si>
    <t>"operator",TOK_OPERATOR,UNRESERVED,BARE_LABEL</t>
  </si>
  <si>
    <t>"option",TOK_OPTION,UNRESERVED,BARE_LABEL</t>
  </si>
  <si>
    <t>"options",TOK_OPTIONS,UNRESERVED,BARE_LABEL</t>
  </si>
  <si>
    <t>"or",TOK_OR,RESERVED,BARE_LABEL</t>
  </si>
  <si>
    <t>"order",TOK_ORDER,RESERVED,AS_LABEL</t>
  </si>
  <si>
    <t>"ordinality",TOK_ORDINALITY,UNRESERVED,BARE_LABEL</t>
  </si>
  <si>
    <t>"others",TOK_OTHERS,UNRESERVED,BARE_LABEL</t>
  </si>
  <si>
    <t>"over",TOK_OVER,UNRESERVED,AS_LABEL</t>
  </si>
  <si>
    <t>"overriding",TOK_OVERRIDING,UNRESERVED,BARE_LABEL</t>
  </si>
  <si>
    <t>"owned",TOK_OWNED,UNRESERVED,BARE_LABEL</t>
  </si>
  <si>
    <t>"owner",TOK_OWNER,UNRESERVED,BARE_LABEL</t>
  </si>
  <si>
    <t>"parallel",TOK_PARALLEL,UNRESERVED,BARE_LABEL</t>
  </si>
  <si>
    <t>"parameter",TOK_PARAMETER,UNRESERVED,BARE_LABEL</t>
  </si>
  <si>
    <t>"parser",TOK_PARSER,UNRESERVED,BARE_LABEL</t>
  </si>
  <si>
    <t>"partial",TOK_PARTIAL,UNRESERVED,BARE_LABEL</t>
  </si>
  <si>
    <t>"partition",TOK_PARTITION,UNRESERVED,BARE_LABEL</t>
  </si>
  <si>
    <t>"passing",TOK_PASSING,UNRESERVED,BARE_LABEL</t>
  </si>
  <si>
    <t>"password",TOK_PASSWORD,UNRESERVED,BARE_LABEL</t>
  </si>
  <si>
    <t>"placing",TOK_PLACING,RESERVED,BARE_LABEL</t>
  </si>
  <si>
    <t>"plans",TOK_PLANS,UNRESERVED,BARE_LABEL</t>
  </si>
  <si>
    <t>"policy",TOK_POLICY,UNRESERVED,BARE_LABEL</t>
  </si>
  <si>
    <t>"preceding",TOK_PRECEDING,UNRESERVED,BARE_LABEL</t>
  </si>
  <si>
    <t>"prepare",TOK_PREPARE,UNRESERVED,BARE_LABEL</t>
  </si>
  <si>
    <t>"prepared",TOK_PREPARED,UNRESERVED,BARE_LABEL</t>
  </si>
  <si>
    <t>"preserve",TOK_PRESERVE,UNRESERVED,BARE_LABEL</t>
  </si>
  <si>
    <t>"primary",TOK_PRIMARY,RESERVED,BARE_LABEL</t>
  </si>
  <si>
    <t>"prior",TOK_PRIOR,UNRESERVED,BARE_LABEL</t>
  </si>
  <si>
    <t>"privileges",TOK_PRIVILEGES,UNRESERVED,BARE_LABEL</t>
  </si>
  <si>
    <t>"procedural",TOK_PROCEDURAL,UNRESERVED,BARE_LABEL</t>
  </si>
  <si>
    <t>"procedure",TOK_PROCEDURE,UNRESERVED,BARE_LABEL</t>
  </si>
  <si>
    <t>"procedures",TOK_PROCEDURES,UNRESERVED,BARE_LABEL</t>
  </si>
  <si>
    <t>"program",TOK_PROGRAM,UNRESERVED,BARE_LABEL</t>
  </si>
  <si>
    <t>"publication",TOK_PUBLICATION,UNRESERVED,BARE_LABEL</t>
  </si>
  <si>
    <t>"quote",TOK_QUOTE,UNRESERVED,BARE_LABEL</t>
  </si>
  <si>
    <t>"range",TOK_RANGE,UNRESERVED,BARE_LABEL</t>
  </si>
  <si>
    <t>"read",TOK_READ,UNRESERVED,BARE_LABEL</t>
  </si>
  <si>
    <t>"reassign",TOK_REASSIGN,UNRESERVED,BARE_LABEL</t>
  </si>
  <si>
    <t>"recheck",TOK_RECHECK,UNRESERVED,BARE_LABEL</t>
  </si>
  <si>
    <t>"recursive",TOK_RECURSIVE,UNRESERVED,BARE_LABEL</t>
  </si>
  <si>
    <t>"ref",TOK_REF_P,UNRESERVED,BARE_LABEL</t>
  </si>
  <si>
    <t>"references",TOK_REFERENCES,RESERVED,BARE_LABEL</t>
  </si>
  <si>
    <t>"referencing",TOK_REFERENCING,UNRESERVED,BARE_LABEL</t>
  </si>
  <si>
    <t>"refresh",TOK_REFRESH,UNRESERVED,BARE_LABEL</t>
  </si>
  <si>
    <t>"reindex",TOK_REINDEX,UNRESERVED,BARE_LABEL</t>
  </si>
  <si>
    <t>"relative",TOK_RELATIVE_P,UNRESERVED,BARE_LABEL</t>
  </si>
  <si>
    <t>"release",TOK_RELEASE,UNRESERVED,BARE_LABEL</t>
  </si>
  <si>
    <t>"rename",TOK_RENAME,UNRESERVED,BARE_LABEL</t>
  </si>
  <si>
    <t>"repeatable",TOK_REPEATABLE,UNRESERVED,BARE_LABEL</t>
  </si>
  <si>
    <t>"replace",TOK_REPLACE,UNRESERVED,BARE_LABEL</t>
  </si>
  <si>
    <t>"replica",TOK_REPLICA,UNRESERVED,BARE_LABEL</t>
  </si>
  <si>
    <t>"reset",TOK_RESET,UNRESERVED,BARE_LABEL</t>
  </si>
  <si>
    <t>"restart",TOK_RESTART,UNRESERVED,BARE_LABEL</t>
  </si>
  <si>
    <t>"restrict",TOK_RESTRICT,UNRESERVED,BARE_LABEL</t>
  </si>
  <si>
    <t>"return",TOK_RETURN,UNRESERVED,BARE_LABEL</t>
  </si>
  <si>
    <t>"returning",TOK_RETURNING,RESERVED,AS_LABEL</t>
  </si>
  <si>
    <t>"returns",TOK_RETURNS,UNRESERVED,BARE_LABEL</t>
  </si>
  <si>
    <t>"revoke",TOK_REVOKE,UNRESERVED,BARE_LABEL</t>
  </si>
  <si>
    <t>"role",TOK_ROLE,UNRESERVED,BARE_LABEL</t>
  </si>
  <si>
    <t>"rollback",TOK_ROLLBACK,UNRESERVED,BARE_LABEL</t>
  </si>
  <si>
    <t>"rollup",TOK_ROLLUP,UNRESERVED,BARE_LABEL</t>
  </si>
  <si>
    <t>"routine",TOK_ROUTINE,UNRESERVED,BARE_LABEL</t>
  </si>
  <si>
    <t>"routines",TOK_ROUTINES,UNRESERVED,BARE_LABEL</t>
  </si>
  <si>
    <t>"rows",TOK_ROWS,UNRESERVED,BARE_LABEL</t>
  </si>
  <si>
    <t>"rule",TOK_RULE,UNRESERVED,BARE_LABEL</t>
  </si>
  <si>
    <t>"savepoint",TOK_SAVEPOINT,UNRESERVED,BARE_LABEL</t>
  </si>
  <si>
    <t>"schema",TOK_SCHEMA,UNRESERVED,BARE_LABEL</t>
  </si>
  <si>
    <t>"schemas",TOK_SCHEMAS,UNRESERVED,BARE_LABEL</t>
  </si>
  <si>
    <t>"scroll",TOK_SCROLL,UNRESERVED,BARE_LABEL</t>
  </si>
  <si>
    <t>"search",TOK_SEARCH,UNRESERVED,BARE_LABEL</t>
  </si>
  <si>
    <t>"second",TOK_SECOND_P,UNRESERVED,AS_LABEL</t>
  </si>
  <si>
    <t>"security",TOK_SECURITY,UNRESERVED,BARE_LABEL</t>
  </si>
  <si>
    <t>"select",TOK_SELECT,RESERVED,BARE_LABEL</t>
  </si>
  <si>
    <t>"sequence",TOK_SEQUENCE,UNRESERVED,BARE_LABEL</t>
  </si>
  <si>
    <t>"sequences",TOK_SEQUENCES,UNRESERVED,BARE_LABEL</t>
  </si>
  <si>
    <t>"serializable",TOK_SERIALIZABLE,UNRESERVED,BARE_LABEL</t>
  </si>
  <si>
    <t>"server",TOK_SERVER,UNRESERVED,BARE_LABEL</t>
  </si>
  <si>
    <t>"session",TOK_SESSION,UNRESERVED,BARE_LABEL</t>
  </si>
  <si>
    <t>"session_user",TOK_SESSION_USER,RESERVED,BARE_LABEL</t>
  </si>
  <si>
    <t>"set",TOK_SET,UNRESERVED,BARE_LABEL</t>
  </si>
  <si>
    <t>"sets",TOK_SETS,UNRESERVED,BARE_LABEL</t>
  </si>
  <si>
    <t>"share",TOK_SHARE,UNRESERVED,BARE_LABEL</t>
  </si>
  <si>
    <t>"show",TOK_SHOW,UNRESERVED,BARE_LABEL</t>
  </si>
  <si>
    <t>"simple",TOK_SIMPLE,UNRESERVED,BARE_LABEL</t>
  </si>
  <si>
    <t>"skip",TOK_SKIP,UNRESERVED,BARE_LABEL</t>
  </si>
  <si>
    <t>"snapshot",TOK_SNAPSHOT,UNRESERVED,BARE_LABEL</t>
  </si>
  <si>
    <t>"some",TOK_SOME,RESERVED,BARE_LABEL</t>
  </si>
  <si>
    <t>"sql",TOK_SQL_P,UNRESERVED,BARE_LABEL</t>
  </si>
  <si>
    <t>"stable",TOK_STABLE,UNRESERVED,BARE_LABEL</t>
  </si>
  <si>
    <t>"standalone",TOK_STANDALONE_P,UNRESERVED,BARE_LABEL</t>
  </si>
  <si>
    <t>"start",TOK_START,UNRESERVED,BARE_LABEL</t>
  </si>
  <si>
    <t>"statement",TOK_STATEMENT,UNRESERVED,BARE_LABEL</t>
  </si>
  <si>
    <t>"statistics",TOK_STATISTICS,UNRESERVED,BARE_LABEL</t>
  </si>
  <si>
    <t>"stdin",TOK_STDIN,UNRESERVED,BARE_LABEL</t>
  </si>
  <si>
    <t>"stdout",TOK_STDOUT,UNRESERVED,BARE_LABEL</t>
  </si>
  <si>
    <t>"storage",TOK_STORAGE,UNRESERVED,BARE_LABEL</t>
  </si>
  <si>
    <t>"stored",TOK_STORED,UNRESERVED,BARE_LABEL</t>
  </si>
  <si>
    <t>"strict",TOK_STRICT_P,UNRESERVED,BARE_LABEL</t>
  </si>
  <si>
    <t>"strip",TOK_STRIP_P,UNRESERVED,BARE_LABEL</t>
  </si>
  <si>
    <t>"subscription",TOK_SUBSCRIPTION,UNRESERVED,BARE_LABEL</t>
  </si>
  <si>
    <t>"support",TOK_SUPPORT,UNRESERVED,BARE_LABEL</t>
  </si>
  <si>
    <t>"symmetric",TOK_SYMMETRIC,RESERVED,BARE_LABEL</t>
  </si>
  <si>
    <t>"sysid",TOK_SYSID,UNRESERVED,BARE_LABEL</t>
  </si>
  <si>
    <t>"system",TOK_SYSTEM_P,UNRESERVED,BARE_LABEL</t>
  </si>
  <si>
    <t>"table",TOK_TABLE,RESERVED,BARE_LABEL</t>
  </si>
  <si>
    <t>"tables",TOK_TABLES,UNRESERVED,BARE_LABEL</t>
  </si>
  <si>
    <t>"tablespace",TOK_TABLESPACE,UNRESERVED,BARE_LABEL</t>
  </si>
  <si>
    <t>"temp",TOK_TEMP,UNRESERVED,BARE_LABEL</t>
  </si>
  <si>
    <t>"template",TOK_TEMPLATE,UNRESERVED,BARE_LABEL</t>
  </si>
  <si>
    <t>"temporary",TOK_TEMPORARY,UNRESERVED,BARE_LABEL</t>
  </si>
  <si>
    <t>"text",TOK_TEXT_P,UNRESERVED,BARE_LABEL</t>
  </si>
  <si>
    <t>"then",TOK_THEN,RESERVED,BARE_LABEL</t>
  </si>
  <si>
    <t>"ties",TOK_TIES,UNRESERVED,BARE_LABEL</t>
  </si>
  <si>
    <t>"to",TOK_TO,RESERVED,AS_LABEL</t>
  </si>
  <si>
    <t>"trailing",TOK_TRAILING,RESERVED,BARE_LABEL</t>
  </si>
  <si>
    <t>"transaction",TOK_TRANSACTION,UNRESERVED,BARE_LABEL</t>
  </si>
  <si>
    <t>"transform",TOK_TRANSFORM,UNRESERVED,BARE_LABEL</t>
  </si>
  <si>
    <t>"trigger",TOK_TRIGGER,UNRESERVED,BARE_LABEL</t>
  </si>
  <si>
    <t>"true",TOK_TRUE_P,RESERVED,BARE_LABEL</t>
  </si>
  <si>
    <t>"truncate",TOK_TRUNCATE,UNRESERVED,BARE_LABEL</t>
  </si>
  <si>
    <t>"trusted",TOK_TRUSTED,UNRESERVED,BARE_LABEL</t>
  </si>
  <si>
    <t>"type",TOK_TYPE_P,UNRESERVED,BARE_LABEL</t>
  </si>
  <si>
    <t>"types",TOK_TYPES_P,UNRESERVED,BARE_LABEL</t>
  </si>
  <si>
    <t>"uescape",TOK_UESCAPE,UNRESERVED,BARE_LABEL</t>
  </si>
  <si>
    <t>"unbounded",TOK_UNBOUNDED,UNRESERVED,BARE_LABEL</t>
  </si>
  <si>
    <t>"uncommitted",TOK_UNCOMMITTED,UNRESERVED,BARE_LABEL</t>
  </si>
  <si>
    <t>"unencrypted",TOK_UNENCRYPTED,UNRESERVED,BARE_LABEL</t>
  </si>
  <si>
    <t>"union",TOK_UNION,RESERVED,AS_LABEL</t>
  </si>
  <si>
    <t>"unique",TOK_UNIQUE,RESERVED,BARE_LABEL</t>
  </si>
  <si>
    <t>"unknown",TOK_UNKNOWN,UNRESERVED,BARE_LABEL</t>
  </si>
  <si>
    <t>"unlisten",TOK_UNLISTEN,UNRESERVED,BARE_LABEL</t>
  </si>
  <si>
    <t>"unlogged",TOK_UNLOGGED,UNRESERVED,BARE_LABEL</t>
  </si>
  <si>
    <t>"until",TOK_UNTIL,UNRESERVED,BARE_LABEL</t>
  </si>
  <si>
    <t>"update",TOK_UPDATE,UNRESERVED,BARE_LABEL</t>
  </si>
  <si>
    <t>"user",TOK_USER,RESERVED,BARE_LABEL</t>
  </si>
  <si>
    <t>"using",TOK_USING,RESERVED,BARE_LABEL</t>
  </si>
  <si>
    <t>"vacuum",TOK_VACUUM,UNRESERVED,BARE_LABEL</t>
  </si>
  <si>
    <t>"valid",TOK_VALID,UNRESERVED,BARE_LABEL</t>
  </si>
  <si>
    <t>"validate",TOK_VALIDATE,UNRESERVED,BARE_LABEL</t>
  </si>
  <si>
    <t>"validator",TOK_VALIDATOR,UNRESERVED,BARE_LABEL</t>
  </si>
  <si>
    <t>"value",TOK_VALUE_P,UNRESERVED,BARE_LABEL</t>
  </si>
  <si>
    <t>"variadic",TOK_VARIADIC,RESERVED,BARE_LABEL</t>
  </si>
  <si>
    <t>"varying",TOK_VARYING,UNRESERVED,AS_LABEL</t>
  </si>
  <si>
    <t>"version",TOK_VERSION_P,UNRESERVED,BARE_LABEL</t>
  </si>
  <si>
    <t>"view",TOK_VIEW,UNRESERVED,BARE_LABEL</t>
  </si>
  <si>
    <t>"views",TOK_VIEWS,UNRESERVED,BARE_LABEL</t>
  </si>
  <si>
    <t>"volatile",TOK_VOLATILE,UNRESERVED,BARE_LABEL</t>
  </si>
  <si>
    <t>"when",TOK_WHEN,RESERVED,BARE_LABEL</t>
  </si>
  <si>
    <t>"where",TOK_WHERE,RESERVED,AS_LABEL</t>
  </si>
  <si>
    <t>"whitespace",TOK_WHITESPACE_P,UNRESERVED,BARE_LABEL</t>
  </si>
  <si>
    <t>"window",TOK_WINDOW,RESERVED,AS_LABEL</t>
  </si>
  <si>
    <t>"with",TOK_WITH,RESERVED,AS_LABEL</t>
  </si>
  <si>
    <t>"within",TOK_WITHIN,UNRESERVED,AS_LABEL</t>
  </si>
  <si>
    <t>"without",TOK_WITHOUT,UNRESERVED,AS_LABEL</t>
  </si>
  <si>
    <t>"work",TOK_WORK,UNRESERVED,BARE_LABEL</t>
  </si>
  <si>
    <t>"wrapper",TOK_WRAPPER,UNRESERVED,BARE_LABEL</t>
  </si>
  <si>
    <t>"write",TOK_WRITE,UNRESERVED,BARE_LABEL</t>
  </si>
  <si>
    <t>"xml",TOK_XML_P,UNRESERVED,BARE_LABEL</t>
  </si>
  <si>
    <t>"year",TOK_YEAR_P,UNRESERVED,AS_LABEL</t>
  </si>
  <si>
    <t>"yes",TOK_YES_P,UNRESERVED,BARE_LABEL</t>
  </si>
  <si>
    <t>"zone",TOK_ZONE,UNRESERVED,BARE_LABEL</t>
  </si>
  <si>
    <t>"authorization",TOK_AUTHORIZATION,FUNCTION,BARE_LABEL</t>
  </si>
  <si>
    <t>"binary",TOK_BINARY,FUNCTION,BARE_LABEL</t>
  </si>
  <si>
    <t>"collation",TOK_COLLATION,FUNCTION,BARE_LABEL</t>
  </si>
  <si>
    <t>"concurrently",TOK_CONCURRENTLY,FUNCTION,BARE_LABEL</t>
  </si>
  <si>
    <t>"cross",TOK_CROSS,FUNCTION,BARE_LABEL</t>
  </si>
  <si>
    <t>"current_schema",TOK_CURRENT_SCHEMA,FUNCTION,BARE_LABEL</t>
  </si>
  <si>
    <t>"freeze",TOK_FREEZE,FUNCTION,BARE_LABEL</t>
  </si>
  <si>
    <t>"full",TOK_FULL,FUNCTION,BARE_LABEL</t>
  </si>
  <si>
    <t>"ilike",TOK_ILIKE,FUNCTION,BARE_LABEL</t>
  </si>
  <si>
    <t>"inner",TOK_INNER_P,FUNCTION,BARE_LABEL</t>
  </si>
  <si>
    <t>"is",TOK_IS,FUNCTION,BARE_LABEL</t>
  </si>
  <si>
    <t>"isnull",TOK_ISNULL,FUNCTION,AS_LABEL</t>
  </si>
  <si>
    <t>"join",TOK_JOIN,FUNCTION,BARE_LABEL</t>
  </si>
  <si>
    <t>"left",TOK_LEFT,FUNCTION,BARE_LABEL</t>
  </si>
  <si>
    <t>"like",TOK_LIKE,FUNCTION,BARE_LABEL</t>
  </si>
  <si>
    <t>"natural",TOK_NATURAL,FUNCTION,BARE_LABEL</t>
  </si>
  <si>
    <t>"notnull",TOK_NOTNULL,FUNCTION,AS_LABEL</t>
  </si>
  <si>
    <t>"outer",TOK_OUTER_P,FUNCTION,BARE_LABEL</t>
  </si>
  <si>
    <t>"overlaps",TOK_OVERLAPS,FUNCTION,AS_LABEL</t>
  </si>
  <si>
    <t>"right",TOK_RIGHT,FUNCTION,BARE_LABEL</t>
  </si>
  <si>
    <t>"similar",TOK_SIMILAR,FUNCTION,BARE_LABEL</t>
  </si>
  <si>
    <t>"tablesample",TOK_TABLESAMPLE,FUNCTION,BARE_LABEL</t>
  </si>
  <si>
    <t>"verbose",TOK_VERBOSE,FUNCTION,BARE_LABEL</t>
  </si>
  <si>
    <t>"between",TOK_BETWEEN,COLNAME_KEYWORD,BARE_LABEL</t>
  </si>
  <si>
    <t>"bigint",TOK_BIGINT,COLNAME_KEYWORD,BARE_LABEL</t>
  </si>
  <si>
    <t>"bit",TOK_BIT,COLNAME_KEYWORD,BARE_LABEL</t>
  </si>
  <si>
    <t>"boolean",TOK_BOOLEAN_P,COLNAME_KEYWORD,BARE_LABEL</t>
  </si>
  <si>
    <t>"char",TOK_CHAR_P,COLNAME_KEYWORD,AS_LABEL</t>
  </si>
  <si>
    <t>"character",TOK_CHARACTER,COLNAME_KEYWORD,AS_LABEL</t>
  </si>
  <si>
    <t>"coalesce",TOK_COALESCE,COLNAME_KEYWORD,BARE_LABEL</t>
  </si>
  <si>
    <t>"dec",TOK_DEC,COLNAME_KEYWORD,BARE_LABEL</t>
  </si>
  <si>
    <t>"decimal",TOK_DECIMAL_P,COLNAME_KEYWORD,BARE_LABEL</t>
  </si>
  <si>
    <t>"exists",TOK_EXISTS,COLNAME_KEYWORD,BARE_LABEL</t>
  </si>
  <si>
    <t>"extract",TOK_EXTRACT,COLNAME_KEYWORD,BARE_LABEL</t>
  </si>
  <si>
    <t>"float",TOK_FLOAT_P,COLNAME_KEYWORD,BARE_LABEL</t>
  </si>
  <si>
    <t>"greatest",TOK_GREATEST,COLNAME_KEYWORD,BARE_LABEL</t>
  </si>
  <si>
    <t>"grouping",TOK_GROUPING,COLNAME_KEYWORD,BARE_LABEL</t>
  </si>
  <si>
    <t>"inout",TOK_INOUT,COLNAME_KEYWORD,BARE_LABEL</t>
  </si>
  <si>
    <t>"int",TOK_INT_P,COLNAME_KEYWORD,BARE_LABEL</t>
  </si>
  <si>
    <t>"integer",TOK_INTEGER,COLNAME_KEYWORD,BARE_LABEL</t>
  </si>
  <si>
    <t>"interval",TOK_INTERVAL,COLNAME_KEYWORD,BARE_LABEL</t>
  </si>
  <si>
    <t>"least",TOK_LEAST,COLNAME_KEYWORD,BARE_LABEL</t>
  </si>
  <si>
    <t>"national",TOK_NATIONAL,COLNAME_KEYWORD,BARE_LABEL</t>
  </si>
  <si>
    <t>"nchar",TOK_NCHAR,COLNAME_KEYWORD,BARE_LABEL</t>
  </si>
  <si>
    <t>"none",TOK_NONE,COLNAME_KEYWORD,BARE_LABEL</t>
  </si>
  <si>
    <t>"normalize",TOK_NORMALIZE,COLNAME_KEYWORD,BARE_LABEL</t>
  </si>
  <si>
    <t>"nullif",TOK_NULLIF,COLNAME_KEYWORD,BARE_LABEL</t>
  </si>
  <si>
    <t>"numeric",TOK_NUMERIC,COLNAME_KEYWORD,BARE_LABEL</t>
  </si>
  <si>
    <t>"out",TOK_OUT_P,COLNAME_KEYWORD,BARE_LABEL</t>
  </si>
  <si>
    <t>"overlay",TOK_OVERLAY,COLNAME_KEYWORD,BARE_LABEL</t>
  </si>
  <si>
    <t>"position",TOK_POSITION,COLNAME_KEYWORD,BARE_LABEL</t>
  </si>
  <si>
    <t>"precision",TOK_PRECISION,COLNAME_KEYWORD,AS_LABEL</t>
  </si>
  <si>
    <t>"real",TOK_REAL,COLNAME_KEYWORD,BARE_LABEL</t>
  </si>
  <si>
    <t>"row",TOK_ROW,COLNAME_KEYWORD,BARE_LABEL</t>
  </si>
  <si>
    <t>"setof",TOK_SETOF,COLNAME_KEYWORD,BARE_LABEL</t>
  </si>
  <si>
    <t>"smallint",TOK_SMALLINT,COLNAME_KEYWORD,BARE_LABEL</t>
  </si>
  <si>
    <t>"substring",TOK_SUBSTRING,COLNAME_KEYWORD,BARE_LABEL</t>
  </si>
  <si>
    <t>"time",TOK_TIME,COLNAME_KEYWORD,BARE_LABEL</t>
  </si>
  <si>
    <t>"timestamp",TOK_TIMESTAMP,COLNAME_KEYWORD,BARE_LABEL</t>
  </si>
  <si>
    <t>"treat",TOK_TREAT,COLNAME_KEYWORD,BARE_LABEL</t>
  </si>
  <si>
    <t>"trim",TOK_TRIM,COLNAME_KEYWORD,BARE_LABEL</t>
  </si>
  <si>
    <t>"values",TOK_VALUES,COLNAME_KEYWORD,BARE_LABEL</t>
  </si>
  <si>
    <t>"varchar",TOK_VARCHAR,COLNAME_KEYWORD,BARE_LABEL</t>
  </si>
  <si>
    <t>"xmlattributes",TOK_XMLATTRIBUTES,COLNAME_KEYWORD,BARE_LABEL</t>
  </si>
  <si>
    <t>"xmlconcat",TOK_XMLCONCAT,COLNAME_KEYWORD,BARE_LABEL</t>
  </si>
  <si>
    <t>"xmlelement",TOK_XMLELEMENT,COLNAME_KEYWORD,BARE_LABEL</t>
  </si>
  <si>
    <t>"xmlexists",TOK_XMLEXISTS,COLNAME_KEYWORD,BARE_LABEL</t>
  </si>
  <si>
    <t>"xmlforest",TOK_XMLFOREST,COLNAME_KEYWORD,BARE_LABEL</t>
  </si>
  <si>
    <t>"xmlnamespaces",TOK_XMLNAMESPACES,COLNAME_KEYWORD,BARE_LABEL</t>
  </si>
  <si>
    <t>"xmlparse",TOK_XMLPARSE,COLNAME_KEYWORD,BARE_LABEL</t>
  </si>
  <si>
    <t>"xmlpi",TOK_XMLPI,COLNAME_KEYWORD,BARE_LABEL</t>
  </si>
  <si>
    <t>"xmlroot",TOK_XMLROOT,COLNAME_KEYWORD,BARE_LABEL</t>
  </si>
  <si>
    <t>"xmlserialize",TOK_XMLSERIALIZE,COLNAME_KEYWORD,BARE_LABEL</t>
  </si>
  <si>
    <t>"xmltable",TOK_XMLTABLE,COLNAME_KEYWORD,BARE_LABEL</t>
  </si>
  <si>
    <t>ABS</t>
  </si>
  <si>
    <t>ACOS</t>
  </si>
  <si>
    <t>ADDDATE</t>
  </si>
  <si>
    <t>ADDTIME</t>
  </si>
  <si>
    <t>AES_ENCRYPT</t>
  </si>
  <si>
    <t>AES_DECRYPT</t>
  </si>
  <si>
    <t>AGAINST</t>
  </si>
  <si>
    <t>ASCII</t>
  </si>
  <si>
    <t>ASIN</t>
  </si>
  <si>
    <t>ATAN</t>
  </si>
  <si>
    <t>AVG</t>
  </si>
  <si>
    <t>BENCHMARK</t>
  </si>
  <si>
    <t>BIN</t>
  </si>
  <si>
    <t>BIT_AND</t>
  </si>
  <si>
    <t>BIT_OR</t>
  </si>
  <si>
    <t>BITCOUNT</t>
  </si>
  <si>
    <t>BITLENGTH</t>
  </si>
  <si>
    <t>CAST</t>
  </si>
  <si>
    <t>CEILING</t>
  </si>
  <si>
    <t>CHAR</t>
  </si>
  <si>
    <t>CHAR_LENGTH</t>
  </si>
  <si>
    <t>CHARACTER_LENGTH</t>
  </si>
  <si>
    <t>CHARSET</t>
  </si>
  <si>
    <t>COALESCE</t>
  </si>
  <si>
    <t>COERCIBILITY</t>
  </si>
  <si>
    <t>COLLATION</t>
  </si>
  <si>
    <t>COMPRESS</t>
  </si>
  <si>
    <t>CONCAT</t>
  </si>
  <si>
    <t>CONCAT_WS</t>
  </si>
  <si>
    <t>CONNECTION_ID</t>
  </si>
  <si>
    <t>CONV</t>
  </si>
  <si>
    <t>CONVERT</t>
  </si>
  <si>
    <t>CONVERT_TZ</t>
  </si>
  <si>
    <t>COS</t>
  </si>
  <si>
    <t>COT</t>
  </si>
  <si>
    <t>COUNT</t>
  </si>
  <si>
    <t>CRC32</t>
  </si>
  <si>
    <t>CURDATE</t>
  </si>
  <si>
    <t>CURRENT_USER</t>
  </si>
  <si>
    <t>CURRVAL</t>
  </si>
  <si>
    <t>CURTIME</t>
  </si>
  <si>
    <t>DATABASE</t>
  </si>
  <si>
    <t>SCHEMA</t>
  </si>
  <si>
    <t>DATETIME</t>
  </si>
  <si>
    <t>DATE_ADD</t>
  </si>
  <si>
    <t>DATE_DIFF</t>
  </si>
  <si>
    <t>DATE_FORMAT</t>
  </si>
  <si>
    <t>DATE_SUB</t>
  </si>
  <si>
    <t>DAY</t>
  </si>
  <si>
    <t>DAYNAME</t>
  </si>
  <si>
    <t>DAYOFMONTH</t>
  </si>
  <si>
    <t>DAYOFWEEK</t>
  </si>
  <si>
    <t>DAYOFYEAR</t>
  </si>
  <si>
    <t>DECODE</t>
  </si>
  <si>
    <t>DEFAULT</t>
  </si>
  <si>
    <t>DEGREES</t>
  </si>
  <si>
    <t>DES_DECRYPT</t>
  </si>
  <si>
    <t>DES_ENCRYPT</t>
  </si>
  <si>
    <t>ELT</t>
  </si>
  <si>
    <t>ENCODE</t>
  </si>
  <si>
    <t>ENCRYPT</t>
  </si>
  <si>
    <t>EXISTS</t>
  </si>
  <si>
    <t>EXP</t>
  </si>
  <si>
    <t>EXPORT_SET</t>
  </si>
  <si>
    <t>EXTRACT</t>
  </si>
  <si>
    <t>FIELD</t>
  </si>
  <si>
    <t>FIND_IN_SET</t>
  </si>
  <si>
    <t>FLOOR</t>
  </si>
  <si>
    <t>FORMAT</t>
  </si>
  <si>
    <t>FOUND_ROWS</t>
  </si>
  <si>
    <t>FROM_DAYS</t>
  </si>
  <si>
    <t>FROM_UNIXTIME</t>
  </si>
  <si>
    <t>GET_FORMAT</t>
  </si>
  <si>
    <t>GET_LOCK</t>
  </si>
  <si>
    <t>GROUP_CONCAT</t>
  </si>
  <si>
    <t>GREATEST</t>
  </si>
  <si>
    <t>HEX</t>
  </si>
  <si>
    <t>HOUR</t>
  </si>
  <si>
    <t>IF</t>
  </si>
  <si>
    <t>IFNULL</t>
  </si>
  <si>
    <t>IN</t>
  </si>
  <si>
    <t>INET_ATON</t>
  </si>
  <si>
    <t>INET_NTOA</t>
  </si>
  <si>
    <t>INSERT</t>
  </si>
  <si>
    <t>INSTR</t>
  </si>
  <si>
    <t>INTERVAL</t>
  </si>
  <si>
    <t>IS_FREE_LOCK</t>
  </si>
  <si>
    <t>IS_USED_LOCK</t>
  </si>
  <si>
    <t>LAST_DAY</t>
  </si>
  <si>
    <t>LAST_INSERT_ID</t>
  </si>
  <si>
    <t>LCASE</t>
  </si>
  <si>
    <t>LEAST</t>
  </si>
  <si>
    <t>LEFT</t>
  </si>
  <si>
    <t>LENGTH</t>
  </si>
  <si>
    <t>LN</t>
  </si>
  <si>
    <t>LOAD_FILE</t>
  </si>
  <si>
    <t>LOCALTIME</t>
  </si>
  <si>
    <t>LOCALTIMESTAMP</t>
  </si>
  <si>
    <t>LOCATE</t>
  </si>
  <si>
    <t>LOG</t>
  </si>
  <si>
    <t>LOG2</t>
  </si>
  <si>
    <t>LOG10</t>
  </si>
  <si>
    <t>LOWER</t>
  </si>
  <si>
    <t>LPAD</t>
  </si>
  <si>
    <t>LTRIM</t>
  </si>
  <si>
    <t>MAKE_SET</t>
  </si>
  <si>
    <t>MAKEDATE</t>
  </si>
  <si>
    <t>MAKETIME</t>
  </si>
  <si>
    <t>MASTER_POS_WAIT</t>
  </si>
  <si>
    <t>MATCH</t>
  </si>
  <si>
    <t>MAX</t>
  </si>
  <si>
    <t>MD5</t>
  </si>
  <si>
    <t>MICROSECOND</t>
  </si>
  <si>
    <t>MID</t>
  </si>
  <si>
    <t>MIN</t>
  </si>
  <si>
    <t>MINUTE</t>
  </si>
  <si>
    <t>MOD</t>
  </si>
  <si>
    <t>MONTH</t>
  </si>
  <si>
    <t>MONTHNAME</t>
  </si>
  <si>
    <t>NEXTVAL</t>
  </si>
  <si>
    <t>NOW</t>
  </si>
  <si>
    <t>NULLIF</t>
  </si>
  <si>
    <t>OCT</t>
  </si>
  <si>
    <t>OCTET_LENGTH</t>
  </si>
  <si>
    <t>OLD_PASSWORD</t>
  </si>
  <si>
    <t>ORD</t>
  </si>
  <si>
    <t>PASSWORD</t>
  </si>
  <si>
    <t>PERIOD_ADD</t>
  </si>
  <si>
    <t>PERIOD_DIFF</t>
  </si>
  <si>
    <t>PI</t>
  </si>
  <si>
    <t>POSITION</t>
  </si>
  <si>
    <t>POW</t>
  </si>
  <si>
    <t>POWER</t>
  </si>
  <si>
    <t>QUARTER</t>
  </si>
  <si>
    <t>QUOTE</t>
  </si>
  <si>
    <t>RADIANS</t>
  </si>
  <si>
    <t>RAND</t>
  </si>
  <si>
    <t>RELEASE_LOCK</t>
  </si>
  <si>
    <t>REPEAT</t>
  </si>
  <si>
    <t>REPLACE</t>
  </si>
  <si>
    <t>REVERSE</t>
  </si>
  <si>
    <t>RIGHT</t>
  </si>
  <si>
    <t>ROUND</t>
  </si>
  <si>
    <t>ROW_COUNT</t>
  </si>
  <si>
    <t>RPAD</t>
  </si>
  <si>
    <t>RTRIM</t>
  </si>
  <si>
    <t>SEC_TO_TIME</t>
  </si>
  <si>
    <t>SECOND</t>
  </si>
  <si>
    <t>SESSION_USER</t>
  </si>
  <si>
    <t>SHA</t>
  </si>
  <si>
    <t>SHA1</t>
  </si>
  <si>
    <t>SIGN</t>
  </si>
  <si>
    <t>SOUNDEX</t>
  </si>
  <si>
    <t>SPACE</t>
  </si>
  <si>
    <t>SQRT</t>
  </si>
  <si>
    <t>STD</t>
  </si>
  <si>
    <t>STDDEV</t>
  </si>
  <si>
    <t>STDDEV_POP</t>
  </si>
  <si>
    <t>STDDEV_SAMP</t>
  </si>
  <si>
    <t>STRCMP</t>
  </si>
  <si>
    <t>STR_TO_DATE</t>
  </si>
  <si>
    <t>SUBDATE</t>
  </si>
  <si>
    <t>SUBSTRING</t>
  </si>
  <si>
    <t>SUBSTRING_INDEX</t>
  </si>
  <si>
    <t>SUBTIME</t>
  </si>
  <si>
    <t>SUM</t>
  </si>
  <si>
    <t>SYSDATE</t>
  </si>
  <si>
    <t>SYSTEM_USER</t>
  </si>
  <si>
    <t>TAN</t>
  </si>
  <si>
    <t>TIME</t>
  </si>
  <si>
    <t>TIMEDIFF</t>
  </si>
  <si>
    <t>TIMESTAMP</t>
  </si>
  <si>
    <t>TIMESTAMPADD</t>
  </si>
  <si>
    <t>TIMESTAMPDIFF</t>
  </si>
  <si>
    <t>TIME_FORMAT</t>
  </si>
  <si>
    <t>TIME_TO_SEC</t>
  </si>
  <si>
    <t>TO_DAYS</t>
  </si>
  <si>
    <t>TRIM</t>
  </si>
  <si>
    <t>TRUNCATE</t>
  </si>
  <si>
    <t>UCASE</t>
  </si>
  <si>
    <t>UNCOMPRESS</t>
  </si>
  <si>
    <t>UNCOMPRESSED_LENGTH</t>
  </si>
  <si>
    <t>UNHEX</t>
  </si>
  <si>
    <t>UNIX_TIMESTAMP</t>
  </si>
  <si>
    <t>UPPER</t>
  </si>
  <si>
    <t>USER</t>
  </si>
  <si>
    <t>UTC_DATE</t>
  </si>
  <si>
    <t>UTC_TIME</t>
  </si>
  <si>
    <t>UTC_TIMESTAMP</t>
  </si>
  <si>
    <t>UUID</t>
  </si>
  <si>
    <t>VAR_POP</t>
  </si>
  <si>
    <t>VAR_SAMP</t>
  </si>
  <si>
    <t>VARIANCE</t>
  </si>
  <si>
    <t>VERSION</t>
  </si>
  <si>
    <t>WEEK</t>
  </si>
  <si>
    <t>WEEKDAY</t>
  </si>
  <si>
    <t>WEEKOFYEAR</t>
  </si>
  <si>
    <t>YEAR</t>
  </si>
  <si>
    <t>YEARWEEK</t>
  </si>
  <si>
    <t>ADD</t>
  </si>
  <si>
    <t>ALL</t>
  </si>
  <si>
    <t>ALTER</t>
  </si>
  <si>
    <t>ANALYZE</t>
  </si>
  <si>
    <t>AND</t>
  </si>
  <si>
    <t>AS</t>
  </si>
  <si>
    <t>ASC</t>
  </si>
  <si>
    <t>ASENSITIVE</t>
  </si>
  <si>
    <t>AUTO_INCREMENT</t>
  </si>
  <si>
    <t>BDB</t>
  </si>
  <si>
    <t>BEFORE</t>
  </si>
  <si>
    <t>BERKELEYDB</t>
  </si>
  <si>
    <t>BETWEEN</t>
  </si>
  <si>
    <t>BIGINT</t>
  </si>
  <si>
    <t>BINARY</t>
  </si>
  <si>
    <t>BLOB</t>
  </si>
  <si>
    <t>BOTH</t>
  </si>
  <si>
    <t>BY</t>
  </si>
  <si>
    <t>CALL</t>
  </si>
  <si>
    <t>CASCADE</t>
  </si>
  <si>
    <t>CASE</t>
  </si>
  <si>
    <t>CHANGE</t>
  </si>
  <si>
    <t>CHARACTER</t>
  </si>
  <si>
    <t>CHECK</t>
  </si>
  <si>
    <t>COLLATE</t>
  </si>
  <si>
    <t>COLUMN</t>
  </si>
  <si>
    <t>COLUMNS</t>
  </si>
  <si>
    <t>CONDITION</t>
  </si>
  <si>
    <t>CONNECTION</t>
  </si>
  <si>
    <t>CONSTRAINT</t>
  </si>
  <si>
    <t>CONTINUE</t>
  </si>
  <si>
    <t>CREATE</t>
  </si>
  <si>
    <t>CROSS</t>
  </si>
  <si>
    <t>CURRENT_DATE</t>
  </si>
  <si>
    <t>CURRENT_TIME</t>
  </si>
  <si>
    <t>CURRENT_TIMESTAMP</t>
  </si>
  <si>
    <t>CURSOR</t>
  </si>
  <si>
    <t>DATABASES</t>
  </si>
  <si>
    <t>SCHEMAS</t>
  </si>
  <si>
    <t>DAY_HOUR</t>
  </si>
  <si>
    <t>DAY_MICROSECOND</t>
  </si>
  <si>
    <t>DAY_MINUTE</t>
  </si>
  <si>
    <t>DAY_SECOND</t>
  </si>
  <si>
    <t>DEC</t>
  </si>
  <si>
    <t>DECIMAL</t>
  </si>
  <si>
    <t>DECLARE</t>
  </si>
  <si>
    <t>DELAYED</t>
  </si>
  <si>
    <t>DELETE</t>
  </si>
  <si>
    <t>DESC</t>
  </si>
  <si>
    <t>DESCRIBE</t>
  </si>
  <si>
    <t>DETERMINISTIC</t>
  </si>
  <si>
    <t>DISTINCT</t>
  </si>
  <si>
    <t>DISTINCTROW</t>
  </si>
  <si>
    <t>DIV</t>
  </si>
  <si>
    <t>DOUBLE</t>
  </si>
  <si>
    <t>DROP</t>
  </si>
  <si>
    <t>ELSE</t>
  </si>
  <si>
    <t>ELSEIF</t>
  </si>
  <si>
    <t>END</t>
  </si>
  <si>
    <t>ENCLOSED</t>
  </si>
  <si>
    <t>ESCAPED</t>
  </si>
  <si>
    <t>EXIT</t>
  </si>
  <si>
    <t>EXPLAIN</t>
  </si>
  <si>
    <t>FETCH</t>
  </si>
  <si>
    <t>FIELDS</t>
  </si>
  <si>
    <t>FLOAT</t>
  </si>
  <si>
    <t>FOR</t>
  </si>
  <si>
    <t>FORCE</t>
  </si>
  <si>
    <t>FOREIGN</t>
  </si>
  <si>
    <t>FOUND</t>
  </si>
  <si>
    <t>FRAC_SECOND</t>
  </si>
  <si>
    <t>FROM</t>
  </si>
  <si>
    <t>FULLTEXT</t>
  </si>
  <si>
    <t>GRANT</t>
  </si>
  <si>
    <t>GROUP</t>
  </si>
  <si>
    <t>HAVING</t>
  </si>
  <si>
    <t>HIGH_PRIORITY</t>
  </si>
  <si>
    <t>HOUR_MICROSECOND</t>
  </si>
  <si>
    <t>HOUR_MINUTE</t>
  </si>
  <si>
    <t>HOUR_SECOND</t>
  </si>
  <si>
    <t>IGNORE</t>
  </si>
  <si>
    <t>INDEX</t>
  </si>
  <si>
    <t>INFILE</t>
  </si>
  <si>
    <t>INNER</t>
  </si>
  <si>
    <t>INNODB</t>
  </si>
  <si>
    <t>INOUT</t>
  </si>
  <si>
    <t>INSENSITIVE</t>
  </si>
  <si>
    <t>INT</t>
  </si>
  <si>
    <t>INTEGER</t>
  </si>
  <si>
    <t>INTO</t>
  </si>
  <si>
    <t>IO_THREAD</t>
  </si>
  <si>
    <t>IS</t>
  </si>
  <si>
    <t>ITERATE</t>
  </si>
  <si>
    <t>JOIN</t>
  </si>
  <si>
    <t>KEY</t>
  </si>
  <si>
    <t>KEYS</t>
  </si>
  <si>
    <t>KILL</t>
  </si>
  <si>
    <t>LEADING</t>
  </si>
  <si>
    <t>LEAVE</t>
  </si>
  <si>
    <t>LIKE</t>
  </si>
  <si>
    <t>LIMIT</t>
  </si>
  <si>
    <t>LINES</t>
  </si>
  <si>
    <t>LOAD</t>
  </si>
  <si>
    <t>LOCK</t>
  </si>
  <si>
    <t>LONG</t>
  </si>
  <si>
    <t>LONGBLOB</t>
  </si>
  <si>
    <t>LONGTEXT</t>
  </si>
  <si>
    <t>LOOP</t>
  </si>
  <si>
    <t>LOW_PRIORITY</t>
  </si>
  <si>
    <t>MASTER_SERVER_ID</t>
  </si>
  <si>
    <t>MEDIUMBLOB</t>
  </si>
  <si>
    <t>MEDIUMINT</t>
  </si>
  <si>
    <t>MEDIUMTEXT</t>
  </si>
  <si>
    <t>MIDDLEINT</t>
  </si>
  <si>
    <t>MINUTE_MICROSECOND</t>
  </si>
  <si>
    <t>MINUTE_SECOND</t>
  </si>
  <si>
    <t>NATURAL</t>
  </si>
  <si>
    <t>NOT</t>
  </si>
  <si>
    <t>NO_WRITE_TO_BINLOG</t>
  </si>
  <si>
    <t>NUMERIC</t>
  </si>
  <si>
    <t>ON</t>
  </si>
  <si>
    <t>OPTIMIZE</t>
  </si>
  <si>
    <t>OPTION</t>
  </si>
  <si>
    <t>OPTIONALLY</t>
  </si>
  <si>
    <t>OR</t>
  </si>
  <si>
    <t>ORDER</t>
  </si>
  <si>
    <t>OUT</t>
  </si>
  <si>
    <t>OUTER</t>
  </si>
  <si>
    <t>OUTFILE</t>
  </si>
  <si>
    <t>PRECISION</t>
  </si>
  <si>
    <t>PRIMARY</t>
  </si>
  <si>
    <t>PRIVILEGES</t>
  </si>
  <si>
    <t>PROCEDURE</t>
  </si>
  <si>
    <t>PURGE</t>
  </si>
  <si>
    <t>READ</t>
  </si>
  <si>
    <t>REAL</t>
  </si>
  <si>
    <t>REFERENCES</t>
  </si>
  <si>
    <t>REGEXP</t>
  </si>
  <si>
    <t>RENAME</t>
  </si>
  <si>
    <t>REQUIRE</t>
  </si>
  <si>
    <t>RESTRICT</t>
  </si>
  <si>
    <t>RETURN</t>
  </si>
  <si>
    <t>REVOKE</t>
  </si>
  <si>
    <t>RLIKE</t>
  </si>
  <si>
    <t>SECOND_MICROSECOND</t>
  </si>
  <si>
    <t>SELECT</t>
  </si>
  <si>
    <t>SENSITIVE</t>
  </si>
  <si>
    <t>SEPARATOR</t>
  </si>
  <si>
    <t>SET</t>
  </si>
  <si>
    <t>SHOW</t>
  </si>
  <si>
    <t>SMALLINT</t>
  </si>
  <si>
    <t>SOME</t>
  </si>
  <si>
    <t>SONAME</t>
  </si>
  <si>
    <t>SPATIAL</t>
  </si>
  <si>
    <t>SPECIFIC</t>
  </si>
  <si>
    <t>SQL</t>
  </si>
  <si>
    <t>SQLEXCEPTION</t>
  </si>
  <si>
    <t>SQLSTATE</t>
  </si>
  <si>
    <t>SQLWARNING</t>
  </si>
  <si>
    <t>SQL_BIG_RESULT</t>
  </si>
  <si>
    <t>SQL_CALC_FOUND_ROWS</t>
  </si>
  <si>
    <t>SQL_SMALL_RESULT</t>
  </si>
  <si>
    <t>SQL_TSI_DAY</t>
  </si>
  <si>
    <t>SQL_TSI_FRAC_SECOND</t>
  </si>
  <si>
    <t>SQL_TSI_HOUR</t>
  </si>
  <si>
    <t>SQL_TSI_MINUTE</t>
  </si>
  <si>
    <t>SQL_TSI_MONTH</t>
  </si>
  <si>
    <t>SQL_TSI_QUARTER</t>
  </si>
  <si>
    <t>SQL_TSI_SECOND</t>
  </si>
  <si>
    <t>SQL_TSI_WEEK</t>
  </si>
  <si>
    <t>SQL_TSI_YEAR</t>
  </si>
  <si>
    <t>SSL</t>
  </si>
  <si>
    <t>STARTING</t>
  </si>
  <si>
    <t>STRAIGHT_JOIN</t>
  </si>
  <si>
    <t>STRIPED</t>
  </si>
  <si>
    <t>TABLE</t>
  </si>
  <si>
    <t>TABLES</t>
  </si>
  <si>
    <t>TEMPORARY</t>
  </si>
  <si>
    <t>TERMINATED</t>
  </si>
  <si>
    <t>THEN</t>
  </si>
  <si>
    <t>TINYBLOB</t>
  </si>
  <si>
    <t>TINYINT</t>
  </si>
  <si>
    <t>TINYTEXT</t>
  </si>
  <si>
    <t>TO</t>
  </si>
  <si>
    <t>TRAILING</t>
  </si>
  <si>
    <t>UNDO</t>
  </si>
  <si>
    <t>UNION</t>
  </si>
  <si>
    <t>UNIQUE</t>
  </si>
  <si>
    <t>UNLOCK</t>
  </si>
  <si>
    <t>UNSIGNED</t>
  </si>
  <si>
    <t>UPDATE</t>
  </si>
  <si>
    <t>USAGE</t>
  </si>
  <si>
    <t>USE</t>
  </si>
  <si>
    <t>USER_RESOURCES</t>
  </si>
  <si>
    <t>USING</t>
  </si>
  <si>
    <t>VALUES</t>
  </si>
  <si>
    <t>VARBINARY</t>
  </si>
  <si>
    <t>VARCHAR</t>
  </si>
  <si>
    <t>VARCHARACTER</t>
  </si>
  <si>
    <t>VARYING</t>
  </si>
  <si>
    <t>WHEN</t>
  </si>
  <si>
    <t>WHERE</t>
  </si>
  <si>
    <t>WHILE</t>
  </si>
  <si>
    <t>WITH</t>
  </si>
  <si>
    <t>WRITE</t>
  </si>
  <si>
    <t>XOR</t>
  </si>
  <si>
    <t>YEAR_MONTH</t>
  </si>
  <si>
    <t>ZEROFILL</t>
  </si>
  <si>
    <t>RESERVED</t>
  </si>
  <si>
    <t>COLNAME_KEYWORD</t>
  </si>
  <si>
    <t>BARE_LABEL</t>
  </si>
  <si>
    <t>AS_LABEL</t>
  </si>
  <si>
    <t>UNRESERVED,BARE_LABEL</t>
  </si>
  <si>
    <t>RESERVED,BARE_LABEL</t>
  </si>
  <si>
    <t>RESERVED,AS_LABEL</t>
  </si>
  <si>
    <t>COLNAME_KEYWORD,BARE_LABEL</t>
  </si>
  <si>
    <t>COLNAME_KEYWORD,AS_LABEL</t>
  </si>
  <si>
    <t>UNRESERVED,AS_LABEL</t>
  </si>
  <si>
    <t>PGSQL RESERVED</t>
  </si>
  <si>
    <t>PGSQL LABEL</t>
  </si>
  <si>
    <t>FUNCTION</t>
  </si>
  <si>
    <t>FUNCTION,BARE_LABEL</t>
  </si>
  <si>
    <t>FUNCTION,AS_LABEL</t>
  </si>
  <si>
    <t>PHP RESERVED</t>
  </si>
  <si>
    <t>PHP FUNCTIONS</t>
  </si>
  <si>
    <t>PARAM_FUNCTION</t>
  </si>
  <si>
    <t>PHP PARAMFUNCS</t>
  </si>
  <si>
    <t>PHP AGGRFUNCS</t>
  </si>
  <si>
    <t>AGGR_FUNCTION</t>
  </si>
  <si>
    <t>ABORT</t>
  </si>
  <si>
    <t>ABSOLUTE</t>
  </si>
  <si>
    <t>ACCESS</t>
  </si>
  <si>
    <t>ACTION</t>
  </si>
  <si>
    <t>ADMIN</t>
  </si>
  <si>
    <t>AFTER</t>
  </si>
  <si>
    <t>AGGREGATE</t>
  </si>
  <si>
    <t>ALSO</t>
  </si>
  <si>
    <t>ALWAYS</t>
  </si>
  <si>
    <t>ANALYSE</t>
  </si>
  <si>
    <t>ANY</t>
  </si>
  <si>
    <t>ARRAY</t>
  </si>
  <si>
    <t>ASSERTION</t>
  </si>
  <si>
    <t>ASSIGNMENT</t>
  </si>
  <si>
    <t>ASYMMETRIC</t>
  </si>
  <si>
    <t>AT</t>
  </si>
  <si>
    <t>ATOMIC</t>
  </si>
  <si>
    <t>ATTACH</t>
  </si>
  <si>
    <t>ATTRIBUTE</t>
  </si>
  <si>
    <t>AUTHORIZATION</t>
  </si>
  <si>
    <t>BACKWARD</t>
  </si>
  <si>
    <t>BEGIN</t>
  </si>
  <si>
    <t>BIT</t>
  </si>
  <si>
    <t>BOOLEAN</t>
  </si>
  <si>
    <t>BREADTH</t>
  </si>
  <si>
    <t>CACHE</t>
  </si>
  <si>
    <t>CALLED</t>
  </si>
  <si>
    <t>CASCADED</t>
  </si>
  <si>
    <t>CATALOG</t>
  </si>
  <si>
    <t>CHAIN</t>
  </si>
  <si>
    <t>CHARACTERISTICS</t>
  </si>
  <si>
    <t>CHECKPOINT</t>
  </si>
  <si>
    <t>CLASS</t>
  </si>
  <si>
    <t>CLOSE</t>
  </si>
  <si>
    <t>CLUSTER</t>
  </si>
  <si>
    <t>COMMENT</t>
  </si>
  <si>
    <t>COMMENTS</t>
  </si>
  <si>
    <t>COMMIT</t>
  </si>
  <si>
    <t>COMMITTED</t>
  </si>
  <si>
    <t>COMPRESSION</t>
  </si>
  <si>
    <t>CONCURRENTLY</t>
  </si>
  <si>
    <t>CONFIGURATION</t>
  </si>
  <si>
    <t>CONFLICT</t>
  </si>
  <si>
    <t>CONSTRAINTS</t>
  </si>
  <si>
    <t>CONTENT</t>
  </si>
  <si>
    <t>CONVERSION</t>
  </si>
  <si>
    <t>COPY</t>
  </si>
  <si>
    <t>COST</t>
  </si>
  <si>
    <t>CSV</t>
  </si>
  <si>
    <t>CUBE</t>
  </si>
  <si>
    <t>CURRENT_CATALOG</t>
  </si>
  <si>
    <t>CURRENT</t>
  </si>
  <si>
    <t>CURRENT_ROLE</t>
  </si>
  <si>
    <t>CURRENT_SCHEMA</t>
  </si>
  <si>
    <t>CYCLE</t>
  </si>
  <si>
    <t>DATA</t>
  </si>
  <si>
    <t>DEALLOCATE</t>
  </si>
  <si>
    <t>DEFAULTS</t>
  </si>
  <si>
    <t>DEFERRABLE</t>
  </si>
  <si>
    <t>DEFERRED</t>
  </si>
  <si>
    <t>DEFINER</t>
  </si>
  <si>
    <t>DELIMITER</t>
  </si>
  <si>
    <t>DELIMITERS</t>
  </si>
  <si>
    <t>DEPENDS</t>
  </si>
  <si>
    <t>DEPTH</t>
  </si>
  <si>
    <t>DETACH</t>
  </si>
  <si>
    <t>DICTIONARY</t>
  </si>
  <si>
    <t>DISABLE</t>
  </si>
  <si>
    <t>DISCARD</t>
  </si>
  <si>
    <t>DO</t>
  </si>
  <si>
    <t>DOCUMENT</t>
  </si>
  <si>
    <t>DOMAIN</t>
  </si>
  <si>
    <t>EACH</t>
  </si>
  <si>
    <t>ENABLE</t>
  </si>
  <si>
    <t>ENCODING</t>
  </si>
  <si>
    <t>ENCRYPTED</t>
  </si>
  <si>
    <t>ENUM</t>
  </si>
  <si>
    <t>ESCAPE</t>
  </si>
  <si>
    <t>EVENT</t>
  </si>
  <si>
    <t>EXCEPT</t>
  </si>
  <si>
    <t>EXCLUDE</t>
  </si>
  <si>
    <t>EXCLUDING</t>
  </si>
  <si>
    <t>EXCLUSIVE</t>
  </si>
  <si>
    <t>EXECUTE</t>
  </si>
  <si>
    <t>EXPRESSION</t>
  </si>
  <si>
    <t>EXTENSION</t>
  </si>
  <si>
    <t>EXTERNAL</t>
  </si>
  <si>
    <t>FALSE</t>
  </si>
  <si>
    <t>FAMILY</t>
  </si>
  <si>
    <t>FILTER</t>
  </si>
  <si>
    <t>FINALIZE</t>
  </si>
  <si>
    <t>FIRST</t>
  </si>
  <si>
    <t>FOLLOWING</t>
  </si>
  <si>
    <t>FORWARD</t>
  </si>
  <si>
    <t>FREEZE</t>
  </si>
  <si>
    <t>FULL</t>
  </si>
  <si>
    <t>FUNCTIONS</t>
  </si>
  <si>
    <t>GENERATED</t>
  </si>
  <si>
    <t>GLOBAL</t>
  </si>
  <si>
    <t>GRANTED</t>
  </si>
  <si>
    <t>GROUPING</t>
  </si>
  <si>
    <t>GROUPS</t>
  </si>
  <si>
    <t>HANDLER</t>
  </si>
  <si>
    <t>HEADER</t>
  </si>
  <si>
    <t>HOLD</t>
  </si>
  <si>
    <t>IDENTITY</t>
  </si>
  <si>
    <t>ILIKE</t>
  </si>
  <si>
    <t>IMMEDIATE</t>
  </si>
  <si>
    <t>IMMUTABLE</t>
  </si>
  <si>
    <t>IMPLICIT</t>
  </si>
  <si>
    <t>IMPORT</t>
  </si>
  <si>
    <t>INCLUDE</t>
  </si>
  <si>
    <t>INCLUDING</t>
  </si>
  <si>
    <t>INCREMENT</t>
  </si>
  <si>
    <t>INDEXES</t>
  </si>
  <si>
    <t>INHERIT</t>
  </si>
  <si>
    <t>INHERITS</t>
  </si>
  <si>
    <t>INITIALLY</t>
  </si>
  <si>
    <t>INLINE</t>
  </si>
  <si>
    <t>INPUT</t>
  </si>
  <si>
    <t>INSTEAD</t>
  </si>
  <si>
    <t>INTERSECT</t>
  </si>
  <si>
    <t>INVOKER</t>
  </si>
  <si>
    <t>ISNULL</t>
  </si>
  <si>
    <t>ISOLATION</t>
  </si>
  <si>
    <t>LABEL</t>
  </si>
  <si>
    <t>LANGUAGE</t>
  </si>
  <si>
    <t>LARGE</t>
  </si>
  <si>
    <t>LAST</t>
  </si>
  <si>
    <t>LATERAL</t>
  </si>
  <si>
    <t>LEAKPROOF</t>
  </si>
  <si>
    <t>LEVEL</t>
  </si>
  <si>
    <t>LISTEN</t>
  </si>
  <si>
    <t>LOCAL</t>
  </si>
  <si>
    <t>LOCATION</t>
  </si>
  <si>
    <t>LOCKED</t>
  </si>
  <si>
    <t>LOGGED</t>
  </si>
  <si>
    <t>MAPPING</t>
  </si>
  <si>
    <t>MATCHED</t>
  </si>
  <si>
    <t>MATERIALIZED</t>
  </si>
  <si>
    <t>MAXVALUE</t>
  </si>
  <si>
    <t>MERGE</t>
  </si>
  <si>
    <t>METHOD</t>
  </si>
  <si>
    <t>MINVALUE</t>
  </si>
  <si>
    <t>MODE</t>
  </si>
  <si>
    <t>MOVE</t>
  </si>
  <si>
    <t>NAME</t>
  </si>
  <si>
    <t>NAMES</t>
  </si>
  <si>
    <t>NATIONAL</t>
  </si>
  <si>
    <t>NCHAR</t>
  </si>
  <si>
    <t>NEW</t>
  </si>
  <si>
    <t>NEXT</t>
  </si>
  <si>
    <t>NFC</t>
  </si>
  <si>
    <t>NFD</t>
  </si>
  <si>
    <t>NFKC</t>
  </si>
  <si>
    <t>NFKD</t>
  </si>
  <si>
    <t>NO</t>
  </si>
  <si>
    <t>NONE</t>
  </si>
  <si>
    <t>NORMALIZE</t>
  </si>
  <si>
    <t>NORMALIZED</t>
  </si>
  <si>
    <t>NOTHING</t>
  </si>
  <si>
    <t>NOTIFY</t>
  </si>
  <si>
    <t>NOTNULL</t>
  </si>
  <si>
    <t>NOWAIT</t>
  </si>
  <si>
    <t>NULLS</t>
  </si>
  <si>
    <t>OBJECT</t>
  </si>
  <si>
    <t>OF</t>
  </si>
  <si>
    <t>OFF</t>
  </si>
  <si>
    <t>OFFSET</t>
  </si>
  <si>
    <t>OIDS</t>
  </si>
  <si>
    <t>OLD</t>
  </si>
  <si>
    <t>ONLY</t>
  </si>
  <si>
    <t>OPERATOR</t>
  </si>
  <si>
    <t>OPTIONS</t>
  </si>
  <si>
    <t>ORDINALITY</t>
  </si>
  <si>
    <t>OTHERS</t>
  </si>
  <si>
    <t>OVER</t>
  </si>
  <si>
    <t>OVERLAPS</t>
  </si>
  <si>
    <t>OVERLAY</t>
  </si>
  <si>
    <t>OVERRIDING</t>
  </si>
  <si>
    <t>OWNED</t>
  </si>
  <si>
    <t>OWNER</t>
  </si>
  <si>
    <t>PARALLEL</t>
  </si>
  <si>
    <t>PARAMETER</t>
  </si>
  <si>
    <t>PARSER</t>
  </si>
  <si>
    <t>PARTIAL</t>
  </si>
  <si>
    <t>PARTITION</t>
  </si>
  <si>
    <t>PASSING</t>
  </si>
  <si>
    <t>PLACING</t>
  </si>
  <si>
    <t>PLANS</t>
  </si>
  <si>
    <t>POLICY</t>
  </si>
  <si>
    <t>PRECEDING</t>
  </si>
  <si>
    <t>PREPARE</t>
  </si>
  <si>
    <t>PREPARED</t>
  </si>
  <si>
    <t>PRESERVE</t>
  </si>
  <si>
    <t>PRIOR</t>
  </si>
  <si>
    <t>PROCEDURAL</t>
  </si>
  <si>
    <t>PROCEDURES</t>
  </si>
  <si>
    <t>PROGRAM</t>
  </si>
  <si>
    <t>PUBLICATION</t>
  </si>
  <si>
    <t>RANGE</t>
  </si>
  <si>
    <t>REASSIGN</t>
  </si>
  <si>
    <t>RECHECK</t>
  </si>
  <si>
    <t>RECURSIVE</t>
  </si>
  <si>
    <t>REF</t>
  </si>
  <si>
    <t>REFERENCING</t>
  </si>
  <si>
    <t>REFRESH</t>
  </si>
  <si>
    <t>REINDEX</t>
  </si>
  <si>
    <t>RELATIVE</t>
  </si>
  <si>
    <t>RELEASE</t>
  </si>
  <si>
    <t>REPEATABLE</t>
  </si>
  <si>
    <t>REPLICA</t>
  </si>
  <si>
    <t>RESET</t>
  </si>
  <si>
    <t>RESTART</t>
  </si>
  <si>
    <t>RETURNING</t>
  </si>
  <si>
    <t>RETURNS</t>
  </si>
  <si>
    <t>ROLE</t>
  </si>
  <si>
    <t>ROLLBACK</t>
  </si>
  <si>
    <t>ROLLUP</t>
  </si>
  <si>
    <t>ROUTINE</t>
  </si>
  <si>
    <t>ROUTINES</t>
  </si>
  <si>
    <t>ROW</t>
  </si>
  <si>
    <t>ROWS</t>
  </si>
  <si>
    <t>RULE</t>
  </si>
  <si>
    <t>SAVEPOINT</t>
  </si>
  <si>
    <t>SCROLL</t>
  </si>
  <si>
    <t>SEARCH</t>
  </si>
  <si>
    <t>SECURITY</t>
  </si>
  <si>
    <t>SEQUENCE</t>
  </si>
  <si>
    <t>SEQUENCES</t>
  </si>
  <si>
    <t>SERIALIZABLE</t>
  </si>
  <si>
    <t>SERVER</t>
  </si>
  <si>
    <t>SESSION</t>
  </si>
  <si>
    <t>SETOF</t>
  </si>
  <si>
    <t>SETS</t>
  </si>
  <si>
    <t>SHARE</t>
  </si>
  <si>
    <t>SIMILAR</t>
  </si>
  <si>
    <t>SIMPLE</t>
  </si>
  <si>
    <t>SKIP</t>
  </si>
  <si>
    <t>SNAPSHOT</t>
  </si>
  <si>
    <t>STABLE</t>
  </si>
  <si>
    <t>STANDALONE</t>
  </si>
  <si>
    <t>START</t>
  </si>
  <si>
    <t>STATEMENT</t>
  </si>
  <si>
    <t>STATISTICS</t>
  </si>
  <si>
    <t>STDIN</t>
  </si>
  <si>
    <t>STDOUT</t>
  </si>
  <si>
    <t>STORAGE</t>
  </si>
  <si>
    <t>STORED</t>
  </si>
  <si>
    <t>STRICT</t>
  </si>
  <si>
    <t>STRIP</t>
  </si>
  <si>
    <t>SUBSCRIPTION</t>
  </si>
  <si>
    <t>SUPPORT</t>
  </si>
  <si>
    <t>SYMMETRIC</t>
  </si>
  <si>
    <t>SYSID</t>
  </si>
  <si>
    <t>SYSTEM</t>
  </si>
  <si>
    <t>TABLESAMPLE</t>
  </si>
  <si>
    <t>TABLESPACE</t>
  </si>
  <si>
    <t>TEMP</t>
  </si>
  <si>
    <t>TEMPLATE</t>
  </si>
  <si>
    <t>TEXT</t>
  </si>
  <si>
    <t>TIES</t>
  </si>
  <si>
    <t>TRANSACTION</t>
  </si>
  <si>
    <t>TRANSFORM</t>
  </si>
  <si>
    <t>TREAT</t>
  </si>
  <si>
    <t>TRIGGER</t>
  </si>
  <si>
    <t>TRUE</t>
  </si>
  <si>
    <t>TRUSTED</t>
  </si>
  <si>
    <t>TYPE</t>
  </si>
  <si>
    <t>TYPES</t>
  </si>
  <si>
    <t>UESCAPE</t>
  </si>
  <si>
    <t>UNBOUNDED</t>
  </si>
  <si>
    <t>UNCOMMITTED</t>
  </si>
  <si>
    <t>UNENCRYPTED</t>
  </si>
  <si>
    <t>UNKNOWN</t>
  </si>
  <si>
    <t>UNLISTEN</t>
  </si>
  <si>
    <t>UNLOGGED</t>
  </si>
  <si>
    <t>UNTIL</t>
  </si>
  <si>
    <t>VACUUM</t>
  </si>
  <si>
    <t>VALID</t>
  </si>
  <si>
    <t>VALIDATE</t>
  </si>
  <si>
    <t>VALIDATOR</t>
  </si>
  <si>
    <t>VALUE</t>
  </si>
  <si>
    <t>VARIADIC</t>
  </si>
  <si>
    <t>VERBOSE</t>
  </si>
  <si>
    <t>VIEW</t>
  </si>
  <si>
    <t>VIEWS</t>
  </si>
  <si>
    <t>VOLATILE</t>
  </si>
  <si>
    <t>WHITESPACE</t>
  </si>
  <si>
    <t>WINDOW</t>
  </si>
  <si>
    <t>WITHIN</t>
  </si>
  <si>
    <t>WITHOUT</t>
  </si>
  <si>
    <t>WORK</t>
  </si>
  <si>
    <t>WRAPPER</t>
  </si>
  <si>
    <t>XML</t>
  </si>
  <si>
    <t>XMLATTRIBUTES</t>
  </si>
  <si>
    <t>XMLCONCAT</t>
  </si>
  <si>
    <t>XMLELEMENT</t>
  </si>
  <si>
    <t>XMLEXISTS</t>
  </si>
  <si>
    <t>XMLFOREST</t>
  </si>
  <si>
    <t>XMLNAMESPACES</t>
  </si>
  <si>
    <t>XMLPARSE</t>
  </si>
  <si>
    <t>XMLPI</t>
  </si>
  <si>
    <t>XMLROOT</t>
  </si>
  <si>
    <t>XMLSERIALIZE</t>
  </si>
  <si>
    <t>XMLTABLE</t>
  </si>
  <si>
    <t>YES</t>
  </si>
  <si>
    <t>ZONE</t>
  </si>
  <si>
    <t>ACCENT</t>
  </si>
  <si>
    <t>ACOSH</t>
  </si>
  <si>
    <t>ACTIVE</t>
  </si>
  <si>
    <t>ASCENDING</t>
  </si>
  <si>
    <t>ASCII_CHAR</t>
  </si>
  <si>
    <t>ASCII_VAL</t>
  </si>
  <si>
    <t>ASINH</t>
  </si>
  <si>
    <t>ATAN2</t>
  </si>
  <si>
    <t>ATANH</t>
  </si>
  <si>
    <t>AUTO</t>
  </si>
  <si>
    <t>AUTONOMOUS</t>
  </si>
  <si>
    <t>BACKUP</t>
  </si>
  <si>
    <t>BASE64_DECODE</t>
  </si>
  <si>
    <t>BASE64_ENCODE</t>
  </si>
  <si>
    <t>BIN_COMPLEMENT_GTR</t>
  </si>
  <si>
    <t>BIN_COMPLIMENT_LSS</t>
  </si>
  <si>
    <t>BIN_NOT</t>
  </si>
  <si>
    <t>BIN_OPR_COMPLEMENT</t>
  </si>
  <si>
    <t>BIN_OPR_XOR</t>
  </si>
  <si>
    <t>BIN_SHL</t>
  </si>
  <si>
    <t>BIN_SHR</t>
  </si>
  <si>
    <t>BIN_XOR_GTR</t>
  </si>
  <si>
    <t>BIN_XOR_LSS</t>
  </si>
  <si>
    <t>BIND</t>
  </si>
  <si>
    <t>BIND_PARAM</t>
  </si>
  <si>
    <t>BIT_LENGTH</t>
  </si>
  <si>
    <t>BLOB_APPEND</t>
  </si>
  <si>
    <t>BLOCK</t>
  </si>
  <si>
    <t>BODY</t>
  </si>
  <si>
    <t>BREAK</t>
  </si>
  <si>
    <t>CALLER</t>
  </si>
  <si>
    <t>CEIL</t>
  </si>
  <si>
    <t>CHAR_TO_UUID</t>
  </si>
  <si>
    <t>CLEAR</t>
  </si>
  <si>
    <t>COMMA</t>
  </si>
  <si>
    <t>COMMON</t>
  </si>
  <si>
    <t>COMPARE_DECFLOAT</t>
  </si>
  <si>
    <t>COMPUTED</t>
  </si>
  <si>
    <t>CONCATENATE</t>
  </si>
  <si>
    <t>CONDITIONAL</t>
  </si>
  <si>
    <t>CONNECT</t>
  </si>
  <si>
    <t>CONNECTIONS</t>
  </si>
  <si>
    <t>CONSISTENCY</t>
  </si>
  <si>
    <t>CONTAINING</t>
  </si>
  <si>
    <t>CORR</t>
  </si>
  <si>
    <t>COSH</t>
  </si>
  <si>
    <t>COUNTER</t>
  </si>
  <si>
    <t>COVAR_POP</t>
  </si>
  <si>
    <t>COVAR_SAMP</t>
  </si>
  <si>
    <t>CRYPT_HASH</t>
  </si>
  <si>
    <t>CSTRING</t>
  </si>
  <si>
    <t>CTR_BIG_ENDIAN</t>
  </si>
  <si>
    <t>CTR_LENGTH</t>
  </si>
  <si>
    <t>CTR_LITTLE_ENDIAN</t>
  </si>
  <si>
    <t>CUME_DIST</t>
  </si>
  <si>
    <t>CURRENT_CONNECTION</t>
  </si>
  <si>
    <t>CURRENT_TRANSACTION</t>
  </si>
  <si>
    <t>DATE</t>
  </si>
  <si>
    <t>DATEADD</t>
  </si>
  <si>
    <t>DATEDIFF</t>
  </si>
  <si>
    <t>DB_KEY</t>
  </si>
  <si>
    <t>DDL</t>
  </si>
  <si>
    <t>DEBUG</t>
  </si>
  <si>
    <t>DECFLOAT</t>
  </si>
  <si>
    <t>DECIMAL_NUMBER</t>
  </si>
  <si>
    <t>DECRYPT</t>
  </si>
  <si>
    <t>DELETING</t>
  </si>
  <si>
    <t>DENSE_RANK</t>
  </si>
  <si>
    <t>DESCENDING</t>
  </si>
  <si>
    <t>DESCRIPTOR</t>
  </si>
  <si>
    <t>DIFFERENCE</t>
  </si>
  <si>
    <t>DISCONNECT</t>
  </si>
  <si>
    <t>ENGINE</t>
  </si>
  <si>
    <t>ENTRY_POINT</t>
  </si>
  <si>
    <t>EXCEPTION</t>
  </si>
  <si>
    <t>EXCESS</t>
  </si>
  <si>
    <t>EXTENDED</t>
  </si>
  <si>
    <t>FILE</t>
  </si>
  <si>
    <t>FIRST_DAY</t>
  </si>
  <si>
    <t>FIRST_VALUE</t>
  </si>
  <si>
    <t>FIRSTNAME</t>
  </si>
  <si>
    <t>FLOAT_NUMBER</t>
  </si>
  <si>
    <t>FREE_IT</t>
  </si>
  <si>
    <t>GDSCODE</t>
  </si>
  <si>
    <t>GEN_ID</t>
  </si>
  <si>
    <t>GEN_UUID</t>
  </si>
  <si>
    <t>GENERATOR</t>
  </si>
  <si>
    <t>GEQ</t>
  </si>
  <si>
    <t>HASH</t>
  </si>
  <si>
    <t>HEX_DECODE</t>
  </si>
  <si>
    <t>HEX_ENCODE</t>
  </si>
  <si>
    <t>IDLE</t>
  </si>
  <si>
    <t>IIF</t>
  </si>
  <si>
    <t>INACTIVE</t>
  </si>
  <si>
    <t>INPUT_TYPE</t>
  </si>
  <si>
    <t>INSERTING</t>
  </si>
  <si>
    <t>INT128</t>
  </si>
  <si>
    <t>INTRODUCER</t>
  </si>
  <si>
    <t>IV</t>
  </si>
  <si>
    <t>LAG</t>
  </si>
  <si>
    <t>LAST_VALUE</t>
  </si>
  <si>
    <t>LASTNAME</t>
  </si>
  <si>
    <t>LEAD</t>
  </si>
  <si>
    <t>LEGACY</t>
  </si>
  <si>
    <t>LEQ</t>
  </si>
  <si>
    <t>LIFETIME</t>
  </si>
  <si>
    <t>LIMBO</t>
  </si>
  <si>
    <t>LIMIT64_INT</t>
  </si>
  <si>
    <t>LIMIT64_NUMBER</t>
  </si>
  <si>
    <t>LINGER</t>
  </si>
  <si>
    <t>LIST</t>
  </si>
  <si>
    <t>LPARAM</t>
  </si>
  <si>
    <t>MAKE_DBKEY</t>
  </si>
  <si>
    <t>MANUAL</t>
  </si>
  <si>
    <t>MATCHING</t>
  </si>
  <si>
    <t>MAXIMUM</t>
  </si>
  <si>
    <t>MESSAGE</t>
  </si>
  <si>
    <t>MIDDLENAME</t>
  </si>
  <si>
    <t>MILLISECOND</t>
  </si>
  <si>
    <t>MINIMUM</t>
  </si>
  <si>
    <t>MODULE_NAME</t>
  </si>
  <si>
    <t>NATIVE</t>
  </si>
  <si>
    <t>NEQ</t>
  </si>
  <si>
    <t>NORMALIZE_DECFLOAT</t>
  </si>
  <si>
    <t>NOT_GTR</t>
  </si>
  <si>
    <t>NOT_GTR_LSS</t>
  </si>
  <si>
    <t>NOT_LSS</t>
  </si>
  <si>
    <t>NTH_VALUE</t>
  </si>
  <si>
    <t>NTILE</t>
  </si>
  <si>
    <t>NUM126</t>
  </si>
  <si>
    <t>NUMBER</t>
  </si>
  <si>
    <t>NUMBER32BIT</t>
  </si>
  <si>
    <t>NUMBER64BIT</t>
  </si>
  <si>
    <t>OLDEST</t>
  </si>
  <si>
    <t>OPEN</t>
  </si>
  <si>
    <t>OPR_GTR</t>
  </si>
  <si>
    <t>OPR_LSS</t>
  </si>
  <si>
    <t>OS_NAME</t>
  </si>
  <si>
    <t>OUTPUT_TYPE</t>
  </si>
  <si>
    <t>OVERFLOW</t>
  </si>
  <si>
    <t>PACKAGE</t>
  </si>
  <si>
    <t>PAD</t>
  </si>
  <si>
    <t>PAGE</t>
  </si>
  <si>
    <t>PAGE_SIZE</t>
  </si>
  <si>
    <t>PAGES</t>
  </si>
  <si>
    <t>PAREN_CLOSE</t>
  </si>
  <si>
    <t>PAREN_OPEN</t>
  </si>
  <si>
    <t>PERCENT_RANK</t>
  </si>
  <si>
    <t>PKCS_1_5</t>
  </si>
  <si>
    <t>PLAN</t>
  </si>
  <si>
    <t>PLUGIN</t>
  </si>
  <si>
    <t>POOL</t>
  </si>
  <si>
    <t>POST_EVENT</t>
  </si>
  <si>
    <t>PRIVILEGE</t>
  </si>
  <si>
    <t>PROTECTED</t>
  </si>
  <si>
    <t>QUANTIZE</t>
  </si>
  <si>
    <t>RANK</t>
  </si>
  <si>
    <t>RDB_ERROR</t>
  </si>
  <si>
    <t>RDB_GET_CONTEXT</t>
  </si>
  <si>
    <t>RDB_GET_TRANSACTION_CN</t>
  </si>
  <si>
    <t>RDB_RECORD_VERSION</t>
  </si>
  <si>
    <t>RDB_ROLE_IN_USE</t>
  </si>
  <si>
    <t>RDB_SET_CONTEXT</t>
  </si>
  <si>
    <t>RDB_SYSTEM_PRIVILEGE</t>
  </si>
  <si>
    <t>RECREATE</t>
  </si>
  <si>
    <t>REGR_AVGX</t>
  </si>
  <si>
    <t>REGR_AVGY</t>
  </si>
  <si>
    <t>REGR_COUNT</t>
  </si>
  <si>
    <t>REGR_INTERCEPT</t>
  </si>
  <si>
    <t>REGR_R2</t>
  </si>
  <si>
    <t>REGR_SLOPE</t>
  </si>
  <si>
    <t>REGR_SXX</t>
  </si>
  <si>
    <t>REGR_SXY</t>
  </si>
  <si>
    <t>REGR_SYY</t>
  </si>
  <si>
    <t>REQUESTS</t>
  </si>
  <si>
    <t>RESERVING</t>
  </si>
  <si>
    <t>RESETTING</t>
  </si>
  <si>
    <t>RETAIN</t>
  </si>
  <si>
    <t>RETURNING_VALUES</t>
  </si>
  <si>
    <t>ROW_NUMBER</t>
  </si>
  <si>
    <t>RSA_DECRYPT</t>
  </si>
  <si>
    <t>RSA_ENCRYPT</t>
  </si>
  <si>
    <t>RSA_PRIVATE</t>
  </si>
  <si>
    <t>RSA_PUBLIC</t>
  </si>
  <si>
    <t>RSA_SIGN_HASH</t>
  </si>
  <si>
    <t>RSA_VERIFY_HASH</t>
  </si>
  <si>
    <t>SALT_LENGTH</t>
  </si>
  <si>
    <t>SCALAR_ARRAY</t>
  </si>
  <si>
    <t>SCALEDINT</t>
  </si>
  <si>
    <t>SEGMENT</t>
  </si>
  <si>
    <t>SERVERWIDE</t>
  </si>
  <si>
    <t>SHADOW</t>
  </si>
  <si>
    <t>SHARED</t>
  </si>
  <si>
    <t>SIGNATURE</t>
  </si>
  <si>
    <t>SIN</t>
  </si>
  <si>
    <t>SINGULAR</t>
  </si>
  <si>
    <t>SINH</t>
  </si>
  <si>
    <t>SIZE</t>
  </si>
  <si>
    <t>SORT</t>
  </si>
  <si>
    <t>SOURCE</t>
  </si>
  <si>
    <t>SQLCODE</t>
  </si>
  <si>
    <t>STABILITY</t>
  </si>
  <si>
    <t>STARTS</t>
  </si>
  <si>
    <t>STRING</t>
  </si>
  <si>
    <t>SUB_TYPE</t>
  </si>
  <si>
    <t>SUSPEND</t>
  </si>
  <si>
    <t>SYMBOL</t>
  </si>
  <si>
    <t>TAGS</t>
  </si>
  <si>
    <t>TANH</t>
  </si>
  <si>
    <t>TARGET</t>
  </si>
  <si>
    <t>TIMEOUT</t>
  </si>
  <si>
    <t>TIMEZONE_HOUR</t>
  </si>
  <si>
    <t>TIMEZONE_MINUTE</t>
  </si>
  <si>
    <t>TIMEZONE_NAME</t>
  </si>
  <si>
    <t>TOTALORDER</t>
  </si>
  <si>
    <t>TRAPS</t>
  </si>
  <si>
    <t>TRUNC</t>
  </si>
  <si>
    <t>TWO_PHASE</t>
  </si>
  <si>
    <t>UMINUS</t>
  </si>
  <si>
    <t>UNICODE_CHAR</t>
  </si>
  <si>
    <t>UNICODE_VAL</t>
  </si>
  <si>
    <t>UPDATING</t>
  </si>
  <si>
    <t>UPLUS</t>
  </si>
  <si>
    <t>UUID_TO_CHAR</t>
  </si>
  <si>
    <t>VARIABLE</t>
  </si>
  <si>
    <t>VOID</t>
  </si>
  <si>
    <t>WAIT</t>
  </si>
  <si>
    <t>YEARDAY</t>
  </si>
  <si>
    <t>YYERRCODE</t>
  </si>
  <si>
    <t>BIT_XOR</t>
  </si>
  <si>
    <t>FINAL TYPE</t>
  </si>
  <si>
    <t>FINAL LABEL</t>
  </si>
  <si>
    <t>GramVals</t>
  </si>
  <si>
    <t>GramKeys</t>
  </si>
  <si>
    <t>TOK_OPR_EQ</t>
  </si>
  <si>
    <t>OPR_EQ</t>
  </si>
  <si>
    <t/>
  </si>
  <si>
    <t>GramTokens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</si>
</sst>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49" fontId="0" fillId="0" borderId="0" xfId="0" quotePrefix="1" applyNumberFormat="1"/>
    <xf numFmtId="49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F561-E212-4BD7-8584-E5D300DA78DF}">
  <dimension ref="A1:S531"/>
  <sheetViews>
    <sheetView tabSelected="1" topLeftCell="J182" workbookViewId="0">
      <selection activeCell="S190" sqref="S190"/>
    </sheetView>
  </sheetViews>
  <sheetFormatPr defaultRowHeight="15" x14ac:dyDescent="0.25"/>
  <cols>
    <col min="1" max="1" width="26.28515625" style="3" customWidth="1"/>
    <col min="2" max="2" width="9.42578125" style="5" customWidth="1"/>
    <col min="3" max="3" width="17.5703125" style="3" customWidth="1"/>
    <col min="4" max="4" width="8.5703125" style="3" customWidth="1"/>
    <col min="5" max="5" width="18.28515625" customWidth="1"/>
    <col min="6" max="6" width="17.5703125" customWidth="1"/>
    <col min="7" max="8" width="16.42578125" customWidth="1"/>
    <col min="9" max="9" width="20" style="3" bestFit="1" customWidth="1"/>
    <col min="10" max="11" width="13.5703125" customWidth="1"/>
    <col min="12" max="15" width="13.7109375" customWidth="1"/>
    <col min="16" max="16" width="21.140625" customWidth="1"/>
    <col min="17" max="17" width="43.42578125" customWidth="1"/>
    <col min="18" max="18" width="37.28515625" customWidth="1"/>
    <col min="19" max="19" width="69.140625" customWidth="1"/>
  </cols>
  <sheetData>
    <row r="1" spans="1:19" x14ac:dyDescent="0.25">
      <c r="I1" s="3" t="s">
        <v>3301</v>
      </c>
      <c r="J1" t="s">
        <v>3302</v>
      </c>
      <c r="K1" t="s">
        <v>3851</v>
      </c>
      <c r="L1" t="s">
        <v>3306</v>
      </c>
      <c r="M1" t="s">
        <v>3307</v>
      </c>
      <c r="N1" t="s">
        <v>3309</v>
      </c>
      <c r="O1" t="s">
        <v>3310</v>
      </c>
      <c r="P1" t="s">
        <v>3850</v>
      </c>
      <c r="Q1" t="s">
        <v>3852</v>
      </c>
      <c r="R1" t="s">
        <v>3853</v>
      </c>
      <c r="S1" t="s">
        <v>3857</v>
      </c>
    </row>
    <row r="3" spans="1:19" x14ac:dyDescent="0.25">
      <c r="A3" s="3" t="s">
        <v>1383</v>
      </c>
      <c r="B3" s="5">
        <v>525</v>
      </c>
      <c r="C3" s="3" t="s">
        <v>1895</v>
      </c>
      <c r="D3" s="3" t="s">
        <v>2423</v>
      </c>
      <c r="F3" t="str">
        <f>MID(A3,5,99)</f>
        <v>ABS</v>
      </c>
      <c r="G3" t="s">
        <v>3313</v>
      </c>
      <c r="I3" s="3" t="str">
        <f>IF(_xlfn.XLOOKUP(F3,PgSqlRaw!B:B,PgSqlRaw!E:E,"") = "",_xlfn.XLOOKUP(G3,PgSqlRaw!B:B,PgSqlRaw!E:E,""),_xlfn.XLOOKUP(F3,PgSqlRaw!B:B,PgSqlRaw!E:E,""))</f>
        <v/>
      </c>
      <c r="J3" t="str">
        <f>IF(_xlfn.XLOOKUP(F3,PgSqlRaw!B:B,PgSqlRaw!F:F,"") = "", _xlfn.XLOOKUP(G3,PgSqlRaw!B:B,PgSqlRaw!F:F,""), _xlfn.XLOOKUP(F3,PgSqlRaw!B:B,PgSqlRaw!F:F,""))</f>
        <v>BARE_LABEL</v>
      </c>
      <c r="K3" t="str">
        <f>IF(J3 = "", "BARE_LABEL", J3)</f>
        <v>BARE_LABEL</v>
      </c>
      <c r="L3" t="str">
        <f>IF(_xlfn.XLOOKUP(F3,PhpReserved!A:A,PhpReserved!B:B,"") = "", _xlfn.XLOOKUP(G3,PhpReserved!A:A,PhpReserved!B:B,""),_xlfn.XLOOKUP(F3,PhpReserved!A:A,PhpReserved!B:B,""))</f>
        <v>RESERVED</v>
      </c>
      <c r="M3" t="str">
        <f>IF(_xlfn.XLOOKUP(F3,PhpFunctions!A:A,PhpFunctions!B:B,"") =  "", _xlfn.XLOOKUP(G3,PhpFunctions!A:A,PhpFunctions!B:B,""), _xlfn.XLOOKUP(F3,PhpFunctions!A:A,PhpFunctions!B:B,""))</f>
        <v>FUNCTION</v>
      </c>
      <c r="N3" t="str">
        <f>IF(_xlfn.XLOOKUP(F3,PhpParamFunc!A:A,PhpParamFunc!B:B,"") = "", _xlfn.XLOOKUP(G3,PhpParamFunc!A:A,PhpParamFunc!B:B,""), _xlfn.XLOOKUP(F3,PhpParamFunc!A:A,PhpParamFunc!B:B,""))</f>
        <v/>
      </c>
      <c r="O3" t="str">
        <f>IF(_xlfn.XLOOKUP(F3,PhpAggrFunc!A:A,PhpAggrFunc!B:B,"") = "", _xlfn.XLOOKUP(G3,PhpAggrFunc!A:A,PhpAggrFunc!B:B,""), _xlfn.XLOOKUP(F3,PhpAggrFunc!A:A,PhpAggrFunc!B:B,""))</f>
        <v/>
      </c>
      <c r="P3" t="str">
        <f>IF(O3 = "",IF(N3 = "", IF(M3 = "", IF(L3 = "", IF(I3 = "",IF(E3 = "","UNRESERVED",E3),I3),L3),M3),N3),O3)</f>
        <v>FUNCTION</v>
      </c>
      <c r="Q3" t="str">
        <f>_xlfn.CONCAT("static const String^ ", A3, " = ", C3, ";")</f>
        <v>static const String^ TOK_ABS = "ABS";</v>
      </c>
      <c r="R3" t="str">
        <f>_xlfn.CONCAT("static const int ", A3, " = ", B3, ";")</f>
        <v>static const int TOK_ABS = 525;</v>
      </c>
      <c r="S3" t="str">
        <f>_xlfn.CONCAT(IF(P3 = "UNRESERVED", "// ", ""),"_Tokens-&gt;Add((String^)GramVals::", A3, ", gcnew Token(GramKeys::", A3, ", EnumTokenCategory::", P3, ",",K3, ", i++));")</f>
        <v>_Tokens-&gt;Add((String^)GramVals::TOK_ABS, gcnew Token(GramKeys::TOK_ABS, EnumTokenCategory::FUNCTION,BARE_LABEL, i++));</v>
      </c>
    </row>
    <row r="4" spans="1:19" x14ac:dyDescent="0.25">
      <c r="A4" s="3" t="s">
        <v>1384</v>
      </c>
      <c r="B4" s="5" t="s">
        <v>988</v>
      </c>
      <c r="C4" s="3" t="s">
        <v>1896</v>
      </c>
      <c r="D4" s="3" t="s">
        <v>2423</v>
      </c>
      <c r="F4" t="str">
        <f t="shared" ref="F4:F67" si="0">MID(A4,5,99)</f>
        <v>ABSOLUTE</v>
      </c>
      <c r="G4" t="s">
        <v>2884</v>
      </c>
      <c r="I4" s="3" t="str">
        <f>IF(_xlfn.XLOOKUP(F4,PgSqlRaw!B:B,PgSqlRaw!E:E,"") = "",_xlfn.XLOOKUP(G4,PgSqlRaw!B:B,PgSqlRaw!E:E,""),_xlfn.XLOOKUP(F4,PgSqlRaw!B:B,PgSqlRaw!E:E,""))</f>
        <v/>
      </c>
      <c r="J4" t="str">
        <f>IF(_xlfn.XLOOKUP(F4,PgSqlRaw!B:B,PgSqlRaw!F:F,"") = "", _xlfn.XLOOKUP(G4,PgSqlRaw!B:B,PgSqlRaw!F:F,""), _xlfn.XLOOKUP(F4,PgSqlRaw!B:B,PgSqlRaw!F:F,""))</f>
        <v>BARE_LABEL</v>
      </c>
      <c r="K4" t="str">
        <f t="shared" ref="K4:K67" si="1">IF(J4 = "", "BARE_LABEL", J4)</f>
        <v>BARE_LABEL</v>
      </c>
      <c r="L4" t="str">
        <f>IF(_xlfn.XLOOKUP(F4,PhpReserved!A:A,PhpReserved!B:B,"") = "", _xlfn.XLOOKUP(G4,PhpReserved!A:A,PhpReserved!B:B,""),_xlfn.XLOOKUP(F4,PhpReserved!A:A,PhpReserved!B:B,""))</f>
        <v>RESERVED</v>
      </c>
      <c r="M4" t="str">
        <f>IF(_xlfn.XLOOKUP(F4,PhpFunctions!A:A,PhpFunctions!B:B,"") =  "", _xlfn.XLOOKUP(G4,PhpFunctions!A:A,PhpFunctions!B:B,""), _xlfn.XLOOKUP(F4,PhpFunctions!A:A,PhpFunctions!B:B,""))</f>
        <v>FUNCTION</v>
      </c>
      <c r="N4" t="str">
        <f>IF(_xlfn.XLOOKUP(F4,PhpParamFunc!A:A,PhpParamFunc!B:B,"") = "", _xlfn.XLOOKUP(G4,PhpParamFunc!A:A,PhpParamFunc!B:B,""), _xlfn.XLOOKUP(F4,PhpParamFunc!A:A,PhpParamFunc!B:B,""))</f>
        <v/>
      </c>
      <c r="O4" t="str">
        <f>IF(_xlfn.XLOOKUP(F4,PhpAggrFunc!A:A,PhpAggrFunc!B:B,"") = "", _xlfn.XLOOKUP(G4,PhpAggrFunc!A:A,PhpAggrFunc!B:B,""), _xlfn.XLOOKUP(F4,PhpAggrFunc!A:A,PhpAggrFunc!B:B,""))</f>
        <v/>
      </c>
      <c r="P4" t="str">
        <f t="shared" ref="P4:P67" si="2">IF(O4 = "",IF(N4 = "", IF(M4 = "", IF(L4 = "", IF(I4 = "",IF(E4 = "","UNRESERVED",E4),I4),L4),M4),N4),O4)</f>
        <v>FUNCTION</v>
      </c>
      <c r="Q4" t="str">
        <f t="shared" ref="Q4:Q67" si="3">_xlfn.CONCAT("static const String^ ", A4, " = ", C4, ";")</f>
        <v>static const String^ TOK_ABSOLUTE = "ABSOLUTE";</v>
      </c>
      <c r="R4" t="str">
        <f t="shared" ref="R4:R67" si="4">_xlfn.CONCAT("static const int ", A4, " = ", B4, ";")</f>
        <v>static const int TOK_ABSOLUTE = 621;</v>
      </c>
      <c r="S4" t="str">
        <f t="shared" ref="S4:S67" si="5">_xlfn.CONCAT(IF(P4 = "UNRESERVED", "// ", ""),"_Tokens-&gt;Add((String^)GramVals::", A4, ", gcnew Token(GramKeys::", A4, ", EnumTokenCategory::", P4, ",",K4, ", i++));")</f>
        <v>_Tokens-&gt;Add((String^)GramVals::TOK_ABSOLUTE, gcnew Token(GramKeys::TOK_ABSOLUTE, EnumTokenCategory::FUNCTION,BARE_LABEL, i++));</v>
      </c>
    </row>
    <row r="5" spans="1:19" x14ac:dyDescent="0.25">
      <c r="A5" s="3" t="s">
        <v>1385</v>
      </c>
      <c r="B5" s="5" t="s">
        <v>989</v>
      </c>
      <c r="C5" s="3" t="s">
        <v>1897</v>
      </c>
      <c r="D5" s="3" t="s">
        <v>2423</v>
      </c>
      <c r="F5" t="str">
        <f t="shared" si="0"/>
        <v>ACCENT</v>
      </c>
      <c r="G5" t="s">
        <v>3620</v>
      </c>
      <c r="I5" s="3" t="str">
        <f>IF(_xlfn.XLOOKUP(F5,PgSqlRaw!B:B,PgSqlRaw!E:E,"") = "",_xlfn.XLOOKUP(G5,PgSqlRaw!B:B,PgSqlRaw!E:E,""),_xlfn.XLOOKUP(F5,PgSqlRaw!B:B,PgSqlRaw!E:E,""))</f>
        <v/>
      </c>
      <c r="J5" t="str">
        <f>IF(_xlfn.XLOOKUP(F5,PgSqlRaw!B:B,PgSqlRaw!F:F,"") = "", _xlfn.XLOOKUP(G5,PgSqlRaw!B:B,PgSqlRaw!F:F,""), _xlfn.XLOOKUP(F5,PgSqlRaw!B:B,PgSqlRaw!F:F,""))</f>
        <v/>
      </c>
      <c r="K5" t="str">
        <f t="shared" si="1"/>
        <v>BARE_LABEL</v>
      </c>
      <c r="L5" t="str">
        <f>IF(_xlfn.XLOOKUP(F5,PhpReserved!A:A,PhpReserved!B:B,"") = "", _xlfn.XLOOKUP(G5,PhpReserved!A:A,PhpReserved!B:B,""),_xlfn.XLOOKUP(F5,PhpReserved!A:A,PhpReserved!B:B,""))</f>
        <v/>
      </c>
      <c r="M5" t="str">
        <f>IF(_xlfn.XLOOKUP(F5,PhpFunctions!A:A,PhpFunctions!B:B,"") =  "", _xlfn.XLOOKUP(G5,PhpFunctions!A:A,PhpFunctions!B:B,""), _xlfn.XLOOKUP(F5,PhpFunctions!A:A,PhpFunctions!B:B,""))</f>
        <v/>
      </c>
      <c r="N5" t="str">
        <f>IF(_xlfn.XLOOKUP(F5,PhpParamFunc!A:A,PhpParamFunc!B:B,"") = "", _xlfn.XLOOKUP(G5,PhpParamFunc!A:A,PhpParamFunc!B:B,""), _xlfn.XLOOKUP(F5,PhpParamFunc!A:A,PhpParamFunc!B:B,""))</f>
        <v/>
      </c>
      <c r="O5" t="str">
        <f>IF(_xlfn.XLOOKUP(F5,PhpAggrFunc!A:A,PhpAggrFunc!B:B,"") = "", _xlfn.XLOOKUP(G5,PhpAggrFunc!A:A,PhpAggrFunc!B:B,""), _xlfn.XLOOKUP(F5,PhpAggrFunc!A:A,PhpAggrFunc!B:B,""))</f>
        <v/>
      </c>
      <c r="P5" t="str">
        <f t="shared" si="2"/>
        <v>UNRESERVED</v>
      </c>
      <c r="Q5" t="str">
        <f t="shared" si="3"/>
        <v>static const String^ TOK_ACCENT = "ACCENT";</v>
      </c>
      <c r="R5" t="str">
        <f t="shared" si="4"/>
        <v>static const int TOK_ACCENT = 526;</v>
      </c>
      <c r="S5" t="str">
        <f t="shared" si="5"/>
        <v>// _Tokens-&gt;Add((String^)GramVals::TOK_ACCENT, gcnew Token(GramKeys::TOK_ACCENT, EnumTokenCategory::UNRESERVED,BARE_LABEL, i++));</v>
      </c>
    </row>
    <row r="6" spans="1:19" x14ac:dyDescent="0.25">
      <c r="A6" s="3" t="s">
        <v>1386</v>
      </c>
      <c r="B6" s="5" t="s">
        <v>990</v>
      </c>
      <c r="C6" s="3" t="s">
        <v>1898</v>
      </c>
      <c r="D6" s="3" t="s">
        <v>2423</v>
      </c>
      <c r="F6" t="str">
        <f t="shared" si="0"/>
        <v>ACOS</v>
      </c>
      <c r="G6" t="s">
        <v>2885</v>
      </c>
      <c r="I6" s="3" t="str">
        <f>IF(_xlfn.XLOOKUP(F6,PgSqlRaw!B:B,PgSqlRaw!E:E,"") = "",_xlfn.XLOOKUP(G6,PgSqlRaw!B:B,PgSqlRaw!E:E,""),_xlfn.XLOOKUP(F6,PgSqlRaw!B:B,PgSqlRaw!E:E,""))</f>
        <v/>
      </c>
      <c r="J6" t="str">
        <f>IF(_xlfn.XLOOKUP(F6,PgSqlRaw!B:B,PgSqlRaw!F:F,"") = "", _xlfn.XLOOKUP(G6,PgSqlRaw!B:B,PgSqlRaw!F:F,""), _xlfn.XLOOKUP(F6,PgSqlRaw!B:B,PgSqlRaw!F:F,""))</f>
        <v/>
      </c>
      <c r="K6" t="str">
        <f t="shared" si="1"/>
        <v>BARE_LABEL</v>
      </c>
      <c r="L6" t="str">
        <f>IF(_xlfn.XLOOKUP(F6,PhpReserved!A:A,PhpReserved!B:B,"") = "", _xlfn.XLOOKUP(G6,PhpReserved!A:A,PhpReserved!B:B,""),_xlfn.XLOOKUP(F6,PhpReserved!A:A,PhpReserved!B:B,""))</f>
        <v>RESERVED</v>
      </c>
      <c r="M6" t="str">
        <f>IF(_xlfn.XLOOKUP(F6,PhpFunctions!A:A,PhpFunctions!B:B,"") =  "", _xlfn.XLOOKUP(G6,PhpFunctions!A:A,PhpFunctions!B:B,""), _xlfn.XLOOKUP(F6,PhpFunctions!A:A,PhpFunctions!B:B,""))</f>
        <v>FUNCTION</v>
      </c>
      <c r="N6" t="str">
        <f>IF(_xlfn.XLOOKUP(F6,PhpParamFunc!A:A,PhpParamFunc!B:B,"") = "", _xlfn.XLOOKUP(G6,PhpParamFunc!A:A,PhpParamFunc!B:B,""), _xlfn.XLOOKUP(F6,PhpParamFunc!A:A,PhpParamFunc!B:B,""))</f>
        <v>PARAM_FUNCTION</v>
      </c>
      <c r="O6" t="str">
        <f>IF(_xlfn.XLOOKUP(F6,PhpAggrFunc!A:A,PhpAggrFunc!B:B,"") = "", _xlfn.XLOOKUP(G6,PhpAggrFunc!A:A,PhpAggrFunc!B:B,""), _xlfn.XLOOKUP(F6,PhpAggrFunc!A:A,PhpAggrFunc!B:B,""))</f>
        <v/>
      </c>
      <c r="P6" t="str">
        <f t="shared" si="2"/>
        <v>PARAM_FUNCTION</v>
      </c>
      <c r="Q6" t="str">
        <f t="shared" si="3"/>
        <v>static const String^ TOK_ACOS = "ACOS";</v>
      </c>
      <c r="R6" t="str">
        <f t="shared" si="4"/>
        <v>static const int TOK_ACOS = 527;</v>
      </c>
      <c r="S6" t="str">
        <f t="shared" si="5"/>
        <v>_Tokens-&gt;Add((String^)GramVals::TOK_ACOS, gcnew Token(GramKeys::TOK_ACOS, EnumTokenCategory::PARAM_FUNCTION,BARE_LABEL, i++));</v>
      </c>
    </row>
    <row r="7" spans="1:19" x14ac:dyDescent="0.25">
      <c r="A7" s="3" t="s">
        <v>1387</v>
      </c>
      <c r="B7" s="5" t="s">
        <v>991</v>
      </c>
      <c r="C7" s="3" t="s">
        <v>1899</v>
      </c>
      <c r="D7" s="3" t="s">
        <v>2423</v>
      </c>
      <c r="F7" t="str">
        <f t="shared" si="0"/>
        <v>ACOSH</v>
      </c>
      <c r="G7" t="s">
        <v>3621</v>
      </c>
      <c r="I7" s="3" t="str">
        <f>IF(_xlfn.XLOOKUP(F7,PgSqlRaw!B:B,PgSqlRaw!E:E,"") = "",_xlfn.XLOOKUP(G7,PgSqlRaw!B:B,PgSqlRaw!E:E,""),_xlfn.XLOOKUP(F7,PgSqlRaw!B:B,PgSqlRaw!E:E,""))</f>
        <v/>
      </c>
      <c r="J7" t="str">
        <f>IF(_xlfn.XLOOKUP(F7,PgSqlRaw!B:B,PgSqlRaw!F:F,"") = "", _xlfn.XLOOKUP(G7,PgSqlRaw!B:B,PgSqlRaw!F:F,""), _xlfn.XLOOKUP(F7,PgSqlRaw!B:B,PgSqlRaw!F:F,""))</f>
        <v/>
      </c>
      <c r="K7" t="str">
        <f t="shared" si="1"/>
        <v>BARE_LABEL</v>
      </c>
      <c r="L7" t="str">
        <f>IF(_xlfn.XLOOKUP(F7,PhpReserved!A:A,PhpReserved!B:B,"") = "", _xlfn.XLOOKUP(G7,PhpReserved!A:A,PhpReserved!B:B,""),_xlfn.XLOOKUP(F7,PhpReserved!A:A,PhpReserved!B:B,""))</f>
        <v/>
      </c>
      <c r="M7" t="str">
        <f>IF(_xlfn.XLOOKUP(F7,PhpFunctions!A:A,PhpFunctions!B:B,"") =  "", _xlfn.XLOOKUP(G7,PhpFunctions!A:A,PhpFunctions!B:B,""), _xlfn.XLOOKUP(F7,PhpFunctions!A:A,PhpFunctions!B:B,""))</f>
        <v/>
      </c>
      <c r="N7" t="str">
        <f>IF(_xlfn.XLOOKUP(F7,PhpParamFunc!A:A,PhpParamFunc!B:B,"") = "", _xlfn.XLOOKUP(G7,PhpParamFunc!A:A,PhpParamFunc!B:B,""), _xlfn.XLOOKUP(F7,PhpParamFunc!A:A,PhpParamFunc!B:B,""))</f>
        <v/>
      </c>
      <c r="O7" t="str">
        <f>IF(_xlfn.XLOOKUP(F7,PhpAggrFunc!A:A,PhpAggrFunc!B:B,"") = "", _xlfn.XLOOKUP(G7,PhpAggrFunc!A:A,PhpAggrFunc!B:B,""), _xlfn.XLOOKUP(F7,PhpAggrFunc!A:A,PhpAggrFunc!B:B,""))</f>
        <v/>
      </c>
      <c r="P7" t="str">
        <f t="shared" si="2"/>
        <v>UNRESERVED</v>
      </c>
      <c r="Q7" t="str">
        <f t="shared" si="3"/>
        <v>static const String^ TOK_ACOSH = "ACOSH";</v>
      </c>
      <c r="R7" t="str">
        <f t="shared" si="4"/>
        <v>static const int TOK_ACOSH = 623;</v>
      </c>
      <c r="S7" t="str">
        <f t="shared" si="5"/>
        <v>// _Tokens-&gt;Add((String^)GramVals::TOK_ACOSH, gcnew Token(GramKeys::TOK_ACOSH, EnumTokenCategory::UNRESERVED,BARE_LABEL, i++));</v>
      </c>
    </row>
    <row r="8" spans="1:19" x14ac:dyDescent="0.25">
      <c r="A8" s="3" t="s">
        <v>1388</v>
      </c>
      <c r="B8" s="5" t="s">
        <v>992</v>
      </c>
      <c r="C8" s="3" t="s">
        <v>1900</v>
      </c>
      <c r="D8" s="3" t="s">
        <v>2423</v>
      </c>
      <c r="F8" t="str">
        <f t="shared" si="0"/>
        <v>ACTION</v>
      </c>
      <c r="G8" t="s">
        <v>3315</v>
      </c>
      <c r="I8" s="3" t="str">
        <f>IF(_xlfn.XLOOKUP(F8,PgSqlRaw!B:B,PgSqlRaw!E:E,"") = "",_xlfn.XLOOKUP(G8,PgSqlRaw!B:B,PgSqlRaw!E:E,""),_xlfn.XLOOKUP(F8,PgSqlRaw!B:B,PgSqlRaw!E:E,""))</f>
        <v/>
      </c>
      <c r="J8" t="str">
        <f>IF(_xlfn.XLOOKUP(F8,PgSqlRaw!B:B,PgSqlRaw!F:F,"") = "", _xlfn.XLOOKUP(G8,PgSqlRaw!B:B,PgSqlRaw!F:F,""), _xlfn.XLOOKUP(F8,PgSqlRaw!B:B,PgSqlRaw!F:F,""))</f>
        <v>BARE_LABEL</v>
      </c>
      <c r="K8" t="str">
        <f t="shared" si="1"/>
        <v>BARE_LABEL</v>
      </c>
      <c r="L8" t="str">
        <f>IF(_xlfn.XLOOKUP(F8,PhpReserved!A:A,PhpReserved!B:B,"") = "", _xlfn.XLOOKUP(G8,PhpReserved!A:A,PhpReserved!B:B,""),_xlfn.XLOOKUP(F8,PhpReserved!A:A,PhpReserved!B:B,""))</f>
        <v/>
      </c>
      <c r="M8" t="str">
        <f>IF(_xlfn.XLOOKUP(F8,PhpFunctions!A:A,PhpFunctions!B:B,"") =  "", _xlfn.XLOOKUP(G8,PhpFunctions!A:A,PhpFunctions!B:B,""), _xlfn.XLOOKUP(F8,PhpFunctions!A:A,PhpFunctions!B:B,""))</f>
        <v/>
      </c>
      <c r="N8" t="str">
        <f>IF(_xlfn.XLOOKUP(F8,PhpParamFunc!A:A,PhpParamFunc!B:B,"") = "", _xlfn.XLOOKUP(G8,PhpParamFunc!A:A,PhpParamFunc!B:B,""), _xlfn.XLOOKUP(F8,PhpParamFunc!A:A,PhpParamFunc!B:B,""))</f>
        <v/>
      </c>
      <c r="O8" t="str">
        <f>IF(_xlfn.XLOOKUP(F8,PhpAggrFunc!A:A,PhpAggrFunc!B:B,"") = "", _xlfn.XLOOKUP(G8,PhpAggrFunc!A:A,PhpAggrFunc!B:B,""), _xlfn.XLOOKUP(F8,PhpAggrFunc!A:A,PhpAggrFunc!B:B,""))</f>
        <v/>
      </c>
      <c r="P8" t="str">
        <f t="shared" si="2"/>
        <v>UNRESERVED</v>
      </c>
      <c r="Q8" t="str">
        <f t="shared" si="3"/>
        <v>static const String^ TOK_ACTION = "ACTION";</v>
      </c>
      <c r="R8" t="str">
        <f t="shared" si="4"/>
        <v>static const int TOK_ACTION = 445;</v>
      </c>
      <c r="S8" t="str">
        <f t="shared" si="5"/>
        <v>// _Tokens-&gt;Add((String^)GramVals::TOK_ACTION, gcnew Token(GramKeys::TOK_ACTION, EnumTokenCategory::UNRESERVED,BARE_LABEL, i++));</v>
      </c>
    </row>
    <row r="9" spans="1:19" x14ac:dyDescent="0.25">
      <c r="A9" s="3" t="s">
        <v>1389</v>
      </c>
      <c r="B9" s="5" t="s">
        <v>993</v>
      </c>
      <c r="C9" s="3" t="s">
        <v>1901</v>
      </c>
      <c r="D9" s="3" t="s">
        <v>2423</v>
      </c>
      <c r="F9" t="str">
        <f t="shared" si="0"/>
        <v>ACTIVE</v>
      </c>
      <c r="G9" t="s">
        <v>3622</v>
      </c>
      <c r="I9" s="3" t="str">
        <f>IF(_xlfn.XLOOKUP(F9,PgSqlRaw!B:B,PgSqlRaw!E:E,"") = "",_xlfn.XLOOKUP(G9,PgSqlRaw!B:B,PgSqlRaw!E:E,""),_xlfn.XLOOKUP(F9,PgSqlRaw!B:B,PgSqlRaw!E:E,""))</f>
        <v/>
      </c>
      <c r="J9" t="str">
        <f>IF(_xlfn.XLOOKUP(F9,PgSqlRaw!B:B,PgSqlRaw!F:F,"") = "", _xlfn.XLOOKUP(G9,PgSqlRaw!B:B,PgSqlRaw!F:F,""), _xlfn.XLOOKUP(F9,PgSqlRaw!B:B,PgSqlRaw!F:F,""))</f>
        <v/>
      </c>
      <c r="K9" t="str">
        <f t="shared" si="1"/>
        <v>BARE_LABEL</v>
      </c>
      <c r="L9" t="str">
        <f>IF(_xlfn.XLOOKUP(F9,PhpReserved!A:A,PhpReserved!B:B,"") = "", _xlfn.XLOOKUP(G9,PhpReserved!A:A,PhpReserved!B:B,""),_xlfn.XLOOKUP(F9,PhpReserved!A:A,PhpReserved!B:B,""))</f>
        <v/>
      </c>
      <c r="M9" t="str">
        <f>IF(_xlfn.XLOOKUP(F9,PhpFunctions!A:A,PhpFunctions!B:B,"") =  "", _xlfn.XLOOKUP(G9,PhpFunctions!A:A,PhpFunctions!B:B,""), _xlfn.XLOOKUP(F9,PhpFunctions!A:A,PhpFunctions!B:B,""))</f>
        <v/>
      </c>
      <c r="N9" t="str">
        <f>IF(_xlfn.XLOOKUP(F9,PhpParamFunc!A:A,PhpParamFunc!B:B,"") = "", _xlfn.XLOOKUP(G9,PhpParamFunc!A:A,PhpParamFunc!B:B,""), _xlfn.XLOOKUP(F9,PhpParamFunc!A:A,PhpParamFunc!B:B,""))</f>
        <v/>
      </c>
      <c r="O9" t="str">
        <f>IF(_xlfn.XLOOKUP(F9,PhpAggrFunc!A:A,PhpAggrFunc!B:B,"") = "", _xlfn.XLOOKUP(G9,PhpAggrFunc!A:A,PhpAggrFunc!B:B,""), _xlfn.XLOOKUP(F9,PhpAggrFunc!A:A,PhpAggrFunc!B:B,""))</f>
        <v/>
      </c>
      <c r="P9" t="str">
        <f t="shared" si="2"/>
        <v>UNRESERVED</v>
      </c>
      <c r="Q9" t="str">
        <f t="shared" si="3"/>
        <v>static const String^ TOK_ACTIVE = "ACTIVE";</v>
      </c>
      <c r="R9" t="str">
        <f t="shared" si="4"/>
        <v>static const int TOK_ACTIVE = 257;</v>
      </c>
      <c r="S9" t="str">
        <f t="shared" si="5"/>
        <v>// _Tokens-&gt;Add((String^)GramVals::TOK_ACTIVE, gcnew Token(GramKeys::TOK_ACTIVE, EnumTokenCategory::UNRESERVED,BARE_LABEL, i++));</v>
      </c>
    </row>
    <row r="10" spans="1:19" x14ac:dyDescent="0.25">
      <c r="A10" s="3" t="s">
        <v>1390</v>
      </c>
      <c r="B10" s="5" t="s">
        <v>994</v>
      </c>
      <c r="C10" s="3" t="s">
        <v>1902</v>
      </c>
      <c r="D10" s="3" t="s">
        <v>881</v>
      </c>
      <c r="F10" t="str">
        <f t="shared" si="0"/>
        <v>ADD</v>
      </c>
      <c r="G10" t="s">
        <v>3083</v>
      </c>
      <c r="I10" s="3" t="str">
        <f>IF(_xlfn.XLOOKUP(F10,PgSqlRaw!B:B,PgSqlRaw!E:E,"") = "",_xlfn.XLOOKUP(G10,PgSqlRaw!B:B,PgSqlRaw!E:E,""),_xlfn.XLOOKUP(F10,PgSqlRaw!B:B,PgSqlRaw!E:E,""))</f>
        <v/>
      </c>
      <c r="J10" t="str">
        <f>IF(_xlfn.XLOOKUP(F10,PgSqlRaw!B:B,PgSqlRaw!F:F,"") = "", _xlfn.XLOOKUP(G10,PgSqlRaw!B:B,PgSqlRaw!F:F,""), _xlfn.XLOOKUP(F10,PgSqlRaw!B:B,PgSqlRaw!F:F,""))</f>
        <v>BARE_LABEL</v>
      </c>
      <c r="K10" t="str">
        <f t="shared" si="1"/>
        <v>BARE_LABEL</v>
      </c>
      <c r="L10" t="str">
        <f>IF(_xlfn.XLOOKUP(F10,PhpReserved!A:A,PhpReserved!B:B,"") = "", _xlfn.XLOOKUP(G10,PhpReserved!A:A,PhpReserved!B:B,""),_xlfn.XLOOKUP(F10,PhpReserved!A:A,PhpReserved!B:B,""))</f>
        <v>RESERVED</v>
      </c>
      <c r="M10" t="str">
        <f>IF(_xlfn.XLOOKUP(F10,PhpFunctions!A:A,PhpFunctions!B:B,"") =  "", _xlfn.XLOOKUP(G10,PhpFunctions!A:A,PhpFunctions!B:B,""), _xlfn.XLOOKUP(F10,PhpFunctions!A:A,PhpFunctions!B:B,""))</f>
        <v/>
      </c>
      <c r="N10" t="str">
        <f>IF(_xlfn.XLOOKUP(F10,PhpParamFunc!A:A,PhpParamFunc!B:B,"") = "", _xlfn.XLOOKUP(G10,PhpParamFunc!A:A,PhpParamFunc!B:B,""), _xlfn.XLOOKUP(F10,PhpParamFunc!A:A,PhpParamFunc!B:B,""))</f>
        <v/>
      </c>
      <c r="O10" t="str">
        <f>IF(_xlfn.XLOOKUP(F10,PhpAggrFunc!A:A,PhpAggrFunc!B:B,"") = "", _xlfn.XLOOKUP(G10,PhpAggrFunc!A:A,PhpAggrFunc!B:B,""), _xlfn.XLOOKUP(F10,PhpAggrFunc!A:A,PhpAggrFunc!B:B,""))</f>
        <v/>
      </c>
      <c r="P10" t="str">
        <f t="shared" si="2"/>
        <v>RESERVED</v>
      </c>
      <c r="Q10" t="str">
        <f t="shared" si="3"/>
        <v>static const String^ TOK_ADD = "ADD";</v>
      </c>
      <c r="R10" t="str">
        <f t="shared" si="4"/>
        <v>static const int TOK_ADD = 258;</v>
      </c>
      <c r="S10" t="str">
        <f t="shared" si="5"/>
        <v>_Tokens-&gt;Add((String^)GramVals::TOK_ADD, gcnew Token(GramKeys::TOK_ADD, EnumTokenCategory::RESERVED,BARE_LABEL, i++));</v>
      </c>
    </row>
    <row r="11" spans="1:19" x14ac:dyDescent="0.25">
      <c r="A11" s="3" t="s">
        <v>1391</v>
      </c>
      <c r="B11" s="5" t="s">
        <v>995</v>
      </c>
      <c r="C11" s="3" t="s">
        <v>1903</v>
      </c>
      <c r="D11" s="3" t="s">
        <v>881</v>
      </c>
      <c r="F11" t="str">
        <f t="shared" si="0"/>
        <v>ADMIN</v>
      </c>
      <c r="G11" t="s">
        <v>3316</v>
      </c>
      <c r="I11" s="3" t="str">
        <f>IF(_xlfn.XLOOKUP(F11,PgSqlRaw!B:B,PgSqlRaw!E:E,"") = "",_xlfn.XLOOKUP(G11,PgSqlRaw!B:B,PgSqlRaw!E:E,""),_xlfn.XLOOKUP(F11,PgSqlRaw!B:B,PgSqlRaw!E:E,""))</f>
        <v/>
      </c>
      <c r="J11" t="str">
        <f>IF(_xlfn.XLOOKUP(F11,PgSqlRaw!B:B,PgSqlRaw!F:F,"") = "", _xlfn.XLOOKUP(G11,PgSqlRaw!B:B,PgSqlRaw!F:F,""), _xlfn.XLOOKUP(F11,PgSqlRaw!B:B,PgSqlRaw!F:F,""))</f>
        <v>BARE_LABEL</v>
      </c>
      <c r="K11" t="str">
        <f t="shared" si="1"/>
        <v>BARE_LABEL</v>
      </c>
      <c r="L11" t="str">
        <f>IF(_xlfn.XLOOKUP(F11,PhpReserved!A:A,PhpReserved!B:B,"") = "", _xlfn.XLOOKUP(G11,PhpReserved!A:A,PhpReserved!B:B,""),_xlfn.XLOOKUP(F11,PhpReserved!A:A,PhpReserved!B:B,""))</f>
        <v/>
      </c>
      <c r="M11" t="str">
        <f>IF(_xlfn.XLOOKUP(F11,PhpFunctions!A:A,PhpFunctions!B:B,"") =  "", _xlfn.XLOOKUP(G11,PhpFunctions!A:A,PhpFunctions!B:B,""), _xlfn.XLOOKUP(F11,PhpFunctions!A:A,PhpFunctions!B:B,""))</f>
        <v/>
      </c>
      <c r="N11" t="str">
        <f>IF(_xlfn.XLOOKUP(F11,PhpParamFunc!A:A,PhpParamFunc!B:B,"") = "", _xlfn.XLOOKUP(G11,PhpParamFunc!A:A,PhpParamFunc!B:B,""), _xlfn.XLOOKUP(F11,PhpParamFunc!A:A,PhpParamFunc!B:B,""))</f>
        <v/>
      </c>
      <c r="O11" t="str">
        <f>IF(_xlfn.XLOOKUP(F11,PhpAggrFunc!A:A,PhpAggrFunc!B:B,"") = "", _xlfn.XLOOKUP(G11,PhpAggrFunc!A:A,PhpAggrFunc!B:B,""), _xlfn.XLOOKUP(F11,PhpAggrFunc!A:A,PhpAggrFunc!B:B,""))</f>
        <v/>
      </c>
      <c r="P11" t="str">
        <f t="shared" si="2"/>
        <v>UNRESERVED</v>
      </c>
      <c r="Q11" t="str">
        <f t="shared" si="3"/>
        <v>static const String^ TOK_ADMIN = "ADMIN";</v>
      </c>
      <c r="R11" t="str">
        <f t="shared" si="4"/>
        <v>static const int TOK_ADMIN = 446;</v>
      </c>
      <c r="S11" t="str">
        <f t="shared" si="5"/>
        <v>// _Tokens-&gt;Add((String^)GramVals::TOK_ADMIN, gcnew Token(GramKeys::TOK_ADMIN, EnumTokenCategory::UNRESERVED,BARE_LABEL, i++));</v>
      </c>
    </row>
    <row r="12" spans="1:19" x14ac:dyDescent="0.25">
      <c r="A12" s="3" t="s">
        <v>1392</v>
      </c>
      <c r="B12" s="5" t="s">
        <v>996</v>
      </c>
      <c r="C12" s="3" t="s">
        <v>1904</v>
      </c>
      <c r="D12" s="3" t="s">
        <v>2423</v>
      </c>
      <c r="F12" t="str">
        <f t="shared" si="0"/>
        <v>AFTER</v>
      </c>
      <c r="G12" t="s">
        <v>3317</v>
      </c>
      <c r="I12" s="3" t="str">
        <f>IF(_xlfn.XLOOKUP(F12,PgSqlRaw!B:B,PgSqlRaw!E:E,"") = "",_xlfn.XLOOKUP(G12,PgSqlRaw!B:B,PgSqlRaw!E:E,""),_xlfn.XLOOKUP(F12,PgSqlRaw!B:B,PgSqlRaw!E:E,""))</f>
        <v/>
      </c>
      <c r="J12" t="str">
        <f>IF(_xlfn.XLOOKUP(F12,PgSqlRaw!B:B,PgSqlRaw!F:F,"") = "", _xlfn.XLOOKUP(G12,PgSqlRaw!B:B,PgSqlRaw!F:F,""), _xlfn.XLOOKUP(F12,PgSqlRaw!B:B,PgSqlRaw!F:F,""))</f>
        <v>BARE_LABEL</v>
      </c>
      <c r="K12" t="str">
        <f t="shared" si="1"/>
        <v>BARE_LABEL</v>
      </c>
      <c r="L12" t="str">
        <f>IF(_xlfn.XLOOKUP(F12,PhpReserved!A:A,PhpReserved!B:B,"") = "", _xlfn.XLOOKUP(G12,PhpReserved!A:A,PhpReserved!B:B,""),_xlfn.XLOOKUP(F12,PhpReserved!A:A,PhpReserved!B:B,""))</f>
        <v/>
      </c>
      <c r="M12" t="str">
        <f>IF(_xlfn.XLOOKUP(F12,PhpFunctions!A:A,PhpFunctions!B:B,"") =  "", _xlfn.XLOOKUP(G12,PhpFunctions!A:A,PhpFunctions!B:B,""), _xlfn.XLOOKUP(F12,PhpFunctions!A:A,PhpFunctions!B:B,""))</f>
        <v/>
      </c>
      <c r="N12" t="str">
        <f>IF(_xlfn.XLOOKUP(F12,PhpParamFunc!A:A,PhpParamFunc!B:B,"") = "", _xlfn.XLOOKUP(G12,PhpParamFunc!A:A,PhpParamFunc!B:B,""), _xlfn.XLOOKUP(F12,PhpParamFunc!A:A,PhpParamFunc!B:B,""))</f>
        <v/>
      </c>
      <c r="O12" t="str">
        <f>IF(_xlfn.XLOOKUP(F12,PhpAggrFunc!A:A,PhpAggrFunc!B:B,"") = "", _xlfn.XLOOKUP(G12,PhpAggrFunc!A:A,PhpAggrFunc!B:B,""), _xlfn.XLOOKUP(F12,PhpAggrFunc!A:A,PhpAggrFunc!B:B,""))</f>
        <v/>
      </c>
      <c r="P12" t="str">
        <f t="shared" si="2"/>
        <v>UNRESERVED</v>
      </c>
      <c r="Q12" t="str">
        <f t="shared" si="3"/>
        <v>static const String^ TOK_AFTER = "AFTER";</v>
      </c>
      <c r="R12" t="str">
        <f t="shared" si="4"/>
        <v>static const int TOK_AFTER = 259;</v>
      </c>
      <c r="S12" t="str">
        <f t="shared" si="5"/>
        <v>// _Tokens-&gt;Add((String^)GramVals::TOK_AFTER, gcnew Token(GramKeys::TOK_AFTER, EnumTokenCategory::UNRESERVED,BARE_LABEL, i++));</v>
      </c>
    </row>
    <row r="13" spans="1:19" x14ac:dyDescent="0.25">
      <c r="A13" s="3" t="s">
        <v>1393</v>
      </c>
      <c r="B13" s="5" t="s">
        <v>997</v>
      </c>
      <c r="C13" s="3" t="s">
        <v>1905</v>
      </c>
      <c r="D13" s="3" t="s">
        <v>881</v>
      </c>
      <c r="F13" t="str">
        <f t="shared" si="0"/>
        <v>ALL</v>
      </c>
      <c r="G13" t="s">
        <v>3084</v>
      </c>
      <c r="I13" s="3" t="str">
        <f>IF(_xlfn.XLOOKUP(F13,PgSqlRaw!B:B,PgSqlRaw!E:E,"") = "",_xlfn.XLOOKUP(G13,PgSqlRaw!B:B,PgSqlRaw!E:E,""),_xlfn.XLOOKUP(F13,PgSqlRaw!B:B,PgSqlRaw!E:E,""))</f>
        <v>RESERVED</v>
      </c>
      <c r="J13" t="str">
        <f>IF(_xlfn.XLOOKUP(F13,PgSqlRaw!B:B,PgSqlRaw!F:F,"") = "", _xlfn.XLOOKUP(G13,PgSqlRaw!B:B,PgSqlRaw!F:F,""), _xlfn.XLOOKUP(F13,PgSqlRaw!B:B,PgSqlRaw!F:F,""))</f>
        <v>BARE_LABEL</v>
      </c>
      <c r="K13" t="str">
        <f t="shared" si="1"/>
        <v>BARE_LABEL</v>
      </c>
      <c r="L13" t="str">
        <f>IF(_xlfn.XLOOKUP(F13,PhpReserved!A:A,PhpReserved!B:B,"") = "", _xlfn.XLOOKUP(G13,PhpReserved!A:A,PhpReserved!B:B,""),_xlfn.XLOOKUP(F13,PhpReserved!A:A,PhpReserved!B:B,""))</f>
        <v>RESERVED</v>
      </c>
      <c r="M13" t="str">
        <f>IF(_xlfn.XLOOKUP(F13,PhpFunctions!A:A,PhpFunctions!B:B,"") =  "", _xlfn.XLOOKUP(G13,PhpFunctions!A:A,PhpFunctions!B:B,""), _xlfn.XLOOKUP(F13,PhpFunctions!A:A,PhpFunctions!B:B,""))</f>
        <v/>
      </c>
      <c r="N13" t="str">
        <f>IF(_xlfn.XLOOKUP(F13,PhpParamFunc!A:A,PhpParamFunc!B:B,"") = "", _xlfn.XLOOKUP(G13,PhpParamFunc!A:A,PhpParamFunc!B:B,""), _xlfn.XLOOKUP(F13,PhpParamFunc!A:A,PhpParamFunc!B:B,""))</f>
        <v/>
      </c>
      <c r="O13" t="str">
        <f>IF(_xlfn.XLOOKUP(F13,PhpAggrFunc!A:A,PhpAggrFunc!B:B,"") = "", _xlfn.XLOOKUP(G13,PhpAggrFunc!A:A,PhpAggrFunc!B:B,""), _xlfn.XLOOKUP(F13,PhpAggrFunc!A:A,PhpAggrFunc!B:B,""))</f>
        <v/>
      </c>
      <c r="P13" t="str">
        <f t="shared" si="2"/>
        <v>RESERVED</v>
      </c>
      <c r="Q13" t="str">
        <f t="shared" si="3"/>
        <v>static const String^ TOK_ALL = "ALL";</v>
      </c>
      <c r="R13" t="str">
        <f t="shared" si="4"/>
        <v>static const int TOK_ALL = 260;</v>
      </c>
      <c r="S13" t="str">
        <f t="shared" si="5"/>
        <v>_Tokens-&gt;Add((String^)GramVals::TOK_ALL, gcnew Token(GramKeys::TOK_ALL, EnumTokenCategory::RESERVED,BARE_LABEL, i++));</v>
      </c>
    </row>
    <row r="14" spans="1:19" x14ac:dyDescent="0.25">
      <c r="A14" s="3" t="s">
        <v>1394</v>
      </c>
      <c r="B14" s="5" t="s">
        <v>998</v>
      </c>
      <c r="C14" s="3" t="s">
        <v>1906</v>
      </c>
      <c r="D14" s="3" t="s">
        <v>881</v>
      </c>
      <c r="F14" t="str">
        <f t="shared" si="0"/>
        <v>ALTER</v>
      </c>
      <c r="G14" t="s">
        <v>3085</v>
      </c>
      <c r="I14" s="3" t="str">
        <f>IF(_xlfn.XLOOKUP(F14,PgSqlRaw!B:B,PgSqlRaw!E:E,"") = "",_xlfn.XLOOKUP(G14,PgSqlRaw!B:B,PgSqlRaw!E:E,""),_xlfn.XLOOKUP(F14,PgSqlRaw!B:B,PgSqlRaw!E:E,""))</f>
        <v/>
      </c>
      <c r="J14" t="str">
        <f>IF(_xlfn.XLOOKUP(F14,PgSqlRaw!B:B,PgSqlRaw!F:F,"") = "", _xlfn.XLOOKUP(G14,PgSqlRaw!B:B,PgSqlRaw!F:F,""), _xlfn.XLOOKUP(F14,PgSqlRaw!B:B,PgSqlRaw!F:F,""))</f>
        <v>BARE_LABEL</v>
      </c>
      <c r="K14" t="str">
        <f t="shared" si="1"/>
        <v>BARE_LABEL</v>
      </c>
      <c r="L14" t="str">
        <f>IF(_xlfn.XLOOKUP(F14,PhpReserved!A:A,PhpReserved!B:B,"") = "", _xlfn.XLOOKUP(G14,PhpReserved!A:A,PhpReserved!B:B,""),_xlfn.XLOOKUP(F14,PhpReserved!A:A,PhpReserved!B:B,""))</f>
        <v>RESERVED</v>
      </c>
      <c r="M14" t="str">
        <f>IF(_xlfn.XLOOKUP(F14,PhpFunctions!A:A,PhpFunctions!B:B,"") =  "", _xlfn.XLOOKUP(G14,PhpFunctions!A:A,PhpFunctions!B:B,""), _xlfn.XLOOKUP(F14,PhpFunctions!A:A,PhpFunctions!B:B,""))</f>
        <v/>
      </c>
      <c r="N14" t="str">
        <f>IF(_xlfn.XLOOKUP(F14,PhpParamFunc!A:A,PhpParamFunc!B:B,"") = "", _xlfn.XLOOKUP(G14,PhpParamFunc!A:A,PhpParamFunc!B:B,""), _xlfn.XLOOKUP(F14,PhpParamFunc!A:A,PhpParamFunc!B:B,""))</f>
        <v/>
      </c>
      <c r="O14" t="str">
        <f>IF(_xlfn.XLOOKUP(F14,PhpAggrFunc!A:A,PhpAggrFunc!B:B,"") = "", _xlfn.XLOOKUP(G14,PhpAggrFunc!A:A,PhpAggrFunc!B:B,""), _xlfn.XLOOKUP(F14,PhpAggrFunc!A:A,PhpAggrFunc!B:B,""))</f>
        <v/>
      </c>
      <c r="P14" t="str">
        <f t="shared" si="2"/>
        <v>RESERVED</v>
      </c>
      <c r="Q14" t="str">
        <f t="shared" si="3"/>
        <v>static const String^ TOK_ALTER = "ALTER";</v>
      </c>
      <c r="R14" t="str">
        <f t="shared" si="4"/>
        <v>static const int TOK_ALTER = 261;</v>
      </c>
      <c r="S14" t="str">
        <f t="shared" si="5"/>
        <v>_Tokens-&gt;Add((String^)GramVals::TOK_ALTER, gcnew Token(GramKeys::TOK_ALTER, EnumTokenCategory::RESERVED,BARE_LABEL, i++));</v>
      </c>
    </row>
    <row r="15" spans="1:19" x14ac:dyDescent="0.25">
      <c r="A15" s="3" t="s">
        <v>1395</v>
      </c>
      <c r="B15" s="5" t="s">
        <v>999</v>
      </c>
      <c r="C15" s="3" t="s">
        <v>1907</v>
      </c>
      <c r="D15" s="3" t="s">
        <v>2423</v>
      </c>
      <c r="F15" t="str">
        <f t="shared" si="0"/>
        <v>ALWAYS</v>
      </c>
      <c r="G15" t="s">
        <v>3320</v>
      </c>
      <c r="I15" s="3" t="str">
        <f>IF(_xlfn.XLOOKUP(F15,PgSqlRaw!B:B,PgSqlRaw!E:E,"") = "",_xlfn.XLOOKUP(G15,PgSqlRaw!B:B,PgSqlRaw!E:E,""),_xlfn.XLOOKUP(F15,PgSqlRaw!B:B,PgSqlRaw!E:E,""))</f>
        <v/>
      </c>
      <c r="J15" t="str">
        <f>IF(_xlfn.XLOOKUP(F15,PgSqlRaw!B:B,PgSqlRaw!F:F,"") = "", _xlfn.XLOOKUP(G15,PgSqlRaw!B:B,PgSqlRaw!F:F,""), _xlfn.XLOOKUP(F15,PgSqlRaw!B:B,PgSqlRaw!F:F,""))</f>
        <v>BARE_LABEL</v>
      </c>
      <c r="K15" t="str">
        <f t="shared" si="1"/>
        <v>BARE_LABEL</v>
      </c>
      <c r="L15" t="str">
        <f>IF(_xlfn.XLOOKUP(F15,PhpReserved!A:A,PhpReserved!B:B,"") = "", _xlfn.XLOOKUP(G15,PhpReserved!A:A,PhpReserved!B:B,""),_xlfn.XLOOKUP(F15,PhpReserved!A:A,PhpReserved!B:B,""))</f>
        <v/>
      </c>
      <c r="M15" t="str">
        <f>IF(_xlfn.XLOOKUP(F15,PhpFunctions!A:A,PhpFunctions!B:B,"") =  "", _xlfn.XLOOKUP(G15,PhpFunctions!A:A,PhpFunctions!B:B,""), _xlfn.XLOOKUP(F15,PhpFunctions!A:A,PhpFunctions!B:B,""))</f>
        <v/>
      </c>
      <c r="N15" t="str">
        <f>IF(_xlfn.XLOOKUP(F15,PhpParamFunc!A:A,PhpParamFunc!B:B,"") = "", _xlfn.XLOOKUP(G15,PhpParamFunc!A:A,PhpParamFunc!B:B,""), _xlfn.XLOOKUP(F15,PhpParamFunc!A:A,PhpParamFunc!B:B,""))</f>
        <v/>
      </c>
      <c r="O15" t="str">
        <f>IF(_xlfn.XLOOKUP(F15,PhpAggrFunc!A:A,PhpAggrFunc!B:B,"") = "", _xlfn.XLOOKUP(G15,PhpAggrFunc!A:A,PhpAggrFunc!B:B,""), _xlfn.XLOOKUP(F15,PhpAggrFunc!A:A,PhpAggrFunc!B:B,""))</f>
        <v/>
      </c>
      <c r="P15" t="str">
        <f t="shared" si="2"/>
        <v>UNRESERVED</v>
      </c>
      <c r="Q15" t="str">
        <f t="shared" si="3"/>
        <v>static const String^ TOK_ALWAYS = "ALWAYS";</v>
      </c>
      <c r="R15" t="str">
        <f t="shared" si="4"/>
        <v>static const int TOK_ALWAYS = 528;</v>
      </c>
      <c r="S15" t="str">
        <f t="shared" si="5"/>
        <v>// _Tokens-&gt;Add((String^)GramVals::TOK_ALWAYS, gcnew Token(GramKeys::TOK_ALWAYS, EnumTokenCategory::UNRESERVED,BARE_LABEL, i++));</v>
      </c>
    </row>
    <row r="16" spans="1:19" x14ac:dyDescent="0.25">
      <c r="A16" s="3" t="s">
        <v>1396</v>
      </c>
      <c r="B16" s="5" t="s">
        <v>1000</v>
      </c>
      <c r="C16" s="3" t="s">
        <v>1908</v>
      </c>
      <c r="D16" s="3" t="s">
        <v>881</v>
      </c>
      <c r="E16" s="3"/>
      <c r="F16" t="str">
        <f t="shared" si="0"/>
        <v>AND</v>
      </c>
      <c r="G16" t="s">
        <v>3087</v>
      </c>
      <c r="I16" s="3" t="str">
        <f>IF(_xlfn.XLOOKUP(F16,PgSqlRaw!B:B,PgSqlRaw!E:E,"") = "",_xlfn.XLOOKUP(G16,PgSqlRaw!B:B,PgSqlRaw!E:E,""),_xlfn.XLOOKUP(F16,PgSqlRaw!B:B,PgSqlRaw!E:E,""))</f>
        <v>RESERVED</v>
      </c>
      <c r="J16" t="str">
        <f>IF(_xlfn.XLOOKUP(F16,PgSqlRaw!B:B,PgSqlRaw!F:F,"") = "", _xlfn.XLOOKUP(G16,PgSqlRaw!B:B,PgSqlRaw!F:F,""), _xlfn.XLOOKUP(F16,PgSqlRaw!B:B,PgSqlRaw!F:F,""))</f>
        <v>BARE_LABEL</v>
      </c>
      <c r="K16" t="str">
        <f t="shared" si="1"/>
        <v>BARE_LABEL</v>
      </c>
      <c r="L16" t="str">
        <f>IF(_xlfn.XLOOKUP(F16,PhpReserved!A:A,PhpReserved!B:B,"") = "", _xlfn.XLOOKUP(G16,PhpReserved!A:A,PhpReserved!B:B,""),_xlfn.XLOOKUP(F16,PhpReserved!A:A,PhpReserved!B:B,""))</f>
        <v>RESERVED</v>
      </c>
      <c r="M16" t="str">
        <f>IF(_xlfn.XLOOKUP(F16,PhpFunctions!A:A,PhpFunctions!B:B,"") =  "", _xlfn.XLOOKUP(G16,PhpFunctions!A:A,PhpFunctions!B:B,""), _xlfn.XLOOKUP(F16,PhpFunctions!A:A,PhpFunctions!B:B,""))</f>
        <v/>
      </c>
      <c r="N16" t="str">
        <f>IF(_xlfn.XLOOKUP(F16,PhpParamFunc!A:A,PhpParamFunc!B:B,"") = "", _xlfn.XLOOKUP(G16,PhpParamFunc!A:A,PhpParamFunc!B:B,""), _xlfn.XLOOKUP(F16,PhpParamFunc!A:A,PhpParamFunc!B:B,""))</f>
        <v/>
      </c>
      <c r="O16" t="str">
        <f>IF(_xlfn.XLOOKUP(F16,PhpAggrFunc!A:A,PhpAggrFunc!B:B,"") = "", _xlfn.XLOOKUP(G16,PhpAggrFunc!A:A,PhpAggrFunc!B:B,""), _xlfn.XLOOKUP(F16,PhpAggrFunc!A:A,PhpAggrFunc!B:B,""))</f>
        <v/>
      </c>
      <c r="P16" t="str">
        <f t="shared" si="2"/>
        <v>RESERVED</v>
      </c>
      <c r="Q16" t="str">
        <f t="shared" si="3"/>
        <v>static const String^ TOK_AND = "AND";</v>
      </c>
      <c r="R16" t="str">
        <f t="shared" si="4"/>
        <v>static const int TOK_AND = 262;</v>
      </c>
      <c r="S16" t="str">
        <f t="shared" si="5"/>
        <v>_Tokens-&gt;Add((String^)GramVals::TOK_AND, gcnew Token(GramKeys::TOK_AND, EnumTokenCategory::RESERVED,BARE_LABEL, i++));</v>
      </c>
    </row>
    <row r="17" spans="1:19" x14ac:dyDescent="0.25">
      <c r="A17" s="3" t="s">
        <v>1397</v>
      </c>
      <c r="B17" s="5" t="s">
        <v>1001</v>
      </c>
      <c r="C17" s="3" t="s">
        <v>1909</v>
      </c>
      <c r="D17" s="3" t="s">
        <v>881</v>
      </c>
      <c r="F17" t="str">
        <f t="shared" si="0"/>
        <v>ANY</v>
      </c>
      <c r="G17" t="s">
        <v>3322</v>
      </c>
      <c r="I17" s="3" t="str">
        <f>IF(_xlfn.XLOOKUP(F17,PgSqlRaw!B:B,PgSqlRaw!E:E,"") = "",_xlfn.XLOOKUP(G17,PgSqlRaw!B:B,PgSqlRaw!E:E,""),_xlfn.XLOOKUP(F17,PgSqlRaw!B:B,PgSqlRaw!E:E,""))</f>
        <v>RESERVED</v>
      </c>
      <c r="J17" t="str">
        <f>IF(_xlfn.XLOOKUP(F17,PgSqlRaw!B:B,PgSqlRaw!F:F,"") = "", _xlfn.XLOOKUP(G17,PgSqlRaw!B:B,PgSqlRaw!F:F,""), _xlfn.XLOOKUP(F17,PgSqlRaw!B:B,PgSqlRaw!F:F,""))</f>
        <v>BARE_LABEL</v>
      </c>
      <c r="K17" t="str">
        <f t="shared" si="1"/>
        <v>BARE_LABEL</v>
      </c>
      <c r="L17" t="str">
        <f>IF(_xlfn.XLOOKUP(F17,PhpReserved!A:A,PhpReserved!B:B,"") = "", _xlfn.XLOOKUP(G17,PhpReserved!A:A,PhpReserved!B:B,""),_xlfn.XLOOKUP(F17,PhpReserved!A:A,PhpReserved!B:B,""))</f>
        <v/>
      </c>
      <c r="M17" t="str">
        <f>IF(_xlfn.XLOOKUP(F17,PhpFunctions!A:A,PhpFunctions!B:B,"") =  "", _xlfn.XLOOKUP(G17,PhpFunctions!A:A,PhpFunctions!B:B,""), _xlfn.XLOOKUP(F17,PhpFunctions!A:A,PhpFunctions!B:B,""))</f>
        <v/>
      </c>
      <c r="N17" t="str">
        <f>IF(_xlfn.XLOOKUP(F17,PhpParamFunc!A:A,PhpParamFunc!B:B,"") = "", _xlfn.XLOOKUP(G17,PhpParamFunc!A:A,PhpParamFunc!B:B,""), _xlfn.XLOOKUP(F17,PhpParamFunc!A:A,PhpParamFunc!B:B,""))</f>
        <v/>
      </c>
      <c r="O17" t="str">
        <f>IF(_xlfn.XLOOKUP(F17,PhpAggrFunc!A:A,PhpAggrFunc!B:B,"") = "", _xlfn.XLOOKUP(G17,PhpAggrFunc!A:A,PhpAggrFunc!B:B,""), _xlfn.XLOOKUP(F17,PhpAggrFunc!A:A,PhpAggrFunc!B:B,""))</f>
        <v/>
      </c>
      <c r="P17" t="str">
        <f t="shared" si="2"/>
        <v>RESERVED</v>
      </c>
      <c r="Q17" t="str">
        <f t="shared" si="3"/>
        <v>static const String^ TOK_ANY = "ANY";</v>
      </c>
      <c r="R17" t="str">
        <f t="shared" si="4"/>
        <v>static const int TOK_ANY = 263;</v>
      </c>
      <c r="S17" t="str">
        <f t="shared" si="5"/>
        <v>_Tokens-&gt;Add((String^)GramVals::TOK_ANY, gcnew Token(GramKeys::TOK_ANY, EnumTokenCategory::RESERVED,BARE_LABEL, i++));</v>
      </c>
    </row>
    <row r="18" spans="1:19" x14ac:dyDescent="0.25">
      <c r="A18" s="3" t="s">
        <v>1398</v>
      </c>
      <c r="B18" s="5" t="s">
        <v>1002</v>
      </c>
      <c r="C18" s="3" t="s">
        <v>1910</v>
      </c>
      <c r="D18" s="3" t="s">
        <v>881</v>
      </c>
      <c r="F18" t="str">
        <f t="shared" si="0"/>
        <v>AS</v>
      </c>
      <c r="G18" t="s">
        <v>3088</v>
      </c>
      <c r="I18" s="3" t="str">
        <f>IF(_xlfn.XLOOKUP(F18,PgSqlRaw!B:B,PgSqlRaw!E:E,"") = "",_xlfn.XLOOKUP(G18,PgSqlRaw!B:B,PgSqlRaw!E:E,""),_xlfn.XLOOKUP(F18,PgSqlRaw!B:B,PgSqlRaw!E:E,""))</f>
        <v>RESERVED</v>
      </c>
      <c r="J18" t="str">
        <f>IF(_xlfn.XLOOKUP(F18,PgSqlRaw!B:B,PgSqlRaw!F:F,"") = "", _xlfn.XLOOKUP(G18,PgSqlRaw!B:B,PgSqlRaw!F:F,""), _xlfn.XLOOKUP(F18,PgSqlRaw!B:B,PgSqlRaw!F:F,""))</f>
        <v>AS_LABEL</v>
      </c>
      <c r="K18" t="str">
        <f t="shared" si="1"/>
        <v>AS_LABEL</v>
      </c>
      <c r="L18" t="str">
        <f>IF(_xlfn.XLOOKUP(F18,PhpReserved!A:A,PhpReserved!B:B,"") = "", _xlfn.XLOOKUP(G18,PhpReserved!A:A,PhpReserved!B:B,""),_xlfn.XLOOKUP(F18,PhpReserved!A:A,PhpReserved!B:B,""))</f>
        <v>RESERVED</v>
      </c>
      <c r="M18" t="str">
        <f>IF(_xlfn.XLOOKUP(F18,PhpFunctions!A:A,PhpFunctions!B:B,"") =  "", _xlfn.XLOOKUP(G18,PhpFunctions!A:A,PhpFunctions!B:B,""), _xlfn.XLOOKUP(F18,PhpFunctions!A:A,PhpFunctions!B:B,""))</f>
        <v/>
      </c>
      <c r="N18" t="str">
        <f>IF(_xlfn.XLOOKUP(F18,PhpParamFunc!A:A,PhpParamFunc!B:B,"") = "", _xlfn.XLOOKUP(G18,PhpParamFunc!A:A,PhpParamFunc!B:B,""), _xlfn.XLOOKUP(F18,PhpParamFunc!A:A,PhpParamFunc!B:B,""))</f>
        <v/>
      </c>
      <c r="O18" t="str">
        <f>IF(_xlfn.XLOOKUP(F18,PhpAggrFunc!A:A,PhpAggrFunc!B:B,"") = "", _xlfn.XLOOKUP(G18,PhpAggrFunc!A:A,PhpAggrFunc!B:B,""), _xlfn.XLOOKUP(F18,PhpAggrFunc!A:A,PhpAggrFunc!B:B,""))</f>
        <v/>
      </c>
      <c r="P18" t="str">
        <f t="shared" si="2"/>
        <v>RESERVED</v>
      </c>
      <c r="Q18" t="str">
        <f t="shared" si="3"/>
        <v>static const String^ TOK_AS = "AS";</v>
      </c>
      <c r="R18" t="str">
        <f t="shared" si="4"/>
        <v>static const int TOK_AS = 264;</v>
      </c>
      <c r="S18" t="str">
        <f t="shared" si="5"/>
        <v>_Tokens-&gt;Add((String^)GramVals::TOK_AS, gcnew Token(GramKeys::TOK_AS, EnumTokenCategory::RESERVED,AS_LABEL, i++));</v>
      </c>
    </row>
    <row r="19" spans="1:19" x14ac:dyDescent="0.25">
      <c r="A19" s="3" t="s">
        <v>1399</v>
      </c>
      <c r="B19" s="5" t="s">
        <v>1003</v>
      </c>
      <c r="C19" s="3" t="s">
        <v>1911</v>
      </c>
      <c r="D19" s="3" t="s">
        <v>2423</v>
      </c>
      <c r="F19" t="str">
        <f t="shared" si="0"/>
        <v>ASC</v>
      </c>
      <c r="G19" t="s">
        <v>3623</v>
      </c>
      <c r="I19" s="3" t="str">
        <f>IF(_xlfn.XLOOKUP(F19,PgSqlRaw!B:B,PgSqlRaw!E:E,"") = "",_xlfn.XLOOKUP(G19,PgSqlRaw!B:B,PgSqlRaw!E:E,""),_xlfn.XLOOKUP(F19,PgSqlRaw!B:B,PgSqlRaw!E:E,""))</f>
        <v>RESERVED</v>
      </c>
      <c r="J19" t="str">
        <f>IF(_xlfn.XLOOKUP(F19,PgSqlRaw!B:B,PgSqlRaw!F:F,"") = "", _xlfn.XLOOKUP(G19,PgSqlRaw!B:B,PgSqlRaw!F:F,""), _xlfn.XLOOKUP(F19,PgSqlRaw!B:B,PgSqlRaw!F:F,""))</f>
        <v>BARE_LABEL</v>
      </c>
      <c r="K19" t="str">
        <f t="shared" si="1"/>
        <v>BARE_LABEL</v>
      </c>
      <c r="L19" t="str">
        <f>IF(_xlfn.XLOOKUP(F19,PhpReserved!A:A,PhpReserved!B:B,"") = "", _xlfn.XLOOKUP(G19,PhpReserved!A:A,PhpReserved!B:B,""),_xlfn.XLOOKUP(F19,PhpReserved!A:A,PhpReserved!B:B,""))</f>
        <v>RESERVED</v>
      </c>
      <c r="M19" t="str">
        <f>IF(_xlfn.XLOOKUP(F19,PhpFunctions!A:A,PhpFunctions!B:B,"") =  "", _xlfn.XLOOKUP(G19,PhpFunctions!A:A,PhpFunctions!B:B,""), _xlfn.XLOOKUP(F19,PhpFunctions!A:A,PhpFunctions!B:B,""))</f>
        <v/>
      </c>
      <c r="N19" t="str">
        <f>IF(_xlfn.XLOOKUP(F19,PhpParamFunc!A:A,PhpParamFunc!B:B,"") = "", _xlfn.XLOOKUP(G19,PhpParamFunc!A:A,PhpParamFunc!B:B,""), _xlfn.XLOOKUP(F19,PhpParamFunc!A:A,PhpParamFunc!B:B,""))</f>
        <v/>
      </c>
      <c r="O19" t="str">
        <f>IF(_xlfn.XLOOKUP(F19,PhpAggrFunc!A:A,PhpAggrFunc!B:B,"") = "", _xlfn.XLOOKUP(G19,PhpAggrFunc!A:A,PhpAggrFunc!B:B,""), _xlfn.XLOOKUP(F19,PhpAggrFunc!A:A,PhpAggrFunc!B:B,""))</f>
        <v/>
      </c>
      <c r="P19" t="str">
        <f t="shared" si="2"/>
        <v>RESERVED</v>
      </c>
      <c r="Q19" t="str">
        <f t="shared" si="3"/>
        <v>static const String^ TOK_ASC = "ASC";</v>
      </c>
      <c r="R19" t="str">
        <f t="shared" si="4"/>
        <v>static const int TOK_ASC = 265;</v>
      </c>
      <c r="S19" t="str">
        <f t="shared" si="5"/>
        <v>_Tokens-&gt;Add((String^)GramVals::TOK_ASC, gcnew Token(GramKeys::TOK_ASC, EnumTokenCategory::RESERVED,BARE_LABEL, i++));</v>
      </c>
    </row>
    <row r="20" spans="1:19" x14ac:dyDescent="0.25">
      <c r="A20" s="3" t="s">
        <v>1400</v>
      </c>
      <c r="B20" s="5" t="s">
        <v>1003</v>
      </c>
      <c r="C20" s="3" t="s">
        <v>1912</v>
      </c>
      <c r="D20" s="3" t="s">
        <v>2423</v>
      </c>
      <c r="F20" t="str">
        <f t="shared" si="0"/>
        <v>ASCENDING</v>
      </c>
      <c r="G20" t="s">
        <v>3089</v>
      </c>
      <c r="I20" s="3" t="str">
        <f>IF(_xlfn.XLOOKUP(F20,PgSqlRaw!B:B,PgSqlRaw!E:E,"") = "",_xlfn.XLOOKUP(G20,PgSqlRaw!B:B,PgSqlRaw!E:E,""),_xlfn.XLOOKUP(F20,PgSqlRaw!B:B,PgSqlRaw!E:E,""))</f>
        <v>RESERVED</v>
      </c>
      <c r="J20" t="str">
        <f>IF(_xlfn.XLOOKUP(F20,PgSqlRaw!B:B,PgSqlRaw!F:F,"") = "", _xlfn.XLOOKUP(G20,PgSqlRaw!B:B,PgSqlRaw!F:F,""), _xlfn.XLOOKUP(F20,PgSqlRaw!B:B,PgSqlRaw!F:F,""))</f>
        <v>BARE_LABEL</v>
      </c>
      <c r="K20" t="str">
        <f t="shared" si="1"/>
        <v>BARE_LABEL</v>
      </c>
      <c r="L20" t="str">
        <f>IF(_xlfn.XLOOKUP(F20,PhpReserved!A:A,PhpReserved!B:B,"") = "", _xlfn.XLOOKUP(G20,PhpReserved!A:A,PhpReserved!B:B,""),_xlfn.XLOOKUP(F20,PhpReserved!A:A,PhpReserved!B:B,""))</f>
        <v>RESERVED</v>
      </c>
      <c r="M20" t="str">
        <f>IF(_xlfn.XLOOKUP(F20,PhpFunctions!A:A,PhpFunctions!B:B,"") =  "", _xlfn.XLOOKUP(G20,PhpFunctions!A:A,PhpFunctions!B:B,""), _xlfn.XLOOKUP(F20,PhpFunctions!A:A,PhpFunctions!B:B,""))</f>
        <v/>
      </c>
      <c r="N20" t="str">
        <f>IF(_xlfn.XLOOKUP(F20,PhpParamFunc!A:A,PhpParamFunc!B:B,"") = "", _xlfn.XLOOKUP(G20,PhpParamFunc!A:A,PhpParamFunc!B:B,""), _xlfn.XLOOKUP(F20,PhpParamFunc!A:A,PhpParamFunc!B:B,""))</f>
        <v/>
      </c>
      <c r="O20" t="str">
        <f>IF(_xlfn.XLOOKUP(F20,PhpAggrFunc!A:A,PhpAggrFunc!B:B,"") = "", _xlfn.XLOOKUP(G20,PhpAggrFunc!A:A,PhpAggrFunc!B:B,""), _xlfn.XLOOKUP(F20,PhpAggrFunc!A:A,PhpAggrFunc!B:B,""))</f>
        <v/>
      </c>
      <c r="P20" t="str">
        <f t="shared" si="2"/>
        <v>RESERVED</v>
      </c>
      <c r="Q20" t="str">
        <f t="shared" si="3"/>
        <v>static const String^ TOK_ASCENDING = "ASCENDING";</v>
      </c>
      <c r="R20" t="str">
        <f t="shared" si="4"/>
        <v>static const int TOK_ASCENDING = 265;</v>
      </c>
      <c r="S20" t="str">
        <f t="shared" si="5"/>
        <v>_Tokens-&gt;Add((String^)GramVals::TOK_ASCENDING, gcnew Token(GramKeys::TOK_ASCENDING, EnumTokenCategory::RESERVED,BARE_LABEL, i++));</v>
      </c>
    </row>
    <row r="21" spans="1:19" x14ac:dyDescent="0.25">
      <c r="A21" s="3" t="s">
        <v>1401</v>
      </c>
      <c r="B21" s="5" t="s">
        <v>1004</v>
      </c>
      <c r="C21" s="3" t="s">
        <v>1913</v>
      </c>
      <c r="D21" s="3" t="s">
        <v>2423</v>
      </c>
      <c r="F21" t="str">
        <f t="shared" si="0"/>
        <v>ASCII_CHAR</v>
      </c>
      <c r="G21" t="s">
        <v>3624</v>
      </c>
      <c r="I21" s="3" t="str">
        <f>IF(_xlfn.XLOOKUP(F21,PgSqlRaw!B:B,PgSqlRaw!E:E,"") = "",_xlfn.XLOOKUP(G21,PgSqlRaw!B:B,PgSqlRaw!E:E,""),_xlfn.XLOOKUP(F21,PgSqlRaw!B:B,PgSqlRaw!E:E,""))</f>
        <v/>
      </c>
      <c r="J21" t="str">
        <f>IF(_xlfn.XLOOKUP(F21,PgSqlRaw!B:B,PgSqlRaw!F:F,"") = "", _xlfn.XLOOKUP(G21,PgSqlRaw!B:B,PgSqlRaw!F:F,""), _xlfn.XLOOKUP(F21,PgSqlRaw!B:B,PgSqlRaw!F:F,""))</f>
        <v/>
      </c>
      <c r="K21" t="str">
        <f t="shared" si="1"/>
        <v>BARE_LABEL</v>
      </c>
      <c r="L21" t="str">
        <f>IF(_xlfn.XLOOKUP(F21,PhpReserved!A:A,PhpReserved!B:B,"") = "", _xlfn.XLOOKUP(G21,PhpReserved!A:A,PhpReserved!B:B,""),_xlfn.XLOOKUP(F21,PhpReserved!A:A,PhpReserved!B:B,""))</f>
        <v/>
      </c>
      <c r="M21" t="str">
        <f>IF(_xlfn.XLOOKUP(F21,PhpFunctions!A:A,PhpFunctions!B:B,"") =  "", _xlfn.XLOOKUP(G21,PhpFunctions!A:A,PhpFunctions!B:B,""), _xlfn.XLOOKUP(F21,PhpFunctions!A:A,PhpFunctions!B:B,""))</f>
        <v/>
      </c>
      <c r="N21" t="str">
        <f>IF(_xlfn.XLOOKUP(F21,PhpParamFunc!A:A,PhpParamFunc!B:B,"") = "", _xlfn.XLOOKUP(G21,PhpParamFunc!A:A,PhpParamFunc!B:B,""), _xlfn.XLOOKUP(F21,PhpParamFunc!A:A,PhpParamFunc!B:B,""))</f>
        <v/>
      </c>
      <c r="O21" t="str">
        <f>IF(_xlfn.XLOOKUP(F21,PhpAggrFunc!A:A,PhpAggrFunc!B:B,"") = "", _xlfn.XLOOKUP(G21,PhpAggrFunc!A:A,PhpAggrFunc!B:B,""), _xlfn.XLOOKUP(F21,PhpAggrFunc!A:A,PhpAggrFunc!B:B,""))</f>
        <v/>
      </c>
      <c r="P21" t="str">
        <f t="shared" si="2"/>
        <v>UNRESERVED</v>
      </c>
      <c r="Q21" t="str">
        <f t="shared" si="3"/>
        <v>static const String^ TOK_ASCII_CHAR = "ASCII_CHAR";</v>
      </c>
      <c r="R21" t="str">
        <f t="shared" si="4"/>
        <v>static const int TOK_ASCII_CHAR = 529;</v>
      </c>
      <c r="S21" t="str">
        <f t="shared" si="5"/>
        <v>// _Tokens-&gt;Add((String^)GramVals::TOK_ASCII_CHAR, gcnew Token(GramKeys::TOK_ASCII_CHAR, EnumTokenCategory::UNRESERVED,BARE_LABEL, i++));</v>
      </c>
    </row>
    <row r="22" spans="1:19" x14ac:dyDescent="0.25">
      <c r="A22" s="3" t="s">
        <v>1402</v>
      </c>
      <c r="B22" s="5" t="s">
        <v>1005</v>
      </c>
      <c r="C22" s="3" t="s">
        <v>1914</v>
      </c>
      <c r="D22" s="3" t="s">
        <v>2423</v>
      </c>
      <c r="F22" t="str">
        <f t="shared" si="0"/>
        <v>ASCII_VAL</v>
      </c>
      <c r="G22" t="s">
        <v>3625</v>
      </c>
      <c r="I22" s="3" t="str">
        <f>IF(_xlfn.XLOOKUP(F22,PgSqlRaw!B:B,PgSqlRaw!E:E,"") = "",_xlfn.XLOOKUP(G22,PgSqlRaw!B:B,PgSqlRaw!E:E,""),_xlfn.XLOOKUP(F22,PgSqlRaw!B:B,PgSqlRaw!E:E,""))</f>
        <v/>
      </c>
      <c r="J22" t="str">
        <f>IF(_xlfn.XLOOKUP(F22,PgSqlRaw!B:B,PgSqlRaw!F:F,"") = "", _xlfn.XLOOKUP(G22,PgSqlRaw!B:B,PgSqlRaw!F:F,""), _xlfn.XLOOKUP(F22,PgSqlRaw!B:B,PgSqlRaw!F:F,""))</f>
        <v/>
      </c>
      <c r="K22" t="str">
        <f t="shared" si="1"/>
        <v>BARE_LABEL</v>
      </c>
      <c r="L22" t="str">
        <f>IF(_xlfn.XLOOKUP(F22,PhpReserved!A:A,PhpReserved!B:B,"") = "", _xlfn.XLOOKUP(G22,PhpReserved!A:A,PhpReserved!B:B,""),_xlfn.XLOOKUP(F22,PhpReserved!A:A,PhpReserved!B:B,""))</f>
        <v/>
      </c>
      <c r="M22" t="str">
        <f>IF(_xlfn.XLOOKUP(F22,PhpFunctions!A:A,PhpFunctions!B:B,"") =  "", _xlfn.XLOOKUP(G22,PhpFunctions!A:A,PhpFunctions!B:B,""), _xlfn.XLOOKUP(F22,PhpFunctions!A:A,PhpFunctions!B:B,""))</f>
        <v/>
      </c>
      <c r="N22" t="str">
        <f>IF(_xlfn.XLOOKUP(F22,PhpParamFunc!A:A,PhpParamFunc!B:B,"") = "", _xlfn.XLOOKUP(G22,PhpParamFunc!A:A,PhpParamFunc!B:B,""), _xlfn.XLOOKUP(F22,PhpParamFunc!A:A,PhpParamFunc!B:B,""))</f>
        <v/>
      </c>
      <c r="O22" t="str">
        <f>IF(_xlfn.XLOOKUP(F22,PhpAggrFunc!A:A,PhpAggrFunc!B:B,"") = "", _xlfn.XLOOKUP(G22,PhpAggrFunc!A:A,PhpAggrFunc!B:B,""), _xlfn.XLOOKUP(F22,PhpAggrFunc!A:A,PhpAggrFunc!B:B,""))</f>
        <v/>
      </c>
      <c r="P22" t="str">
        <f t="shared" si="2"/>
        <v>UNRESERVED</v>
      </c>
      <c r="Q22" t="str">
        <f t="shared" si="3"/>
        <v>static const String^ TOK_ASCII_VAL = "ASCII_VAL";</v>
      </c>
      <c r="R22" t="str">
        <f t="shared" si="4"/>
        <v>static const int TOK_ASCII_VAL = 530;</v>
      </c>
      <c r="S22" t="str">
        <f t="shared" si="5"/>
        <v>// _Tokens-&gt;Add((String^)GramVals::TOK_ASCII_VAL, gcnew Token(GramKeys::TOK_ASCII_VAL, EnumTokenCategory::UNRESERVED,BARE_LABEL, i++));</v>
      </c>
    </row>
    <row r="23" spans="1:19" x14ac:dyDescent="0.25">
      <c r="A23" s="3" t="s">
        <v>1403</v>
      </c>
      <c r="B23" s="5" t="s">
        <v>1006</v>
      </c>
      <c r="C23" s="3" t="s">
        <v>1915</v>
      </c>
      <c r="D23" s="3" t="s">
        <v>2423</v>
      </c>
      <c r="F23" t="str">
        <f t="shared" si="0"/>
        <v>ASIN</v>
      </c>
      <c r="G23" t="s">
        <v>2892</v>
      </c>
      <c r="I23" s="3" t="str">
        <f>IF(_xlfn.XLOOKUP(F23,PgSqlRaw!B:B,PgSqlRaw!E:E,"") = "",_xlfn.XLOOKUP(G23,PgSqlRaw!B:B,PgSqlRaw!E:E,""),_xlfn.XLOOKUP(F23,PgSqlRaw!B:B,PgSqlRaw!E:E,""))</f>
        <v/>
      </c>
      <c r="J23" t="str">
        <f>IF(_xlfn.XLOOKUP(F23,PgSqlRaw!B:B,PgSqlRaw!F:F,"") = "", _xlfn.XLOOKUP(G23,PgSqlRaw!B:B,PgSqlRaw!F:F,""), _xlfn.XLOOKUP(F23,PgSqlRaw!B:B,PgSqlRaw!F:F,""))</f>
        <v/>
      </c>
      <c r="K23" t="str">
        <f t="shared" si="1"/>
        <v>BARE_LABEL</v>
      </c>
      <c r="L23" t="str">
        <f>IF(_xlfn.XLOOKUP(F23,PhpReserved!A:A,PhpReserved!B:B,"") = "", _xlfn.XLOOKUP(G23,PhpReserved!A:A,PhpReserved!B:B,""),_xlfn.XLOOKUP(F23,PhpReserved!A:A,PhpReserved!B:B,""))</f>
        <v>RESERVED</v>
      </c>
      <c r="M23" t="str">
        <f>IF(_xlfn.XLOOKUP(F23,PhpFunctions!A:A,PhpFunctions!B:B,"") =  "", _xlfn.XLOOKUP(G23,PhpFunctions!A:A,PhpFunctions!B:B,""), _xlfn.XLOOKUP(F23,PhpFunctions!A:A,PhpFunctions!B:B,""))</f>
        <v>FUNCTION</v>
      </c>
      <c r="N23" t="str">
        <f>IF(_xlfn.XLOOKUP(F23,PhpParamFunc!A:A,PhpParamFunc!B:B,"") = "", _xlfn.XLOOKUP(G23,PhpParamFunc!A:A,PhpParamFunc!B:B,""), _xlfn.XLOOKUP(F23,PhpParamFunc!A:A,PhpParamFunc!B:B,""))</f>
        <v>PARAM_FUNCTION</v>
      </c>
      <c r="O23" t="str">
        <f>IF(_xlfn.XLOOKUP(F23,PhpAggrFunc!A:A,PhpAggrFunc!B:B,"") = "", _xlfn.XLOOKUP(G23,PhpAggrFunc!A:A,PhpAggrFunc!B:B,""), _xlfn.XLOOKUP(F23,PhpAggrFunc!A:A,PhpAggrFunc!B:B,""))</f>
        <v/>
      </c>
      <c r="P23" t="str">
        <f t="shared" si="2"/>
        <v>PARAM_FUNCTION</v>
      </c>
      <c r="Q23" t="str">
        <f t="shared" si="3"/>
        <v>static const String^ TOK_ASIN = "ASIN";</v>
      </c>
      <c r="R23" t="str">
        <f t="shared" si="4"/>
        <v>static const int TOK_ASIN = 531;</v>
      </c>
      <c r="S23" t="str">
        <f t="shared" si="5"/>
        <v>_Tokens-&gt;Add((String^)GramVals::TOK_ASIN, gcnew Token(GramKeys::TOK_ASIN, EnumTokenCategory::PARAM_FUNCTION,BARE_LABEL, i++));</v>
      </c>
    </row>
    <row r="24" spans="1:19" x14ac:dyDescent="0.25">
      <c r="A24" s="3" t="s">
        <v>1404</v>
      </c>
      <c r="B24" s="5" t="s">
        <v>1007</v>
      </c>
      <c r="C24" s="3" t="s">
        <v>1916</v>
      </c>
      <c r="D24" s="3" t="s">
        <v>2423</v>
      </c>
      <c r="F24" t="str">
        <f t="shared" si="0"/>
        <v>ASINH</v>
      </c>
      <c r="G24" t="s">
        <v>3626</v>
      </c>
      <c r="I24" s="3" t="str">
        <f>IF(_xlfn.XLOOKUP(F24,PgSqlRaw!B:B,PgSqlRaw!E:E,"") = "",_xlfn.XLOOKUP(G24,PgSqlRaw!B:B,PgSqlRaw!E:E,""),_xlfn.XLOOKUP(F24,PgSqlRaw!B:B,PgSqlRaw!E:E,""))</f>
        <v/>
      </c>
      <c r="J24" t="str">
        <f>IF(_xlfn.XLOOKUP(F24,PgSqlRaw!B:B,PgSqlRaw!F:F,"") = "", _xlfn.XLOOKUP(G24,PgSqlRaw!B:B,PgSqlRaw!F:F,""), _xlfn.XLOOKUP(F24,PgSqlRaw!B:B,PgSqlRaw!F:F,""))</f>
        <v/>
      </c>
      <c r="K24" t="str">
        <f t="shared" si="1"/>
        <v>BARE_LABEL</v>
      </c>
      <c r="L24" t="str">
        <f>IF(_xlfn.XLOOKUP(F24,PhpReserved!A:A,PhpReserved!B:B,"") = "", _xlfn.XLOOKUP(G24,PhpReserved!A:A,PhpReserved!B:B,""),_xlfn.XLOOKUP(F24,PhpReserved!A:A,PhpReserved!B:B,""))</f>
        <v/>
      </c>
      <c r="M24" t="str">
        <f>IF(_xlfn.XLOOKUP(F24,PhpFunctions!A:A,PhpFunctions!B:B,"") =  "", _xlfn.XLOOKUP(G24,PhpFunctions!A:A,PhpFunctions!B:B,""), _xlfn.XLOOKUP(F24,PhpFunctions!A:A,PhpFunctions!B:B,""))</f>
        <v/>
      </c>
      <c r="N24" t="str">
        <f>IF(_xlfn.XLOOKUP(F24,PhpParamFunc!A:A,PhpParamFunc!B:B,"") = "", _xlfn.XLOOKUP(G24,PhpParamFunc!A:A,PhpParamFunc!B:B,""), _xlfn.XLOOKUP(F24,PhpParamFunc!A:A,PhpParamFunc!B:B,""))</f>
        <v/>
      </c>
      <c r="O24" t="str">
        <f>IF(_xlfn.XLOOKUP(F24,PhpAggrFunc!A:A,PhpAggrFunc!B:B,"") = "", _xlfn.XLOOKUP(G24,PhpAggrFunc!A:A,PhpAggrFunc!B:B,""), _xlfn.XLOOKUP(F24,PhpAggrFunc!A:A,PhpAggrFunc!B:B,""))</f>
        <v/>
      </c>
      <c r="P24" t="str">
        <f t="shared" si="2"/>
        <v>UNRESERVED</v>
      </c>
      <c r="Q24" t="str">
        <f t="shared" si="3"/>
        <v>static const String^ TOK_ASINH = "ASINH";</v>
      </c>
      <c r="R24" t="str">
        <f t="shared" si="4"/>
        <v>static const int TOK_ASINH = 624;</v>
      </c>
      <c r="S24" t="str">
        <f t="shared" si="5"/>
        <v>// _Tokens-&gt;Add((String^)GramVals::TOK_ASINH, gcnew Token(GramKeys::TOK_ASINH, EnumTokenCategory::UNRESERVED,BARE_LABEL, i++));</v>
      </c>
    </row>
    <row r="25" spans="1:19" x14ac:dyDescent="0.25">
      <c r="A25" s="3" t="s">
        <v>1405</v>
      </c>
      <c r="B25" s="5" t="s">
        <v>1008</v>
      </c>
      <c r="C25" s="3" t="s">
        <v>1917</v>
      </c>
      <c r="D25" s="3" t="s">
        <v>881</v>
      </c>
      <c r="F25" t="str">
        <f t="shared" si="0"/>
        <v>AT</v>
      </c>
      <c r="G25" t="s">
        <v>3327</v>
      </c>
      <c r="I25" s="3" t="str">
        <f>IF(_xlfn.XLOOKUP(F25,PgSqlRaw!B:B,PgSqlRaw!E:E,"") = "",_xlfn.XLOOKUP(G25,PgSqlRaw!B:B,PgSqlRaw!E:E,""),_xlfn.XLOOKUP(F25,PgSqlRaw!B:B,PgSqlRaw!E:E,""))</f>
        <v/>
      </c>
      <c r="J25" t="str">
        <f>IF(_xlfn.XLOOKUP(F25,PgSqlRaw!B:B,PgSqlRaw!F:F,"") = "", _xlfn.XLOOKUP(G25,PgSqlRaw!B:B,PgSqlRaw!F:F,""), _xlfn.XLOOKUP(F25,PgSqlRaw!B:B,PgSqlRaw!F:F,""))</f>
        <v>BARE_LABEL</v>
      </c>
      <c r="K25" t="str">
        <f t="shared" si="1"/>
        <v>BARE_LABEL</v>
      </c>
      <c r="L25" t="str">
        <f>IF(_xlfn.XLOOKUP(F25,PhpReserved!A:A,PhpReserved!B:B,"") = "", _xlfn.XLOOKUP(G25,PhpReserved!A:A,PhpReserved!B:B,""),_xlfn.XLOOKUP(F25,PhpReserved!A:A,PhpReserved!B:B,""))</f>
        <v/>
      </c>
      <c r="M25" t="str">
        <f>IF(_xlfn.XLOOKUP(F25,PhpFunctions!A:A,PhpFunctions!B:B,"") =  "", _xlfn.XLOOKUP(G25,PhpFunctions!A:A,PhpFunctions!B:B,""), _xlfn.XLOOKUP(F25,PhpFunctions!A:A,PhpFunctions!B:B,""))</f>
        <v/>
      </c>
      <c r="N25" t="str">
        <f>IF(_xlfn.XLOOKUP(F25,PhpParamFunc!A:A,PhpParamFunc!B:B,"") = "", _xlfn.XLOOKUP(G25,PhpParamFunc!A:A,PhpParamFunc!B:B,""), _xlfn.XLOOKUP(F25,PhpParamFunc!A:A,PhpParamFunc!B:B,""))</f>
        <v/>
      </c>
      <c r="O25" t="str">
        <f>IF(_xlfn.XLOOKUP(F25,PhpAggrFunc!A:A,PhpAggrFunc!B:B,"") = "", _xlfn.XLOOKUP(G25,PhpAggrFunc!A:A,PhpAggrFunc!B:B,""), _xlfn.XLOOKUP(F25,PhpAggrFunc!A:A,PhpAggrFunc!B:B,""))</f>
        <v/>
      </c>
      <c r="P25" t="str">
        <f t="shared" si="2"/>
        <v>UNRESERVED</v>
      </c>
      <c r="Q25" t="str">
        <f t="shared" si="3"/>
        <v>static const String^ TOK_AT = "AT";</v>
      </c>
      <c r="R25" t="str">
        <f t="shared" si="4"/>
        <v>static const int TOK_AT = 266;</v>
      </c>
      <c r="S25" t="str">
        <f t="shared" si="5"/>
        <v>// _Tokens-&gt;Add((String^)GramVals::TOK_AT, gcnew Token(GramKeys::TOK_AT, EnumTokenCategory::UNRESERVED,BARE_LABEL, i++));</v>
      </c>
    </row>
    <row r="26" spans="1:19" x14ac:dyDescent="0.25">
      <c r="A26" s="3" t="s">
        <v>1406</v>
      </c>
      <c r="B26" s="5" t="s">
        <v>1009</v>
      </c>
      <c r="C26" s="3" t="s">
        <v>1918</v>
      </c>
      <c r="D26" s="3" t="s">
        <v>2423</v>
      </c>
      <c r="F26" t="str">
        <f t="shared" si="0"/>
        <v>ATAN</v>
      </c>
      <c r="G26" t="s">
        <v>2893</v>
      </c>
      <c r="I26" s="3" t="str">
        <f>IF(_xlfn.XLOOKUP(F26,PgSqlRaw!B:B,PgSqlRaw!E:E,"") = "",_xlfn.XLOOKUP(G26,PgSqlRaw!B:B,PgSqlRaw!E:E,""),_xlfn.XLOOKUP(F26,PgSqlRaw!B:B,PgSqlRaw!E:E,""))</f>
        <v/>
      </c>
      <c r="J26" t="str">
        <f>IF(_xlfn.XLOOKUP(F26,PgSqlRaw!B:B,PgSqlRaw!F:F,"") = "", _xlfn.XLOOKUP(G26,PgSqlRaw!B:B,PgSqlRaw!F:F,""), _xlfn.XLOOKUP(F26,PgSqlRaw!B:B,PgSqlRaw!F:F,""))</f>
        <v/>
      </c>
      <c r="K26" t="str">
        <f t="shared" si="1"/>
        <v>BARE_LABEL</v>
      </c>
      <c r="L26" t="str">
        <f>IF(_xlfn.XLOOKUP(F26,PhpReserved!A:A,PhpReserved!B:B,"") = "", _xlfn.XLOOKUP(G26,PhpReserved!A:A,PhpReserved!B:B,""),_xlfn.XLOOKUP(F26,PhpReserved!A:A,PhpReserved!B:B,""))</f>
        <v>RESERVED</v>
      </c>
      <c r="M26" t="str">
        <f>IF(_xlfn.XLOOKUP(F26,PhpFunctions!A:A,PhpFunctions!B:B,"") =  "", _xlfn.XLOOKUP(G26,PhpFunctions!A:A,PhpFunctions!B:B,""), _xlfn.XLOOKUP(F26,PhpFunctions!A:A,PhpFunctions!B:B,""))</f>
        <v>FUNCTION</v>
      </c>
      <c r="N26" t="str">
        <f>IF(_xlfn.XLOOKUP(F26,PhpParamFunc!A:A,PhpParamFunc!B:B,"") = "", _xlfn.XLOOKUP(G26,PhpParamFunc!A:A,PhpParamFunc!B:B,""), _xlfn.XLOOKUP(F26,PhpParamFunc!A:A,PhpParamFunc!B:B,""))</f>
        <v>PARAM_FUNCTION</v>
      </c>
      <c r="O26" t="str">
        <f>IF(_xlfn.XLOOKUP(F26,PhpAggrFunc!A:A,PhpAggrFunc!B:B,"") = "", _xlfn.XLOOKUP(G26,PhpAggrFunc!A:A,PhpAggrFunc!B:B,""), _xlfn.XLOOKUP(F26,PhpAggrFunc!A:A,PhpAggrFunc!B:B,""))</f>
        <v/>
      </c>
      <c r="P26" t="str">
        <f t="shared" si="2"/>
        <v>PARAM_FUNCTION</v>
      </c>
      <c r="Q26" t="str">
        <f t="shared" si="3"/>
        <v>static const String^ TOK_ATAN = "ATAN";</v>
      </c>
      <c r="R26" t="str">
        <f t="shared" si="4"/>
        <v>static const int TOK_ATAN = 532;</v>
      </c>
      <c r="S26" t="str">
        <f t="shared" si="5"/>
        <v>_Tokens-&gt;Add((String^)GramVals::TOK_ATAN, gcnew Token(GramKeys::TOK_ATAN, EnumTokenCategory::PARAM_FUNCTION,BARE_LABEL, i++));</v>
      </c>
    </row>
    <row r="27" spans="1:19" x14ac:dyDescent="0.25">
      <c r="A27" s="3" t="s">
        <v>1407</v>
      </c>
      <c r="B27" s="5" t="s">
        <v>1010</v>
      </c>
      <c r="C27" s="3" t="s">
        <v>1919</v>
      </c>
      <c r="D27" s="3" t="s">
        <v>2423</v>
      </c>
      <c r="F27" t="str">
        <f t="shared" si="0"/>
        <v>ATAN2</v>
      </c>
      <c r="G27" t="s">
        <v>3627</v>
      </c>
      <c r="I27" s="3" t="str">
        <f>IF(_xlfn.XLOOKUP(F27,PgSqlRaw!B:B,PgSqlRaw!E:E,"") = "",_xlfn.XLOOKUP(G27,PgSqlRaw!B:B,PgSqlRaw!E:E,""),_xlfn.XLOOKUP(F27,PgSqlRaw!B:B,PgSqlRaw!E:E,""))</f>
        <v/>
      </c>
      <c r="J27" t="str">
        <f>IF(_xlfn.XLOOKUP(F27,PgSqlRaw!B:B,PgSqlRaw!F:F,"") = "", _xlfn.XLOOKUP(G27,PgSqlRaw!B:B,PgSqlRaw!F:F,""), _xlfn.XLOOKUP(F27,PgSqlRaw!B:B,PgSqlRaw!F:F,""))</f>
        <v/>
      </c>
      <c r="K27" t="str">
        <f t="shared" si="1"/>
        <v>BARE_LABEL</v>
      </c>
      <c r="L27" t="str">
        <f>IF(_xlfn.XLOOKUP(F27,PhpReserved!A:A,PhpReserved!B:B,"") = "", _xlfn.XLOOKUP(G27,PhpReserved!A:A,PhpReserved!B:B,""),_xlfn.XLOOKUP(F27,PhpReserved!A:A,PhpReserved!B:B,""))</f>
        <v/>
      </c>
      <c r="M27" t="str">
        <f>IF(_xlfn.XLOOKUP(F27,PhpFunctions!A:A,PhpFunctions!B:B,"") =  "", _xlfn.XLOOKUP(G27,PhpFunctions!A:A,PhpFunctions!B:B,""), _xlfn.XLOOKUP(F27,PhpFunctions!A:A,PhpFunctions!B:B,""))</f>
        <v/>
      </c>
      <c r="N27" t="str">
        <f>IF(_xlfn.XLOOKUP(F27,PhpParamFunc!A:A,PhpParamFunc!B:B,"") = "", _xlfn.XLOOKUP(G27,PhpParamFunc!A:A,PhpParamFunc!B:B,""), _xlfn.XLOOKUP(F27,PhpParamFunc!A:A,PhpParamFunc!B:B,""))</f>
        <v/>
      </c>
      <c r="O27" t="str">
        <f>IF(_xlfn.XLOOKUP(F27,PhpAggrFunc!A:A,PhpAggrFunc!B:B,"") = "", _xlfn.XLOOKUP(G27,PhpAggrFunc!A:A,PhpAggrFunc!B:B,""), _xlfn.XLOOKUP(F27,PhpAggrFunc!A:A,PhpAggrFunc!B:B,""))</f>
        <v/>
      </c>
      <c r="P27" t="str">
        <f t="shared" si="2"/>
        <v>UNRESERVED</v>
      </c>
      <c r="Q27" t="str">
        <f t="shared" si="3"/>
        <v>static const String^ TOK_ATAN2 = "ATAN2";</v>
      </c>
      <c r="R27" t="str">
        <f t="shared" si="4"/>
        <v>static const int TOK_ATAN2 = 533;</v>
      </c>
      <c r="S27" t="str">
        <f t="shared" si="5"/>
        <v>// _Tokens-&gt;Add((String^)GramVals::TOK_ATAN2, gcnew Token(GramKeys::TOK_ATAN2, EnumTokenCategory::UNRESERVED,BARE_LABEL, i++));</v>
      </c>
    </row>
    <row r="28" spans="1:19" x14ac:dyDescent="0.25">
      <c r="A28" s="3" t="s">
        <v>1408</v>
      </c>
      <c r="B28" s="5" t="s">
        <v>1011</v>
      </c>
      <c r="C28" s="3" t="s">
        <v>1920</v>
      </c>
      <c r="D28" s="3" t="s">
        <v>2423</v>
      </c>
      <c r="F28" t="str">
        <f t="shared" si="0"/>
        <v>ATANH</v>
      </c>
      <c r="G28" t="s">
        <v>3628</v>
      </c>
      <c r="I28" s="3" t="str">
        <f>IF(_xlfn.XLOOKUP(F28,PgSqlRaw!B:B,PgSqlRaw!E:E,"") = "",_xlfn.XLOOKUP(G28,PgSqlRaw!B:B,PgSqlRaw!E:E,""),_xlfn.XLOOKUP(F28,PgSqlRaw!B:B,PgSqlRaw!E:E,""))</f>
        <v/>
      </c>
      <c r="J28" t="str">
        <f>IF(_xlfn.XLOOKUP(F28,PgSqlRaw!B:B,PgSqlRaw!F:F,"") = "", _xlfn.XLOOKUP(G28,PgSqlRaw!B:B,PgSqlRaw!F:F,""), _xlfn.XLOOKUP(F28,PgSqlRaw!B:B,PgSqlRaw!F:F,""))</f>
        <v/>
      </c>
      <c r="K28" t="str">
        <f t="shared" si="1"/>
        <v>BARE_LABEL</v>
      </c>
      <c r="L28" t="str">
        <f>IF(_xlfn.XLOOKUP(F28,PhpReserved!A:A,PhpReserved!B:B,"") = "", _xlfn.XLOOKUP(G28,PhpReserved!A:A,PhpReserved!B:B,""),_xlfn.XLOOKUP(F28,PhpReserved!A:A,PhpReserved!B:B,""))</f>
        <v/>
      </c>
      <c r="M28" t="str">
        <f>IF(_xlfn.XLOOKUP(F28,PhpFunctions!A:A,PhpFunctions!B:B,"") =  "", _xlfn.XLOOKUP(G28,PhpFunctions!A:A,PhpFunctions!B:B,""), _xlfn.XLOOKUP(F28,PhpFunctions!A:A,PhpFunctions!B:B,""))</f>
        <v/>
      </c>
      <c r="N28" t="str">
        <f>IF(_xlfn.XLOOKUP(F28,PhpParamFunc!A:A,PhpParamFunc!B:B,"") = "", _xlfn.XLOOKUP(G28,PhpParamFunc!A:A,PhpParamFunc!B:B,""), _xlfn.XLOOKUP(F28,PhpParamFunc!A:A,PhpParamFunc!B:B,""))</f>
        <v/>
      </c>
      <c r="O28" t="str">
        <f>IF(_xlfn.XLOOKUP(F28,PhpAggrFunc!A:A,PhpAggrFunc!B:B,"") = "", _xlfn.XLOOKUP(G28,PhpAggrFunc!A:A,PhpAggrFunc!B:B,""), _xlfn.XLOOKUP(F28,PhpAggrFunc!A:A,PhpAggrFunc!B:B,""))</f>
        <v/>
      </c>
      <c r="P28" t="str">
        <f t="shared" si="2"/>
        <v>UNRESERVED</v>
      </c>
      <c r="Q28" t="str">
        <f t="shared" si="3"/>
        <v>static const String^ TOK_ATANH = "ATANH";</v>
      </c>
      <c r="R28" t="str">
        <f t="shared" si="4"/>
        <v>static const int TOK_ATANH = 625;</v>
      </c>
      <c r="S28" t="str">
        <f t="shared" si="5"/>
        <v>// _Tokens-&gt;Add((String^)GramVals::TOK_ATANH, gcnew Token(GramKeys::TOK_ATANH, EnumTokenCategory::UNRESERVED,BARE_LABEL, i++));</v>
      </c>
    </row>
    <row r="29" spans="1:19" x14ac:dyDescent="0.25">
      <c r="A29" s="3" t="s">
        <v>1409</v>
      </c>
      <c r="B29" s="5" t="s">
        <v>1012</v>
      </c>
      <c r="C29" s="3" t="s">
        <v>1921</v>
      </c>
      <c r="D29" s="3" t="s">
        <v>2423</v>
      </c>
      <c r="F29" t="str">
        <f t="shared" si="0"/>
        <v>AUTO</v>
      </c>
      <c r="G29" t="s">
        <v>3629</v>
      </c>
      <c r="I29" s="3" t="str">
        <f>IF(_xlfn.XLOOKUP(F29,PgSqlRaw!B:B,PgSqlRaw!E:E,"") = "",_xlfn.XLOOKUP(G29,PgSqlRaw!B:B,PgSqlRaw!E:E,""),_xlfn.XLOOKUP(F29,PgSqlRaw!B:B,PgSqlRaw!E:E,""))</f>
        <v/>
      </c>
      <c r="J29" t="str">
        <f>IF(_xlfn.XLOOKUP(F29,PgSqlRaw!B:B,PgSqlRaw!F:F,"") = "", _xlfn.XLOOKUP(G29,PgSqlRaw!B:B,PgSqlRaw!F:F,""), _xlfn.XLOOKUP(F29,PgSqlRaw!B:B,PgSqlRaw!F:F,""))</f>
        <v/>
      </c>
      <c r="K29" t="str">
        <f t="shared" si="1"/>
        <v>BARE_LABEL</v>
      </c>
      <c r="L29" t="str">
        <f>IF(_xlfn.XLOOKUP(F29,PhpReserved!A:A,PhpReserved!B:B,"") = "", _xlfn.XLOOKUP(G29,PhpReserved!A:A,PhpReserved!B:B,""),_xlfn.XLOOKUP(F29,PhpReserved!A:A,PhpReserved!B:B,""))</f>
        <v/>
      </c>
      <c r="M29" t="str">
        <f>IF(_xlfn.XLOOKUP(F29,PhpFunctions!A:A,PhpFunctions!B:B,"") =  "", _xlfn.XLOOKUP(G29,PhpFunctions!A:A,PhpFunctions!B:B,""), _xlfn.XLOOKUP(F29,PhpFunctions!A:A,PhpFunctions!B:B,""))</f>
        <v/>
      </c>
      <c r="N29" t="str">
        <f>IF(_xlfn.XLOOKUP(F29,PhpParamFunc!A:A,PhpParamFunc!B:B,"") = "", _xlfn.XLOOKUP(G29,PhpParamFunc!A:A,PhpParamFunc!B:B,""), _xlfn.XLOOKUP(F29,PhpParamFunc!A:A,PhpParamFunc!B:B,""))</f>
        <v/>
      </c>
      <c r="O29" t="str">
        <f>IF(_xlfn.XLOOKUP(F29,PhpAggrFunc!A:A,PhpAggrFunc!B:B,"") = "", _xlfn.XLOOKUP(G29,PhpAggrFunc!A:A,PhpAggrFunc!B:B,""), _xlfn.XLOOKUP(F29,PhpAggrFunc!A:A,PhpAggrFunc!B:B,""))</f>
        <v/>
      </c>
      <c r="P29" t="str">
        <f t="shared" si="2"/>
        <v>UNRESERVED</v>
      </c>
      <c r="Q29" t="str">
        <f t="shared" si="3"/>
        <v>static const String^ TOK_AUTO = "AUTO";</v>
      </c>
      <c r="R29" t="str">
        <f t="shared" si="4"/>
        <v>static const int TOK_AUTO = 268;</v>
      </c>
      <c r="S29" t="str">
        <f t="shared" si="5"/>
        <v>// _Tokens-&gt;Add((String^)GramVals::TOK_AUTO, gcnew Token(GramKeys::TOK_AUTO, EnumTokenCategory::UNRESERVED,BARE_LABEL, i++));</v>
      </c>
    </row>
    <row r="30" spans="1:19" x14ac:dyDescent="0.25">
      <c r="A30" s="3" t="s">
        <v>1410</v>
      </c>
      <c r="B30" s="5" t="s">
        <v>1013</v>
      </c>
      <c r="C30" s="3" t="s">
        <v>1922</v>
      </c>
      <c r="D30" s="3" t="s">
        <v>2423</v>
      </c>
      <c r="F30" t="str">
        <f t="shared" si="0"/>
        <v>AUTONOMOUS</v>
      </c>
      <c r="G30" t="s">
        <v>3630</v>
      </c>
      <c r="I30" s="3" t="str">
        <f>IF(_xlfn.XLOOKUP(F30,PgSqlRaw!B:B,PgSqlRaw!E:E,"") = "",_xlfn.XLOOKUP(G30,PgSqlRaw!B:B,PgSqlRaw!E:E,""),_xlfn.XLOOKUP(F30,PgSqlRaw!B:B,PgSqlRaw!E:E,""))</f>
        <v/>
      </c>
      <c r="J30" t="str">
        <f>IF(_xlfn.XLOOKUP(F30,PgSqlRaw!B:B,PgSqlRaw!F:F,"") = "", _xlfn.XLOOKUP(G30,PgSqlRaw!B:B,PgSqlRaw!F:F,""), _xlfn.XLOOKUP(F30,PgSqlRaw!B:B,PgSqlRaw!F:F,""))</f>
        <v/>
      </c>
      <c r="K30" t="str">
        <f t="shared" si="1"/>
        <v>BARE_LABEL</v>
      </c>
      <c r="L30" t="str">
        <f>IF(_xlfn.XLOOKUP(F30,PhpReserved!A:A,PhpReserved!B:B,"") = "", _xlfn.XLOOKUP(G30,PhpReserved!A:A,PhpReserved!B:B,""),_xlfn.XLOOKUP(F30,PhpReserved!A:A,PhpReserved!B:B,""))</f>
        <v/>
      </c>
      <c r="M30" t="str">
        <f>IF(_xlfn.XLOOKUP(F30,PhpFunctions!A:A,PhpFunctions!B:B,"") =  "", _xlfn.XLOOKUP(G30,PhpFunctions!A:A,PhpFunctions!B:B,""), _xlfn.XLOOKUP(F30,PhpFunctions!A:A,PhpFunctions!B:B,""))</f>
        <v/>
      </c>
      <c r="N30" t="str">
        <f>IF(_xlfn.XLOOKUP(F30,PhpParamFunc!A:A,PhpParamFunc!B:B,"") = "", _xlfn.XLOOKUP(G30,PhpParamFunc!A:A,PhpParamFunc!B:B,""), _xlfn.XLOOKUP(F30,PhpParamFunc!A:A,PhpParamFunc!B:B,""))</f>
        <v/>
      </c>
      <c r="O30" t="str">
        <f>IF(_xlfn.XLOOKUP(F30,PhpAggrFunc!A:A,PhpAggrFunc!B:B,"") = "", _xlfn.XLOOKUP(G30,PhpAggrFunc!A:A,PhpAggrFunc!B:B,""), _xlfn.XLOOKUP(F30,PhpAggrFunc!A:A,PhpAggrFunc!B:B,""))</f>
        <v/>
      </c>
      <c r="P30" t="str">
        <f t="shared" si="2"/>
        <v>UNRESERVED</v>
      </c>
      <c r="Q30" t="str">
        <f t="shared" si="3"/>
        <v>static const String^ TOK_AUTONOMOUS = "AUTONOMOUS";</v>
      </c>
      <c r="R30" t="str">
        <f t="shared" si="4"/>
        <v>static const int TOK_AUTONOMOUS = 590;</v>
      </c>
      <c r="S30" t="str">
        <f t="shared" si="5"/>
        <v>// _Tokens-&gt;Add((String^)GramVals::TOK_AUTONOMOUS, gcnew Token(GramKeys::TOK_AUTONOMOUS, EnumTokenCategory::UNRESERVED,BARE_LABEL, i++));</v>
      </c>
    </row>
    <row r="31" spans="1:19" x14ac:dyDescent="0.25">
      <c r="A31" s="3" t="s">
        <v>1411</v>
      </c>
      <c r="B31" s="5" t="s">
        <v>1014</v>
      </c>
      <c r="C31" s="3" t="s">
        <v>1923</v>
      </c>
      <c r="D31" s="3" t="s">
        <v>881</v>
      </c>
      <c r="F31" t="str">
        <f t="shared" si="0"/>
        <v>AVG</v>
      </c>
      <c r="G31" t="s">
        <v>2894</v>
      </c>
      <c r="I31" s="3" t="str">
        <f>IF(_xlfn.XLOOKUP(F31,PgSqlRaw!B:B,PgSqlRaw!E:E,"") = "",_xlfn.XLOOKUP(G31,PgSqlRaw!B:B,PgSqlRaw!E:E,""),_xlfn.XLOOKUP(F31,PgSqlRaw!B:B,PgSqlRaw!E:E,""))</f>
        <v/>
      </c>
      <c r="J31" t="str">
        <f>IF(_xlfn.XLOOKUP(F31,PgSqlRaw!B:B,PgSqlRaw!F:F,"") = "", _xlfn.XLOOKUP(G31,PgSqlRaw!B:B,PgSqlRaw!F:F,""), _xlfn.XLOOKUP(F31,PgSqlRaw!B:B,PgSqlRaw!F:F,""))</f>
        <v/>
      </c>
      <c r="K31" t="str">
        <f t="shared" si="1"/>
        <v>BARE_LABEL</v>
      </c>
      <c r="L31" t="str">
        <f>IF(_xlfn.XLOOKUP(F31,PhpReserved!A:A,PhpReserved!B:B,"") = "", _xlfn.XLOOKUP(G31,PhpReserved!A:A,PhpReserved!B:B,""),_xlfn.XLOOKUP(F31,PhpReserved!A:A,PhpReserved!B:B,""))</f>
        <v>RESERVED</v>
      </c>
      <c r="M31" t="str">
        <f>IF(_xlfn.XLOOKUP(F31,PhpFunctions!A:A,PhpFunctions!B:B,"") =  "", _xlfn.XLOOKUP(G31,PhpFunctions!A:A,PhpFunctions!B:B,""), _xlfn.XLOOKUP(F31,PhpFunctions!A:A,PhpFunctions!B:B,""))</f>
        <v>FUNCTION</v>
      </c>
      <c r="N31" t="str">
        <f>IF(_xlfn.XLOOKUP(F31,PhpParamFunc!A:A,PhpParamFunc!B:B,"") = "", _xlfn.XLOOKUP(G31,PhpParamFunc!A:A,PhpParamFunc!B:B,""), _xlfn.XLOOKUP(F31,PhpParamFunc!A:A,PhpParamFunc!B:B,""))</f>
        <v>PARAM_FUNCTION</v>
      </c>
      <c r="O31" t="str">
        <f>IF(_xlfn.XLOOKUP(F31,PhpAggrFunc!A:A,PhpAggrFunc!B:B,"") = "", _xlfn.XLOOKUP(G31,PhpAggrFunc!A:A,PhpAggrFunc!B:B,""), _xlfn.XLOOKUP(F31,PhpAggrFunc!A:A,PhpAggrFunc!B:B,""))</f>
        <v>AGGR_FUNCTION</v>
      </c>
      <c r="P31" t="str">
        <f t="shared" si="2"/>
        <v>AGGR_FUNCTION</v>
      </c>
      <c r="Q31" t="str">
        <f t="shared" si="3"/>
        <v>static const String^ TOK_AVG = "AVG";</v>
      </c>
      <c r="R31" t="str">
        <f t="shared" si="4"/>
        <v>static const int TOK_AVG = 267;</v>
      </c>
      <c r="S31" t="str">
        <f t="shared" si="5"/>
        <v>_Tokens-&gt;Add((String^)GramVals::TOK_AVG, gcnew Token(GramKeys::TOK_AVG, EnumTokenCategory::AGGR_FUNCTION,BARE_LABEL, i++));</v>
      </c>
    </row>
    <row r="32" spans="1:19" x14ac:dyDescent="0.25">
      <c r="A32" s="3" t="s">
        <v>1412</v>
      </c>
      <c r="B32" s="5" t="s">
        <v>1015</v>
      </c>
      <c r="C32" s="3" t="s">
        <v>1924</v>
      </c>
      <c r="D32" s="3" t="s">
        <v>2423</v>
      </c>
      <c r="F32" t="str">
        <f t="shared" si="0"/>
        <v>BACKUP</v>
      </c>
      <c r="G32" t="s">
        <v>3631</v>
      </c>
      <c r="I32" s="3" t="str">
        <f>IF(_xlfn.XLOOKUP(F32,PgSqlRaw!B:B,PgSqlRaw!E:E,"") = "",_xlfn.XLOOKUP(G32,PgSqlRaw!B:B,PgSqlRaw!E:E,""),_xlfn.XLOOKUP(F32,PgSqlRaw!B:B,PgSqlRaw!E:E,""))</f>
        <v/>
      </c>
      <c r="J32" t="str">
        <f>IF(_xlfn.XLOOKUP(F32,PgSqlRaw!B:B,PgSqlRaw!F:F,"") = "", _xlfn.XLOOKUP(G32,PgSqlRaw!B:B,PgSqlRaw!F:F,""), _xlfn.XLOOKUP(F32,PgSqlRaw!B:B,PgSqlRaw!F:F,""))</f>
        <v/>
      </c>
      <c r="K32" t="str">
        <f t="shared" si="1"/>
        <v>BARE_LABEL</v>
      </c>
      <c r="L32" t="str">
        <f>IF(_xlfn.XLOOKUP(F32,PhpReserved!A:A,PhpReserved!B:B,"") = "", _xlfn.XLOOKUP(G32,PhpReserved!A:A,PhpReserved!B:B,""),_xlfn.XLOOKUP(F32,PhpReserved!A:A,PhpReserved!B:B,""))</f>
        <v/>
      </c>
      <c r="M32" t="str">
        <f>IF(_xlfn.XLOOKUP(F32,PhpFunctions!A:A,PhpFunctions!B:B,"") =  "", _xlfn.XLOOKUP(G32,PhpFunctions!A:A,PhpFunctions!B:B,""), _xlfn.XLOOKUP(F32,PhpFunctions!A:A,PhpFunctions!B:B,""))</f>
        <v/>
      </c>
      <c r="N32" t="str">
        <f>IF(_xlfn.XLOOKUP(F32,PhpParamFunc!A:A,PhpParamFunc!B:B,"") = "", _xlfn.XLOOKUP(G32,PhpParamFunc!A:A,PhpParamFunc!B:B,""), _xlfn.XLOOKUP(F32,PhpParamFunc!A:A,PhpParamFunc!B:B,""))</f>
        <v/>
      </c>
      <c r="O32" t="str">
        <f>IF(_xlfn.XLOOKUP(F32,PhpAggrFunc!A:A,PhpAggrFunc!B:B,"") = "", _xlfn.XLOOKUP(G32,PhpAggrFunc!A:A,PhpAggrFunc!B:B,""), _xlfn.XLOOKUP(F32,PhpAggrFunc!A:A,PhpAggrFunc!B:B,""))</f>
        <v/>
      </c>
      <c r="P32" t="str">
        <f t="shared" si="2"/>
        <v>UNRESERVED</v>
      </c>
      <c r="Q32" t="str">
        <f t="shared" si="3"/>
        <v>static const String^ TOK_BACKUP = "BACKUP";</v>
      </c>
      <c r="R32" t="str">
        <f t="shared" si="4"/>
        <v>static const int TOK_BACKUP = 495;</v>
      </c>
      <c r="S32" t="str">
        <f t="shared" si="5"/>
        <v>// _Tokens-&gt;Add((String^)GramVals::TOK_BACKUP, gcnew Token(GramKeys::TOK_BACKUP, EnumTokenCategory::UNRESERVED,BARE_LABEL, i++));</v>
      </c>
    </row>
    <row r="33" spans="1:19" x14ac:dyDescent="0.25">
      <c r="A33" s="3" t="s">
        <v>1413</v>
      </c>
      <c r="B33" s="5">
        <v>653</v>
      </c>
      <c r="C33" s="3" t="s">
        <v>1925</v>
      </c>
      <c r="D33" s="3" t="s">
        <v>2423</v>
      </c>
      <c r="F33" t="str">
        <f t="shared" si="0"/>
        <v>BASE64_DECODE</v>
      </c>
      <c r="G33" t="s">
        <v>3632</v>
      </c>
      <c r="I33" s="3" t="str">
        <f>IF(_xlfn.XLOOKUP(F33,PgSqlRaw!B:B,PgSqlRaw!E:E,"") = "",_xlfn.XLOOKUP(G33,PgSqlRaw!B:B,PgSqlRaw!E:E,""),_xlfn.XLOOKUP(F33,PgSqlRaw!B:B,PgSqlRaw!E:E,""))</f>
        <v/>
      </c>
      <c r="J33" t="str">
        <f>IF(_xlfn.XLOOKUP(F33,PgSqlRaw!B:B,PgSqlRaw!F:F,"") = "", _xlfn.XLOOKUP(G33,PgSqlRaw!B:B,PgSqlRaw!F:F,""), _xlfn.XLOOKUP(F33,PgSqlRaw!B:B,PgSqlRaw!F:F,""))</f>
        <v/>
      </c>
      <c r="K33" t="str">
        <f t="shared" si="1"/>
        <v>BARE_LABEL</v>
      </c>
      <c r="L33" t="str">
        <f>IF(_xlfn.XLOOKUP(F33,PhpReserved!A:A,PhpReserved!B:B,"") = "", _xlfn.XLOOKUP(G33,PhpReserved!A:A,PhpReserved!B:B,""),_xlfn.XLOOKUP(F33,PhpReserved!A:A,PhpReserved!B:B,""))</f>
        <v/>
      </c>
      <c r="M33" t="str">
        <f>IF(_xlfn.XLOOKUP(F33,PhpFunctions!A:A,PhpFunctions!B:B,"") =  "", _xlfn.XLOOKUP(G33,PhpFunctions!A:A,PhpFunctions!B:B,""), _xlfn.XLOOKUP(F33,PhpFunctions!A:A,PhpFunctions!B:B,""))</f>
        <v/>
      </c>
      <c r="N33" t="str">
        <f>IF(_xlfn.XLOOKUP(F33,PhpParamFunc!A:A,PhpParamFunc!B:B,"") = "", _xlfn.XLOOKUP(G33,PhpParamFunc!A:A,PhpParamFunc!B:B,""), _xlfn.XLOOKUP(F33,PhpParamFunc!A:A,PhpParamFunc!B:B,""))</f>
        <v/>
      </c>
      <c r="O33" t="str">
        <f>IF(_xlfn.XLOOKUP(F33,PhpAggrFunc!A:A,PhpAggrFunc!B:B,"") = "", _xlfn.XLOOKUP(G33,PhpAggrFunc!A:A,PhpAggrFunc!B:B,""), _xlfn.XLOOKUP(F33,PhpAggrFunc!A:A,PhpAggrFunc!B:B,""))</f>
        <v/>
      </c>
      <c r="P33" t="str">
        <f t="shared" si="2"/>
        <v>UNRESERVED</v>
      </c>
      <c r="Q33" t="str">
        <f t="shared" si="3"/>
        <v>static const String^ TOK_BASE64_DECODE = "BASE64_DECODE";</v>
      </c>
      <c r="R33" t="str">
        <f t="shared" si="4"/>
        <v>static const int TOK_BASE64_DECODE = 653;</v>
      </c>
      <c r="S33" t="str">
        <f t="shared" si="5"/>
        <v>// _Tokens-&gt;Add((String^)GramVals::TOK_BASE64_DECODE, gcnew Token(GramKeys::TOK_BASE64_DECODE, EnumTokenCategory::UNRESERVED,BARE_LABEL, i++));</v>
      </c>
    </row>
    <row r="34" spans="1:19" x14ac:dyDescent="0.25">
      <c r="A34" s="3" t="s">
        <v>1414</v>
      </c>
      <c r="B34" s="5">
        <v>654</v>
      </c>
      <c r="C34" s="3" t="s">
        <v>1926</v>
      </c>
      <c r="D34" s="3" t="s">
        <v>2423</v>
      </c>
      <c r="F34" t="str">
        <f t="shared" si="0"/>
        <v>BASE64_ENCODE</v>
      </c>
      <c r="G34" t="s">
        <v>3633</v>
      </c>
      <c r="I34" s="3" t="str">
        <f>IF(_xlfn.XLOOKUP(F34,PgSqlRaw!B:B,PgSqlRaw!E:E,"") = "",_xlfn.XLOOKUP(G34,PgSqlRaw!B:B,PgSqlRaw!E:E,""),_xlfn.XLOOKUP(F34,PgSqlRaw!B:B,PgSqlRaw!E:E,""))</f>
        <v/>
      </c>
      <c r="J34" t="str">
        <f>IF(_xlfn.XLOOKUP(F34,PgSqlRaw!B:B,PgSqlRaw!F:F,"") = "", _xlfn.XLOOKUP(G34,PgSqlRaw!B:B,PgSqlRaw!F:F,""), _xlfn.XLOOKUP(F34,PgSqlRaw!B:B,PgSqlRaw!F:F,""))</f>
        <v/>
      </c>
      <c r="K34" t="str">
        <f t="shared" si="1"/>
        <v>BARE_LABEL</v>
      </c>
      <c r="L34" t="str">
        <f>IF(_xlfn.XLOOKUP(F34,PhpReserved!A:A,PhpReserved!B:B,"") = "", _xlfn.XLOOKUP(G34,PhpReserved!A:A,PhpReserved!B:B,""),_xlfn.XLOOKUP(F34,PhpReserved!A:A,PhpReserved!B:B,""))</f>
        <v/>
      </c>
      <c r="M34" t="str">
        <f>IF(_xlfn.XLOOKUP(F34,PhpFunctions!A:A,PhpFunctions!B:B,"") =  "", _xlfn.XLOOKUP(G34,PhpFunctions!A:A,PhpFunctions!B:B,""), _xlfn.XLOOKUP(F34,PhpFunctions!A:A,PhpFunctions!B:B,""))</f>
        <v/>
      </c>
      <c r="N34" t="str">
        <f>IF(_xlfn.XLOOKUP(F34,PhpParamFunc!A:A,PhpParamFunc!B:B,"") = "", _xlfn.XLOOKUP(G34,PhpParamFunc!A:A,PhpParamFunc!B:B,""), _xlfn.XLOOKUP(F34,PhpParamFunc!A:A,PhpParamFunc!B:B,""))</f>
        <v/>
      </c>
      <c r="O34" t="str">
        <f>IF(_xlfn.XLOOKUP(F34,PhpAggrFunc!A:A,PhpAggrFunc!B:B,"") = "", _xlfn.XLOOKUP(G34,PhpAggrFunc!A:A,PhpAggrFunc!B:B,""), _xlfn.XLOOKUP(F34,PhpAggrFunc!A:A,PhpAggrFunc!B:B,""))</f>
        <v/>
      </c>
      <c r="P34" t="str">
        <f t="shared" si="2"/>
        <v>UNRESERVED</v>
      </c>
      <c r="Q34" t="str">
        <f t="shared" si="3"/>
        <v>static const String^ TOK_BASE64_ENCODE = "BASE64_ENCODE";</v>
      </c>
      <c r="R34" t="str">
        <f t="shared" si="4"/>
        <v>static const int TOK_BASE64_ENCODE = 654;</v>
      </c>
      <c r="S34" t="str">
        <f t="shared" si="5"/>
        <v>// _Tokens-&gt;Add((String^)GramVals::TOK_BASE64_ENCODE, gcnew Token(GramKeys::TOK_BASE64_ENCODE, EnumTokenCategory::UNRESERVED,BARE_LABEL, i++));</v>
      </c>
    </row>
    <row r="35" spans="1:19" x14ac:dyDescent="0.25">
      <c r="A35" s="3" t="s">
        <v>1415</v>
      </c>
      <c r="B35" s="5" t="s">
        <v>1016</v>
      </c>
      <c r="C35" s="3" t="s">
        <v>1927</v>
      </c>
      <c r="D35" s="3" t="s">
        <v>2423</v>
      </c>
      <c r="F35" t="str">
        <f t="shared" si="0"/>
        <v>BEFORE</v>
      </c>
      <c r="G35" t="s">
        <v>3093</v>
      </c>
      <c r="I35" s="3" t="str">
        <f>IF(_xlfn.XLOOKUP(F35,PgSqlRaw!B:B,PgSqlRaw!E:E,"") = "",_xlfn.XLOOKUP(G35,PgSqlRaw!B:B,PgSqlRaw!E:E,""),_xlfn.XLOOKUP(F35,PgSqlRaw!B:B,PgSqlRaw!E:E,""))</f>
        <v/>
      </c>
      <c r="J35" t="str">
        <f>IF(_xlfn.XLOOKUP(F35,PgSqlRaw!B:B,PgSqlRaw!F:F,"") = "", _xlfn.XLOOKUP(G35,PgSqlRaw!B:B,PgSqlRaw!F:F,""), _xlfn.XLOOKUP(F35,PgSqlRaw!B:B,PgSqlRaw!F:F,""))</f>
        <v>BARE_LABEL</v>
      </c>
      <c r="K35" t="str">
        <f t="shared" si="1"/>
        <v>BARE_LABEL</v>
      </c>
      <c r="L35" t="str">
        <f>IF(_xlfn.XLOOKUP(F35,PhpReserved!A:A,PhpReserved!B:B,"") = "", _xlfn.XLOOKUP(G35,PhpReserved!A:A,PhpReserved!B:B,""),_xlfn.XLOOKUP(F35,PhpReserved!A:A,PhpReserved!B:B,""))</f>
        <v>RESERVED</v>
      </c>
      <c r="M35" t="str">
        <f>IF(_xlfn.XLOOKUP(F35,PhpFunctions!A:A,PhpFunctions!B:B,"") =  "", _xlfn.XLOOKUP(G35,PhpFunctions!A:A,PhpFunctions!B:B,""), _xlfn.XLOOKUP(F35,PhpFunctions!A:A,PhpFunctions!B:B,""))</f>
        <v/>
      </c>
      <c r="N35" t="str">
        <f>IF(_xlfn.XLOOKUP(F35,PhpParamFunc!A:A,PhpParamFunc!B:B,"") = "", _xlfn.XLOOKUP(G35,PhpParamFunc!A:A,PhpParamFunc!B:B,""), _xlfn.XLOOKUP(F35,PhpParamFunc!A:A,PhpParamFunc!B:B,""))</f>
        <v/>
      </c>
      <c r="O35" t="str">
        <f>IF(_xlfn.XLOOKUP(F35,PhpAggrFunc!A:A,PhpAggrFunc!B:B,"") = "", _xlfn.XLOOKUP(G35,PhpAggrFunc!A:A,PhpAggrFunc!B:B,""), _xlfn.XLOOKUP(F35,PhpAggrFunc!A:A,PhpAggrFunc!B:B,""))</f>
        <v/>
      </c>
      <c r="P35" t="str">
        <f t="shared" si="2"/>
        <v>RESERVED</v>
      </c>
      <c r="Q35" t="str">
        <f t="shared" si="3"/>
        <v>static const String^ TOK_BEFORE = "BEFORE";</v>
      </c>
      <c r="R35" t="str">
        <f t="shared" si="4"/>
        <v>static const int TOK_BEFORE = 269;</v>
      </c>
      <c r="S35" t="str">
        <f t="shared" si="5"/>
        <v>_Tokens-&gt;Add((String^)GramVals::TOK_BEFORE, gcnew Token(GramKeys::TOK_BEFORE, EnumTokenCategory::RESERVED,BARE_LABEL, i++));</v>
      </c>
    </row>
    <row r="36" spans="1:19" x14ac:dyDescent="0.25">
      <c r="A36" s="3" t="s">
        <v>1416</v>
      </c>
      <c r="B36" s="5" t="s">
        <v>1017</v>
      </c>
      <c r="C36" s="3" t="s">
        <v>1928</v>
      </c>
      <c r="D36" s="3" t="s">
        <v>881</v>
      </c>
      <c r="E36" s="3" t="s">
        <v>3647</v>
      </c>
      <c r="F36" t="str">
        <f t="shared" si="0"/>
        <v>BEGIN</v>
      </c>
      <c r="G36" t="s">
        <v>3333</v>
      </c>
      <c r="I36" s="3" t="str">
        <f>IF(_xlfn.XLOOKUP(F36,PgSqlRaw!B:B,PgSqlRaw!E:E,"") = "",_xlfn.XLOOKUP(G36,PgSqlRaw!B:B,PgSqlRaw!E:E,""),_xlfn.XLOOKUP(F36,PgSqlRaw!B:B,PgSqlRaw!E:E,""))</f>
        <v/>
      </c>
      <c r="J36" t="str">
        <f>IF(_xlfn.XLOOKUP(F36,PgSqlRaw!B:B,PgSqlRaw!F:F,"") = "", _xlfn.XLOOKUP(G36,PgSqlRaw!B:B,PgSqlRaw!F:F,""), _xlfn.XLOOKUP(F36,PgSqlRaw!B:B,PgSqlRaw!F:F,""))</f>
        <v>BARE_LABEL</v>
      </c>
      <c r="K36" t="str">
        <f t="shared" si="1"/>
        <v>BARE_LABEL</v>
      </c>
      <c r="L36" t="str">
        <f>IF(_xlfn.XLOOKUP(F36,PhpReserved!A:A,PhpReserved!B:B,"") = "", _xlfn.XLOOKUP(G36,PhpReserved!A:A,PhpReserved!B:B,""),_xlfn.XLOOKUP(F36,PhpReserved!A:A,PhpReserved!B:B,""))</f>
        <v/>
      </c>
      <c r="M36" t="str">
        <f>IF(_xlfn.XLOOKUP(F36,PhpFunctions!A:A,PhpFunctions!B:B,"") =  "", _xlfn.XLOOKUP(G36,PhpFunctions!A:A,PhpFunctions!B:B,""), _xlfn.XLOOKUP(F36,PhpFunctions!A:A,PhpFunctions!B:B,""))</f>
        <v/>
      </c>
      <c r="N36" t="str">
        <f>IF(_xlfn.XLOOKUP(F36,PhpParamFunc!A:A,PhpParamFunc!B:B,"") = "", _xlfn.XLOOKUP(G36,PhpParamFunc!A:A,PhpParamFunc!B:B,""), _xlfn.XLOOKUP(F36,PhpParamFunc!A:A,PhpParamFunc!B:B,""))</f>
        <v/>
      </c>
      <c r="O36" t="str">
        <f>IF(_xlfn.XLOOKUP(F36,PhpAggrFunc!A:A,PhpAggrFunc!B:B,"") = "", _xlfn.XLOOKUP(G36,PhpAggrFunc!A:A,PhpAggrFunc!B:B,""), _xlfn.XLOOKUP(F36,PhpAggrFunc!A:A,PhpAggrFunc!B:B,""))</f>
        <v/>
      </c>
      <c r="P36" t="str">
        <f t="shared" si="2"/>
        <v>BLOCK</v>
      </c>
      <c r="Q36" t="str">
        <f t="shared" si="3"/>
        <v>static const String^ TOK_BEGIN = "BEGIN";</v>
      </c>
      <c r="R36" t="str">
        <f t="shared" si="4"/>
        <v>static const int TOK_BEGIN = 270;</v>
      </c>
      <c r="S36" t="str">
        <f t="shared" si="5"/>
        <v>_Tokens-&gt;Add((String^)GramVals::TOK_BEGIN, gcnew Token(GramKeys::TOK_BEGIN, EnumTokenCategory::BLOCK,BARE_LABEL, i++));</v>
      </c>
    </row>
    <row r="37" spans="1:19" x14ac:dyDescent="0.25">
      <c r="A37" s="3" t="s">
        <v>1417</v>
      </c>
      <c r="B37" s="5" t="s">
        <v>1018</v>
      </c>
      <c r="C37" s="3" t="s">
        <v>1929</v>
      </c>
      <c r="D37" s="3" t="s">
        <v>881</v>
      </c>
      <c r="F37" t="str">
        <f t="shared" si="0"/>
        <v>BETWEEN</v>
      </c>
      <c r="G37" t="s">
        <v>3095</v>
      </c>
      <c r="I37" s="3" t="str">
        <f>IF(_xlfn.XLOOKUP(F37,PgSqlRaw!B:B,PgSqlRaw!E:E,"") = "",_xlfn.XLOOKUP(G37,PgSqlRaw!B:B,PgSqlRaw!E:E,""),_xlfn.XLOOKUP(F37,PgSqlRaw!B:B,PgSqlRaw!E:E,""))</f>
        <v>COLNAME_KEYWORD</v>
      </c>
      <c r="J37" t="str">
        <f>IF(_xlfn.XLOOKUP(F37,PgSqlRaw!B:B,PgSqlRaw!F:F,"") = "", _xlfn.XLOOKUP(G37,PgSqlRaw!B:B,PgSqlRaw!F:F,""), _xlfn.XLOOKUP(F37,PgSqlRaw!B:B,PgSqlRaw!F:F,""))</f>
        <v>BARE_LABEL</v>
      </c>
      <c r="K37" t="str">
        <f t="shared" si="1"/>
        <v>BARE_LABEL</v>
      </c>
      <c r="L37" t="str">
        <f>IF(_xlfn.XLOOKUP(F37,PhpReserved!A:A,PhpReserved!B:B,"") = "", _xlfn.XLOOKUP(G37,PhpReserved!A:A,PhpReserved!B:B,""),_xlfn.XLOOKUP(F37,PhpReserved!A:A,PhpReserved!B:B,""))</f>
        <v>RESERVED</v>
      </c>
      <c r="M37" t="str">
        <f>IF(_xlfn.XLOOKUP(F37,PhpFunctions!A:A,PhpFunctions!B:B,"") =  "", _xlfn.XLOOKUP(G37,PhpFunctions!A:A,PhpFunctions!B:B,""), _xlfn.XLOOKUP(F37,PhpFunctions!A:A,PhpFunctions!B:B,""))</f>
        <v/>
      </c>
      <c r="N37" t="str">
        <f>IF(_xlfn.XLOOKUP(F37,PhpParamFunc!A:A,PhpParamFunc!B:B,"") = "", _xlfn.XLOOKUP(G37,PhpParamFunc!A:A,PhpParamFunc!B:B,""), _xlfn.XLOOKUP(F37,PhpParamFunc!A:A,PhpParamFunc!B:B,""))</f>
        <v/>
      </c>
      <c r="O37" t="str">
        <f>IF(_xlfn.XLOOKUP(F37,PhpAggrFunc!A:A,PhpAggrFunc!B:B,"") = "", _xlfn.XLOOKUP(G37,PhpAggrFunc!A:A,PhpAggrFunc!B:B,""), _xlfn.XLOOKUP(F37,PhpAggrFunc!A:A,PhpAggrFunc!B:B,""))</f>
        <v/>
      </c>
      <c r="P37" t="str">
        <f t="shared" si="2"/>
        <v>RESERVED</v>
      </c>
      <c r="Q37" t="str">
        <f t="shared" si="3"/>
        <v>static const String^ TOK_BETWEEN = "BETWEEN";</v>
      </c>
      <c r="R37" t="str">
        <f t="shared" si="4"/>
        <v>static const int TOK_BETWEEN = 271;</v>
      </c>
      <c r="S37" t="str">
        <f t="shared" si="5"/>
        <v>_Tokens-&gt;Add((String^)GramVals::TOK_BETWEEN, gcnew Token(GramKeys::TOK_BETWEEN, EnumTokenCategory::RESERVED,BARE_LABEL, i++));</v>
      </c>
    </row>
    <row r="38" spans="1:19" x14ac:dyDescent="0.25">
      <c r="A38" s="3" t="s">
        <v>1418</v>
      </c>
      <c r="B38" s="5" t="s">
        <v>1019</v>
      </c>
      <c r="C38" s="3" t="s">
        <v>1930</v>
      </c>
      <c r="D38" s="3" t="s">
        <v>881</v>
      </c>
      <c r="F38" t="str">
        <f t="shared" si="0"/>
        <v>BIGINT</v>
      </c>
      <c r="G38" t="s">
        <v>3096</v>
      </c>
      <c r="I38" s="3" t="str">
        <f>IF(_xlfn.XLOOKUP(F38,PgSqlRaw!B:B,PgSqlRaw!E:E,"") = "",_xlfn.XLOOKUP(G38,PgSqlRaw!B:B,PgSqlRaw!E:E,""),_xlfn.XLOOKUP(F38,PgSqlRaw!B:B,PgSqlRaw!E:E,""))</f>
        <v>COLNAME_KEYWORD</v>
      </c>
      <c r="J38" t="str">
        <f>IF(_xlfn.XLOOKUP(F38,PgSqlRaw!B:B,PgSqlRaw!F:F,"") = "", _xlfn.XLOOKUP(G38,PgSqlRaw!B:B,PgSqlRaw!F:F,""), _xlfn.XLOOKUP(F38,PgSqlRaw!B:B,PgSqlRaw!F:F,""))</f>
        <v>BARE_LABEL</v>
      </c>
      <c r="K38" t="str">
        <f t="shared" si="1"/>
        <v>BARE_LABEL</v>
      </c>
      <c r="L38" t="str">
        <f>IF(_xlfn.XLOOKUP(F38,PhpReserved!A:A,PhpReserved!B:B,"") = "", _xlfn.XLOOKUP(G38,PhpReserved!A:A,PhpReserved!B:B,""),_xlfn.XLOOKUP(F38,PhpReserved!A:A,PhpReserved!B:B,""))</f>
        <v>RESERVED</v>
      </c>
      <c r="M38" t="str">
        <f>IF(_xlfn.XLOOKUP(F38,PhpFunctions!A:A,PhpFunctions!B:B,"") =  "", _xlfn.XLOOKUP(G38,PhpFunctions!A:A,PhpFunctions!B:B,""), _xlfn.XLOOKUP(F38,PhpFunctions!A:A,PhpFunctions!B:B,""))</f>
        <v/>
      </c>
      <c r="N38" t="str">
        <f>IF(_xlfn.XLOOKUP(F38,PhpParamFunc!A:A,PhpParamFunc!B:B,"") = "", _xlfn.XLOOKUP(G38,PhpParamFunc!A:A,PhpParamFunc!B:B,""), _xlfn.XLOOKUP(F38,PhpParamFunc!A:A,PhpParamFunc!B:B,""))</f>
        <v/>
      </c>
      <c r="O38" t="str">
        <f>IF(_xlfn.XLOOKUP(F38,PhpAggrFunc!A:A,PhpAggrFunc!B:B,"") = "", _xlfn.XLOOKUP(G38,PhpAggrFunc!A:A,PhpAggrFunc!B:B,""), _xlfn.XLOOKUP(F38,PhpAggrFunc!A:A,PhpAggrFunc!B:B,""))</f>
        <v/>
      </c>
      <c r="P38" t="str">
        <f t="shared" si="2"/>
        <v>RESERVED</v>
      </c>
      <c r="Q38" t="str">
        <f t="shared" si="3"/>
        <v>static const String^ TOK_BIGINT = "BIGINT";</v>
      </c>
      <c r="R38" t="str">
        <f t="shared" si="4"/>
        <v>static const int TOK_BIGINT = 479;</v>
      </c>
      <c r="S38" t="str">
        <f t="shared" si="5"/>
        <v>_Tokens-&gt;Add((String^)GramVals::TOK_BIGINT, gcnew Token(GramKeys::TOK_BIGINT, EnumTokenCategory::RESERVED,BARE_LABEL, i++));</v>
      </c>
    </row>
    <row r="39" spans="1:19" x14ac:dyDescent="0.25">
      <c r="A39" s="3" t="s">
        <v>1419</v>
      </c>
      <c r="B39" s="5" t="s">
        <v>1020</v>
      </c>
      <c r="C39" s="3" t="s">
        <v>1931</v>
      </c>
      <c r="D39" s="3" t="s">
        <v>2423</v>
      </c>
      <c r="F39" t="str">
        <f t="shared" si="0"/>
        <v>BIN_AND</v>
      </c>
      <c r="G39" t="s">
        <v>2897</v>
      </c>
      <c r="I39" s="3" t="str">
        <f>IF(_xlfn.XLOOKUP(F39,PgSqlRaw!B:B,PgSqlRaw!E:E,"") = "",_xlfn.XLOOKUP(G39,PgSqlRaw!B:B,PgSqlRaw!E:E,""),_xlfn.XLOOKUP(F39,PgSqlRaw!B:B,PgSqlRaw!E:E,""))</f>
        <v/>
      </c>
      <c r="J39" t="str">
        <f>IF(_xlfn.XLOOKUP(F39,PgSqlRaw!B:B,PgSqlRaw!F:F,"") = "", _xlfn.XLOOKUP(G39,PgSqlRaw!B:B,PgSqlRaw!F:F,""), _xlfn.XLOOKUP(F39,PgSqlRaw!B:B,PgSqlRaw!F:F,""))</f>
        <v/>
      </c>
      <c r="K39" t="str">
        <f t="shared" si="1"/>
        <v>BARE_LABEL</v>
      </c>
      <c r="L39" t="str">
        <f>IF(_xlfn.XLOOKUP(F39,PhpReserved!A:A,PhpReserved!B:B,"") = "", _xlfn.XLOOKUP(G39,PhpReserved!A:A,PhpReserved!B:B,""),_xlfn.XLOOKUP(F39,PhpReserved!A:A,PhpReserved!B:B,""))</f>
        <v>RESERVED</v>
      </c>
      <c r="M39" t="str">
        <f>IF(_xlfn.XLOOKUP(F39,PhpFunctions!A:A,PhpFunctions!B:B,"") =  "", _xlfn.XLOOKUP(G39,PhpFunctions!A:A,PhpFunctions!B:B,""), _xlfn.XLOOKUP(F39,PhpFunctions!A:A,PhpFunctions!B:B,""))</f>
        <v>FUNCTION</v>
      </c>
      <c r="N39" t="str">
        <f>IF(_xlfn.XLOOKUP(F39,PhpParamFunc!A:A,PhpParamFunc!B:B,"") = "", _xlfn.XLOOKUP(G39,PhpParamFunc!A:A,PhpParamFunc!B:B,""), _xlfn.XLOOKUP(F39,PhpParamFunc!A:A,PhpParamFunc!B:B,""))</f>
        <v>PARAM_FUNCTION</v>
      </c>
      <c r="O39" t="str">
        <f>IF(_xlfn.XLOOKUP(F39,PhpAggrFunc!A:A,PhpAggrFunc!B:B,"") = "", _xlfn.XLOOKUP(G39,PhpAggrFunc!A:A,PhpAggrFunc!B:B,""), _xlfn.XLOOKUP(F39,PhpAggrFunc!A:A,PhpAggrFunc!B:B,""))</f>
        <v>AGGR_FUNCTION</v>
      </c>
      <c r="P39" t="str">
        <f t="shared" si="2"/>
        <v>AGGR_FUNCTION</v>
      </c>
      <c r="Q39" t="str">
        <f t="shared" si="3"/>
        <v>static const String^ TOK_BIN_AND = "BIN_AND";</v>
      </c>
      <c r="R39" t="str">
        <f t="shared" si="4"/>
        <v>static const int TOK_BIN_AND = 534;</v>
      </c>
      <c r="S39" t="str">
        <f t="shared" si="5"/>
        <v>_Tokens-&gt;Add((String^)GramVals::TOK_BIN_AND, gcnew Token(GramKeys::TOK_BIN_AND, EnumTokenCategory::AGGR_FUNCTION,BARE_LABEL, i++));</v>
      </c>
    </row>
    <row r="40" spans="1:19" x14ac:dyDescent="0.25">
      <c r="A40" s="3" t="s">
        <v>1420</v>
      </c>
      <c r="B40" s="5">
        <v>655</v>
      </c>
      <c r="C40" s="3" t="s">
        <v>1932</v>
      </c>
      <c r="D40" s="3" t="s">
        <v>881</v>
      </c>
      <c r="E40" s="3" t="s">
        <v>3484</v>
      </c>
      <c r="F40" t="str">
        <f t="shared" si="0"/>
        <v>BIN_COMPLEMENT_GTR</v>
      </c>
      <c r="G40" t="s">
        <v>3634</v>
      </c>
      <c r="I40" s="3" t="str">
        <f>IF(_xlfn.XLOOKUP(F40,PgSqlRaw!B:B,PgSqlRaw!E:E,"") = "",_xlfn.XLOOKUP(G40,PgSqlRaw!B:B,PgSqlRaw!E:E,""),_xlfn.XLOOKUP(F40,PgSqlRaw!B:B,PgSqlRaw!E:E,""))</f>
        <v/>
      </c>
      <c r="J40" t="str">
        <f>IF(_xlfn.XLOOKUP(F40,PgSqlRaw!B:B,PgSqlRaw!F:F,"") = "", _xlfn.XLOOKUP(G40,PgSqlRaw!B:B,PgSqlRaw!F:F,""), _xlfn.XLOOKUP(F40,PgSqlRaw!B:B,PgSqlRaw!F:F,""))</f>
        <v/>
      </c>
      <c r="K40" t="str">
        <f t="shared" si="1"/>
        <v>BARE_LABEL</v>
      </c>
      <c r="L40" t="str">
        <f>IF(_xlfn.XLOOKUP(F40,PhpReserved!A:A,PhpReserved!B:B,"") = "", _xlfn.XLOOKUP(G40,PhpReserved!A:A,PhpReserved!B:B,""),_xlfn.XLOOKUP(F40,PhpReserved!A:A,PhpReserved!B:B,""))</f>
        <v/>
      </c>
      <c r="M40" t="str">
        <f>IF(_xlfn.XLOOKUP(F40,PhpFunctions!A:A,PhpFunctions!B:B,"") =  "", _xlfn.XLOOKUP(G40,PhpFunctions!A:A,PhpFunctions!B:B,""), _xlfn.XLOOKUP(F40,PhpFunctions!A:A,PhpFunctions!B:B,""))</f>
        <v/>
      </c>
      <c r="N40" t="str">
        <f>IF(_xlfn.XLOOKUP(F40,PhpParamFunc!A:A,PhpParamFunc!B:B,"") = "", _xlfn.XLOOKUP(G40,PhpParamFunc!A:A,PhpParamFunc!B:B,""), _xlfn.XLOOKUP(F40,PhpParamFunc!A:A,PhpParamFunc!B:B,""))</f>
        <v/>
      </c>
      <c r="O40" t="str">
        <f>IF(_xlfn.XLOOKUP(F40,PhpAggrFunc!A:A,PhpAggrFunc!B:B,"") = "", _xlfn.XLOOKUP(G40,PhpAggrFunc!A:A,PhpAggrFunc!B:B,""), _xlfn.XLOOKUP(F40,PhpAggrFunc!A:A,PhpAggrFunc!B:B,""))</f>
        <v/>
      </c>
      <c r="P40" t="str">
        <f t="shared" si="2"/>
        <v>OPERATOR</v>
      </c>
      <c r="Q40" t="str">
        <f t="shared" si="3"/>
        <v>static const String^ TOK_BIN_COMPLEMENT_GTR = "~&gt;";</v>
      </c>
      <c r="R40" t="str">
        <f t="shared" si="4"/>
        <v>static const int TOK_BIN_COMPLEMENT_GTR = 655;</v>
      </c>
      <c r="S40" t="str">
        <f t="shared" si="5"/>
        <v>_Tokens-&gt;Add((String^)GramVals::TOK_BIN_COMPLEMENT_GTR, gcnew Token(GramKeys::TOK_BIN_COMPLEMENT_GTR, EnumTokenCategory::OPERATOR,BARE_LABEL, i++));</v>
      </c>
    </row>
    <row r="41" spans="1:19" x14ac:dyDescent="0.25">
      <c r="A41" s="3" t="s">
        <v>1421</v>
      </c>
      <c r="B41" s="5">
        <v>656</v>
      </c>
      <c r="C41" s="3" t="s">
        <v>1933</v>
      </c>
      <c r="D41" s="3" t="s">
        <v>881</v>
      </c>
      <c r="E41" s="3" t="s">
        <v>3484</v>
      </c>
      <c r="F41" t="str">
        <f t="shared" si="0"/>
        <v>BIN_COMPLIMENT_LSS</v>
      </c>
      <c r="G41" t="s">
        <v>3635</v>
      </c>
      <c r="I41" s="3" t="str">
        <f>IF(_xlfn.XLOOKUP(F41,PgSqlRaw!B:B,PgSqlRaw!E:E,"") = "",_xlfn.XLOOKUP(G41,PgSqlRaw!B:B,PgSqlRaw!E:E,""),_xlfn.XLOOKUP(F41,PgSqlRaw!B:B,PgSqlRaw!E:E,""))</f>
        <v/>
      </c>
      <c r="J41" t="str">
        <f>IF(_xlfn.XLOOKUP(F41,PgSqlRaw!B:B,PgSqlRaw!F:F,"") = "", _xlfn.XLOOKUP(G41,PgSqlRaw!B:B,PgSqlRaw!F:F,""), _xlfn.XLOOKUP(F41,PgSqlRaw!B:B,PgSqlRaw!F:F,""))</f>
        <v/>
      </c>
      <c r="K41" t="str">
        <f t="shared" si="1"/>
        <v>BARE_LABEL</v>
      </c>
      <c r="L41" t="str">
        <f>IF(_xlfn.XLOOKUP(F41,PhpReserved!A:A,PhpReserved!B:B,"") = "", _xlfn.XLOOKUP(G41,PhpReserved!A:A,PhpReserved!B:B,""),_xlfn.XLOOKUP(F41,PhpReserved!A:A,PhpReserved!B:B,""))</f>
        <v/>
      </c>
      <c r="M41" t="str">
        <f>IF(_xlfn.XLOOKUP(F41,PhpFunctions!A:A,PhpFunctions!B:B,"") =  "", _xlfn.XLOOKUP(G41,PhpFunctions!A:A,PhpFunctions!B:B,""), _xlfn.XLOOKUP(F41,PhpFunctions!A:A,PhpFunctions!B:B,""))</f>
        <v/>
      </c>
      <c r="N41" t="str">
        <f>IF(_xlfn.XLOOKUP(F41,PhpParamFunc!A:A,PhpParamFunc!B:B,"") = "", _xlfn.XLOOKUP(G41,PhpParamFunc!A:A,PhpParamFunc!B:B,""), _xlfn.XLOOKUP(F41,PhpParamFunc!A:A,PhpParamFunc!B:B,""))</f>
        <v/>
      </c>
      <c r="O41" t="str">
        <f>IF(_xlfn.XLOOKUP(F41,PhpAggrFunc!A:A,PhpAggrFunc!B:B,"") = "", _xlfn.XLOOKUP(G41,PhpAggrFunc!A:A,PhpAggrFunc!B:B,""), _xlfn.XLOOKUP(F41,PhpAggrFunc!A:A,PhpAggrFunc!B:B,""))</f>
        <v/>
      </c>
      <c r="P41" t="str">
        <f t="shared" si="2"/>
        <v>OPERATOR</v>
      </c>
      <c r="Q41" t="str">
        <f t="shared" si="3"/>
        <v>static const String^ TOK_BIN_COMPLIMENT_LSS = "~&lt;";</v>
      </c>
      <c r="R41" t="str">
        <f t="shared" si="4"/>
        <v>static const int TOK_BIN_COMPLIMENT_LSS = 656;</v>
      </c>
      <c r="S41" t="str">
        <f t="shared" si="5"/>
        <v>_Tokens-&gt;Add((String^)GramVals::TOK_BIN_COMPLIMENT_LSS, gcnew Token(GramKeys::TOK_BIN_COMPLIMENT_LSS, EnumTokenCategory::OPERATOR,BARE_LABEL, i++));</v>
      </c>
    </row>
    <row r="42" spans="1:19" x14ac:dyDescent="0.25">
      <c r="A42" s="3" t="s">
        <v>1422</v>
      </c>
      <c r="B42" s="5" t="s">
        <v>1021</v>
      </c>
      <c r="C42" s="3" t="s">
        <v>1934</v>
      </c>
      <c r="D42" s="3" t="s">
        <v>2423</v>
      </c>
      <c r="F42" t="str">
        <f t="shared" si="0"/>
        <v>BIN_NOT</v>
      </c>
      <c r="G42" t="s">
        <v>3636</v>
      </c>
      <c r="I42" s="3" t="str">
        <f>IF(_xlfn.XLOOKUP(F42,PgSqlRaw!B:B,PgSqlRaw!E:E,"") = "",_xlfn.XLOOKUP(G42,PgSqlRaw!B:B,PgSqlRaw!E:E,""),_xlfn.XLOOKUP(F42,PgSqlRaw!B:B,PgSqlRaw!E:E,""))</f>
        <v/>
      </c>
      <c r="J42" t="str">
        <f>IF(_xlfn.XLOOKUP(F42,PgSqlRaw!B:B,PgSqlRaw!F:F,"") = "", _xlfn.XLOOKUP(G42,PgSqlRaw!B:B,PgSqlRaw!F:F,""), _xlfn.XLOOKUP(F42,PgSqlRaw!B:B,PgSqlRaw!F:F,""))</f>
        <v/>
      </c>
      <c r="K42" t="str">
        <f t="shared" si="1"/>
        <v>BARE_LABEL</v>
      </c>
      <c r="L42" t="str">
        <f>IF(_xlfn.XLOOKUP(F42,PhpReserved!A:A,PhpReserved!B:B,"") = "", _xlfn.XLOOKUP(G42,PhpReserved!A:A,PhpReserved!B:B,""),_xlfn.XLOOKUP(F42,PhpReserved!A:A,PhpReserved!B:B,""))</f>
        <v/>
      </c>
      <c r="M42" t="str">
        <f>IF(_xlfn.XLOOKUP(F42,PhpFunctions!A:A,PhpFunctions!B:B,"") =  "", _xlfn.XLOOKUP(G42,PhpFunctions!A:A,PhpFunctions!B:B,""), _xlfn.XLOOKUP(F42,PhpFunctions!A:A,PhpFunctions!B:B,""))</f>
        <v/>
      </c>
      <c r="N42" t="str">
        <f>IF(_xlfn.XLOOKUP(F42,PhpParamFunc!A:A,PhpParamFunc!B:B,"") = "", _xlfn.XLOOKUP(G42,PhpParamFunc!A:A,PhpParamFunc!B:B,""), _xlfn.XLOOKUP(F42,PhpParamFunc!A:A,PhpParamFunc!B:B,""))</f>
        <v/>
      </c>
      <c r="O42" t="str">
        <f>IF(_xlfn.XLOOKUP(F42,PhpAggrFunc!A:A,PhpAggrFunc!B:B,"") = "", _xlfn.XLOOKUP(G42,PhpAggrFunc!A:A,PhpAggrFunc!B:B,""), _xlfn.XLOOKUP(F42,PhpAggrFunc!A:A,PhpAggrFunc!B:B,""))</f>
        <v/>
      </c>
      <c r="P42" t="str">
        <f t="shared" si="2"/>
        <v>UNRESERVED</v>
      </c>
      <c r="Q42" t="str">
        <f t="shared" si="3"/>
        <v>static const String^ TOK_BIN_NOT = "BIN_NOT";</v>
      </c>
      <c r="R42" t="str">
        <f t="shared" si="4"/>
        <v>static const int TOK_BIN_NOT = 606;</v>
      </c>
      <c r="S42" t="str">
        <f t="shared" si="5"/>
        <v>// _Tokens-&gt;Add((String^)GramVals::TOK_BIN_NOT, gcnew Token(GramKeys::TOK_BIN_NOT, EnumTokenCategory::UNRESERVED,BARE_LABEL, i++));</v>
      </c>
    </row>
    <row r="43" spans="1:19" x14ac:dyDescent="0.25">
      <c r="A43" s="3" t="s">
        <v>967</v>
      </c>
      <c r="B43" s="5" t="s">
        <v>1021</v>
      </c>
      <c r="C43" s="3" t="s">
        <v>1936</v>
      </c>
      <c r="D43" s="3" t="s">
        <v>881</v>
      </c>
      <c r="E43" s="3" t="s">
        <v>3484</v>
      </c>
      <c r="F43" t="str">
        <f t="shared" si="0"/>
        <v>BIN_OPR_COMPLEMENT</v>
      </c>
      <c r="G43" t="s">
        <v>3637</v>
      </c>
      <c r="I43" s="3" t="str">
        <f>IF(_xlfn.XLOOKUP(F43,PgSqlRaw!B:B,PgSqlRaw!E:E,"") = "",_xlfn.XLOOKUP(G43,PgSqlRaw!B:B,PgSqlRaw!E:E,""),_xlfn.XLOOKUP(F43,PgSqlRaw!B:B,PgSqlRaw!E:E,""))</f>
        <v/>
      </c>
      <c r="J43" t="str">
        <f>IF(_xlfn.XLOOKUP(F43,PgSqlRaw!B:B,PgSqlRaw!F:F,"") = "", _xlfn.XLOOKUP(G43,PgSqlRaw!B:B,PgSqlRaw!F:F,""), _xlfn.XLOOKUP(F43,PgSqlRaw!B:B,PgSqlRaw!F:F,""))</f>
        <v/>
      </c>
      <c r="K43" t="str">
        <f t="shared" si="1"/>
        <v>BARE_LABEL</v>
      </c>
      <c r="L43" t="str">
        <f>IF(_xlfn.XLOOKUP(F43,PhpReserved!A:A,PhpReserved!B:B,"") = "", _xlfn.XLOOKUP(G43,PhpReserved!A:A,PhpReserved!B:B,""),_xlfn.XLOOKUP(F43,PhpReserved!A:A,PhpReserved!B:B,""))</f>
        <v/>
      </c>
      <c r="M43" t="str">
        <f>IF(_xlfn.XLOOKUP(F43,PhpFunctions!A:A,PhpFunctions!B:B,"") =  "", _xlfn.XLOOKUP(G43,PhpFunctions!A:A,PhpFunctions!B:B,""), _xlfn.XLOOKUP(F43,PhpFunctions!A:A,PhpFunctions!B:B,""))</f>
        <v/>
      </c>
      <c r="N43" t="str">
        <f>IF(_xlfn.XLOOKUP(F43,PhpParamFunc!A:A,PhpParamFunc!B:B,"") = "", _xlfn.XLOOKUP(G43,PhpParamFunc!A:A,PhpParamFunc!B:B,""), _xlfn.XLOOKUP(F43,PhpParamFunc!A:A,PhpParamFunc!B:B,""))</f>
        <v/>
      </c>
      <c r="O43" t="str">
        <f>IF(_xlfn.XLOOKUP(F43,PhpAggrFunc!A:A,PhpAggrFunc!B:B,"") = "", _xlfn.XLOOKUP(G43,PhpAggrFunc!A:A,PhpAggrFunc!B:B,""), _xlfn.XLOOKUP(F43,PhpAggrFunc!A:A,PhpAggrFunc!B:B,""))</f>
        <v/>
      </c>
      <c r="P43" t="str">
        <f t="shared" si="2"/>
        <v>OPERATOR</v>
      </c>
      <c r="Q43" t="str">
        <f t="shared" si="3"/>
        <v>static const String^ TOK_BIN_OPR_COMPLEMENT = "~=";</v>
      </c>
      <c r="R43" t="str">
        <f t="shared" si="4"/>
        <v>static const int TOK_BIN_OPR_COMPLEMENT = 606;</v>
      </c>
      <c r="S43" t="str">
        <f t="shared" si="5"/>
        <v>_Tokens-&gt;Add((String^)GramVals::TOK_BIN_OPR_COMPLEMENT, gcnew Token(GramKeys::TOK_BIN_OPR_COMPLEMENT, EnumTokenCategory::OPERATOR,BARE_LABEL, i++));</v>
      </c>
    </row>
    <row r="44" spans="1:19" x14ac:dyDescent="0.25">
      <c r="A44" s="3" t="s">
        <v>966</v>
      </c>
      <c r="B44" s="5" t="s">
        <v>1022</v>
      </c>
      <c r="C44" s="3" t="s">
        <v>1935</v>
      </c>
      <c r="D44" s="3" t="s">
        <v>881</v>
      </c>
      <c r="E44" s="3" t="s">
        <v>3484</v>
      </c>
      <c r="F44" t="str">
        <f t="shared" si="0"/>
        <v>BIN_OPR_XOR</v>
      </c>
      <c r="G44" t="s">
        <v>3638</v>
      </c>
      <c r="I44" s="3" t="str">
        <f>IF(_xlfn.XLOOKUP(F44,PgSqlRaw!B:B,PgSqlRaw!E:E,"") = "",_xlfn.XLOOKUP(G44,PgSqlRaw!B:B,PgSqlRaw!E:E,""),_xlfn.XLOOKUP(F44,PgSqlRaw!B:B,PgSqlRaw!E:E,""))</f>
        <v/>
      </c>
      <c r="J44" t="str">
        <f>IF(_xlfn.XLOOKUP(F44,PgSqlRaw!B:B,PgSqlRaw!F:F,"") = "", _xlfn.XLOOKUP(G44,PgSqlRaw!B:B,PgSqlRaw!F:F,""), _xlfn.XLOOKUP(F44,PgSqlRaw!B:B,PgSqlRaw!F:F,""))</f>
        <v/>
      </c>
      <c r="K44" t="str">
        <f t="shared" si="1"/>
        <v>BARE_LABEL</v>
      </c>
      <c r="L44" t="str">
        <f>IF(_xlfn.XLOOKUP(F44,PhpReserved!A:A,PhpReserved!B:B,"") = "", _xlfn.XLOOKUP(G44,PhpReserved!A:A,PhpReserved!B:B,""),_xlfn.XLOOKUP(F44,PhpReserved!A:A,PhpReserved!B:B,""))</f>
        <v/>
      </c>
      <c r="M44" t="str">
        <f>IF(_xlfn.XLOOKUP(F44,PhpFunctions!A:A,PhpFunctions!B:B,"") =  "", _xlfn.XLOOKUP(G44,PhpFunctions!A:A,PhpFunctions!B:B,""), _xlfn.XLOOKUP(F44,PhpFunctions!A:A,PhpFunctions!B:B,""))</f>
        <v/>
      </c>
      <c r="N44" t="str">
        <f>IF(_xlfn.XLOOKUP(F44,PhpParamFunc!A:A,PhpParamFunc!B:B,"") = "", _xlfn.XLOOKUP(G44,PhpParamFunc!A:A,PhpParamFunc!B:B,""), _xlfn.XLOOKUP(F44,PhpParamFunc!A:A,PhpParamFunc!B:B,""))</f>
        <v/>
      </c>
      <c r="O44" t="str">
        <f>IF(_xlfn.XLOOKUP(F44,PhpAggrFunc!A:A,PhpAggrFunc!B:B,"") = "", _xlfn.XLOOKUP(G44,PhpAggrFunc!A:A,PhpAggrFunc!B:B,""), _xlfn.XLOOKUP(F44,PhpAggrFunc!A:A,PhpAggrFunc!B:B,""))</f>
        <v/>
      </c>
      <c r="P44" t="str">
        <f t="shared" si="2"/>
        <v>OPERATOR</v>
      </c>
      <c r="Q44" t="str">
        <f t="shared" si="3"/>
        <v>static const String^ TOK_BIN_OPR_XOR = "^=";</v>
      </c>
      <c r="R44" t="str">
        <f t="shared" si="4"/>
        <v>static const int TOK_BIN_OPR_XOR = 538;</v>
      </c>
      <c r="S44" t="str">
        <f t="shared" si="5"/>
        <v>_Tokens-&gt;Add((String^)GramVals::TOK_BIN_OPR_XOR, gcnew Token(GramKeys::TOK_BIN_OPR_XOR, EnumTokenCategory::OPERATOR,BARE_LABEL, i++));</v>
      </c>
    </row>
    <row r="45" spans="1:19" x14ac:dyDescent="0.25">
      <c r="A45" s="3" t="s">
        <v>1423</v>
      </c>
      <c r="B45" s="5" t="s">
        <v>1023</v>
      </c>
      <c r="C45" s="3" t="s">
        <v>1937</v>
      </c>
      <c r="D45" s="3" t="s">
        <v>2423</v>
      </c>
      <c r="F45" t="str">
        <f t="shared" si="0"/>
        <v>BIN_OR</v>
      </c>
      <c r="G45" t="s">
        <v>2898</v>
      </c>
      <c r="I45" s="3" t="str">
        <f>IF(_xlfn.XLOOKUP(F45,PgSqlRaw!B:B,PgSqlRaw!E:E,"") = "",_xlfn.XLOOKUP(G45,PgSqlRaw!B:B,PgSqlRaw!E:E,""),_xlfn.XLOOKUP(F45,PgSqlRaw!B:B,PgSqlRaw!E:E,""))</f>
        <v/>
      </c>
      <c r="J45" t="str">
        <f>IF(_xlfn.XLOOKUP(F45,PgSqlRaw!B:B,PgSqlRaw!F:F,"") = "", _xlfn.XLOOKUP(G45,PgSqlRaw!B:B,PgSqlRaw!F:F,""), _xlfn.XLOOKUP(F45,PgSqlRaw!B:B,PgSqlRaw!F:F,""))</f>
        <v/>
      </c>
      <c r="K45" t="str">
        <f t="shared" si="1"/>
        <v>BARE_LABEL</v>
      </c>
      <c r="L45" t="str">
        <f>IF(_xlfn.XLOOKUP(F45,PhpReserved!A:A,PhpReserved!B:B,"") = "", _xlfn.XLOOKUP(G45,PhpReserved!A:A,PhpReserved!B:B,""),_xlfn.XLOOKUP(F45,PhpReserved!A:A,PhpReserved!B:B,""))</f>
        <v>RESERVED</v>
      </c>
      <c r="M45" t="str">
        <f>IF(_xlfn.XLOOKUP(F45,PhpFunctions!A:A,PhpFunctions!B:B,"") =  "", _xlfn.XLOOKUP(G45,PhpFunctions!A:A,PhpFunctions!B:B,""), _xlfn.XLOOKUP(F45,PhpFunctions!A:A,PhpFunctions!B:B,""))</f>
        <v>FUNCTION</v>
      </c>
      <c r="N45" t="str">
        <f>IF(_xlfn.XLOOKUP(F45,PhpParamFunc!A:A,PhpParamFunc!B:B,"") = "", _xlfn.XLOOKUP(G45,PhpParamFunc!A:A,PhpParamFunc!B:B,""), _xlfn.XLOOKUP(F45,PhpParamFunc!A:A,PhpParamFunc!B:B,""))</f>
        <v>PARAM_FUNCTION</v>
      </c>
      <c r="O45" t="str">
        <f>IF(_xlfn.XLOOKUP(F45,PhpAggrFunc!A:A,PhpAggrFunc!B:B,"") = "", _xlfn.XLOOKUP(G45,PhpAggrFunc!A:A,PhpAggrFunc!B:B,""), _xlfn.XLOOKUP(F45,PhpAggrFunc!A:A,PhpAggrFunc!B:B,""))</f>
        <v>AGGR_FUNCTION</v>
      </c>
      <c r="P45" t="str">
        <f t="shared" si="2"/>
        <v>AGGR_FUNCTION</v>
      </c>
      <c r="Q45" t="str">
        <f t="shared" si="3"/>
        <v>static const String^ TOK_BIN_OR = "BIN_OR";</v>
      </c>
      <c r="R45" t="str">
        <f t="shared" si="4"/>
        <v>static const int TOK_BIN_OR = 535;</v>
      </c>
      <c r="S45" t="str">
        <f t="shared" si="5"/>
        <v>_Tokens-&gt;Add((String^)GramVals::TOK_BIN_OR, gcnew Token(GramKeys::TOK_BIN_OR, EnumTokenCategory::AGGR_FUNCTION,BARE_LABEL, i++));</v>
      </c>
    </row>
    <row r="46" spans="1:19" x14ac:dyDescent="0.25">
      <c r="A46" s="3" t="s">
        <v>1424</v>
      </c>
      <c r="B46" s="5" t="s">
        <v>1024</v>
      </c>
      <c r="C46" s="3" t="s">
        <v>1938</v>
      </c>
      <c r="D46" s="3" t="s">
        <v>2423</v>
      </c>
      <c r="F46" t="str">
        <f t="shared" si="0"/>
        <v>BIN_SHL</v>
      </c>
      <c r="G46" t="s">
        <v>3639</v>
      </c>
      <c r="I46" s="3" t="str">
        <f>IF(_xlfn.XLOOKUP(F46,PgSqlRaw!B:B,PgSqlRaw!E:E,"") = "",_xlfn.XLOOKUP(G46,PgSqlRaw!B:B,PgSqlRaw!E:E,""),_xlfn.XLOOKUP(F46,PgSqlRaw!B:B,PgSqlRaw!E:E,""))</f>
        <v/>
      </c>
      <c r="J46" t="str">
        <f>IF(_xlfn.XLOOKUP(F46,PgSqlRaw!B:B,PgSqlRaw!F:F,"") = "", _xlfn.XLOOKUP(G46,PgSqlRaw!B:B,PgSqlRaw!F:F,""), _xlfn.XLOOKUP(F46,PgSqlRaw!B:B,PgSqlRaw!F:F,""))</f>
        <v/>
      </c>
      <c r="K46" t="str">
        <f t="shared" si="1"/>
        <v>BARE_LABEL</v>
      </c>
      <c r="L46" t="str">
        <f>IF(_xlfn.XLOOKUP(F46,PhpReserved!A:A,PhpReserved!B:B,"") = "", _xlfn.XLOOKUP(G46,PhpReserved!A:A,PhpReserved!B:B,""),_xlfn.XLOOKUP(F46,PhpReserved!A:A,PhpReserved!B:B,""))</f>
        <v/>
      </c>
      <c r="M46" t="str">
        <f>IF(_xlfn.XLOOKUP(F46,PhpFunctions!A:A,PhpFunctions!B:B,"") =  "", _xlfn.XLOOKUP(G46,PhpFunctions!A:A,PhpFunctions!B:B,""), _xlfn.XLOOKUP(F46,PhpFunctions!A:A,PhpFunctions!B:B,""))</f>
        <v/>
      </c>
      <c r="N46" t="str">
        <f>IF(_xlfn.XLOOKUP(F46,PhpParamFunc!A:A,PhpParamFunc!B:B,"") = "", _xlfn.XLOOKUP(G46,PhpParamFunc!A:A,PhpParamFunc!B:B,""), _xlfn.XLOOKUP(F46,PhpParamFunc!A:A,PhpParamFunc!B:B,""))</f>
        <v/>
      </c>
      <c r="O46" t="str">
        <f>IF(_xlfn.XLOOKUP(F46,PhpAggrFunc!A:A,PhpAggrFunc!B:B,"") = "", _xlfn.XLOOKUP(G46,PhpAggrFunc!A:A,PhpAggrFunc!B:B,""), _xlfn.XLOOKUP(F46,PhpAggrFunc!A:A,PhpAggrFunc!B:B,""))</f>
        <v/>
      </c>
      <c r="P46" t="str">
        <f t="shared" si="2"/>
        <v>UNRESERVED</v>
      </c>
      <c r="Q46" t="str">
        <f t="shared" si="3"/>
        <v>static const String^ TOK_BIN_SHL = "BIN_SHL";</v>
      </c>
      <c r="R46" t="str">
        <f t="shared" si="4"/>
        <v>static const int TOK_BIN_SHL = 536;</v>
      </c>
      <c r="S46" t="str">
        <f t="shared" si="5"/>
        <v>// _Tokens-&gt;Add((String^)GramVals::TOK_BIN_SHL, gcnew Token(GramKeys::TOK_BIN_SHL, EnumTokenCategory::UNRESERVED,BARE_LABEL, i++));</v>
      </c>
    </row>
    <row r="47" spans="1:19" x14ac:dyDescent="0.25">
      <c r="A47" s="3" t="s">
        <v>1425</v>
      </c>
      <c r="B47" s="5" t="s">
        <v>1025</v>
      </c>
      <c r="C47" s="3" t="s">
        <v>1939</v>
      </c>
      <c r="D47" s="3" t="s">
        <v>2423</v>
      </c>
      <c r="F47" t="str">
        <f t="shared" si="0"/>
        <v>BIN_SHR</v>
      </c>
      <c r="G47" t="s">
        <v>3640</v>
      </c>
      <c r="I47" s="3" t="str">
        <f>IF(_xlfn.XLOOKUP(F47,PgSqlRaw!B:B,PgSqlRaw!E:E,"") = "",_xlfn.XLOOKUP(G47,PgSqlRaw!B:B,PgSqlRaw!E:E,""),_xlfn.XLOOKUP(F47,PgSqlRaw!B:B,PgSqlRaw!E:E,""))</f>
        <v/>
      </c>
      <c r="J47" t="str">
        <f>IF(_xlfn.XLOOKUP(F47,PgSqlRaw!B:B,PgSqlRaw!F:F,"") = "", _xlfn.XLOOKUP(G47,PgSqlRaw!B:B,PgSqlRaw!F:F,""), _xlfn.XLOOKUP(F47,PgSqlRaw!B:B,PgSqlRaw!F:F,""))</f>
        <v/>
      </c>
      <c r="K47" t="str">
        <f t="shared" si="1"/>
        <v>BARE_LABEL</v>
      </c>
      <c r="L47" t="str">
        <f>IF(_xlfn.XLOOKUP(F47,PhpReserved!A:A,PhpReserved!B:B,"") = "", _xlfn.XLOOKUP(G47,PhpReserved!A:A,PhpReserved!B:B,""),_xlfn.XLOOKUP(F47,PhpReserved!A:A,PhpReserved!B:B,""))</f>
        <v/>
      </c>
      <c r="M47" t="str">
        <f>IF(_xlfn.XLOOKUP(F47,PhpFunctions!A:A,PhpFunctions!B:B,"") =  "", _xlfn.XLOOKUP(G47,PhpFunctions!A:A,PhpFunctions!B:B,""), _xlfn.XLOOKUP(F47,PhpFunctions!A:A,PhpFunctions!B:B,""))</f>
        <v/>
      </c>
      <c r="N47" t="str">
        <f>IF(_xlfn.XLOOKUP(F47,PhpParamFunc!A:A,PhpParamFunc!B:B,"") = "", _xlfn.XLOOKUP(G47,PhpParamFunc!A:A,PhpParamFunc!B:B,""), _xlfn.XLOOKUP(F47,PhpParamFunc!A:A,PhpParamFunc!B:B,""))</f>
        <v/>
      </c>
      <c r="O47" t="str">
        <f>IF(_xlfn.XLOOKUP(F47,PhpAggrFunc!A:A,PhpAggrFunc!B:B,"") = "", _xlfn.XLOOKUP(G47,PhpAggrFunc!A:A,PhpAggrFunc!B:B,""), _xlfn.XLOOKUP(F47,PhpAggrFunc!A:A,PhpAggrFunc!B:B,""))</f>
        <v/>
      </c>
      <c r="P47" t="str">
        <f t="shared" si="2"/>
        <v>UNRESERVED</v>
      </c>
      <c r="Q47" t="str">
        <f t="shared" si="3"/>
        <v>static const String^ TOK_BIN_SHR = "BIN_SHR";</v>
      </c>
      <c r="R47" t="str">
        <f t="shared" si="4"/>
        <v>static const int TOK_BIN_SHR = 537;</v>
      </c>
      <c r="S47" t="str">
        <f t="shared" si="5"/>
        <v>// _Tokens-&gt;Add((String^)GramVals::TOK_BIN_SHR, gcnew Token(GramKeys::TOK_BIN_SHR, EnumTokenCategory::UNRESERVED,BARE_LABEL, i++));</v>
      </c>
    </row>
    <row r="48" spans="1:19" x14ac:dyDescent="0.25">
      <c r="A48" s="3" t="s">
        <v>1426</v>
      </c>
      <c r="B48" s="5" t="s">
        <v>1022</v>
      </c>
      <c r="C48" s="3" t="s">
        <v>1940</v>
      </c>
      <c r="D48" s="3" t="s">
        <v>2423</v>
      </c>
      <c r="F48" t="str">
        <f t="shared" si="0"/>
        <v>BIN_XOR</v>
      </c>
      <c r="G48" t="s">
        <v>3849</v>
      </c>
      <c r="I48" s="3" t="str">
        <f>IF(_xlfn.XLOOKUP(F48,PgSqlRaw!B:B,PgSqlRaw!E:E,"") = "",_xlfn.XLOOKUP(G48,PgSqlRaw!B:B,PgSqlRaw!E:E,""),_xlfn.XLOOKUP(F48,PgSqlRaw!B:B,PgSqlRaw!E:E,""))</f>
        <v/>
      </c>
      <c r="J48" t="str">
        <f>IF(_xlfn.XLOOKUP(F48,PgSqlRaw!B:B,PgSqlRaw!F:F,"") = "", _xlfn.XLOOKUP(G48,PgSqlRaw!B:B,PgSqlRaw!F:F,""), _xlfn.XLOOKUP(F48,PgSqlRaw!B:B,PgSqlRaw!F:F,""))</f>
        <v/>
      </c>
      <c r="K48" t="str">
        <f t="shared" si="1"/>
        <v>BARE_LABEL</v>
      </c>
      <c r="L48" t="str">
        <f>IF(_xlfn.XLOOKUP(F48,PhpReserved!A:A,PhpReserved!B:B,"") = "", _xlfn.XLOOKUP(G48,PhpReserved!A:A,PhpReserved!B:B,""),_xlfn.XLOOKUP(F48,PhpReserved!A:A,PhpReserved!B:B,""))</f>
        <v/>
      </c>
      <c r="M48" t="str">
        <f>IF(_xlfn.XLOOKUP(F48,PhpFunctions!A:A,PhpFunctions!B:B,"") =  "", _xlfn.XLOOKUP(G48,PhpFunctions!A:A,PhpFunctions!B:B,""), _xlfn.XLOOKUP(F48,PhpFunctions!A:A,PhpFunctions!B:B,""))</f>
        <v/>
      </c>
      <c r="N48" t="str">
        <f>IF(_xlfn.XLOOKUP(F48,PhpParamFunc!A:A,PhpParamFunc!B:B,"") = "", _xlfn.XLOOKUP(G48,PhpParamFunc!A:A,PhpParamFunc!B:B,""), _xlfn.XLOOKUP(F48,PhpParamFunc!A:A,PhpParamFunc!B:B,""))</f>
        <v/>
      </c>
      <c r="O48" t="str">
        <f>IF(_xlfn.XLOOKUP(F48,PhpAggrFunc!A:A,PhpAggrFunc!B:B,"") = "", _xlfn.XLOOKUP(G48,PhpAggrFunc!A:A,PhpAggrFunc!B:B,""), _xlfn.XLOOKUP(F48,PhpAggrFunc!A:A,PhpAggrFunc!B:B,""))</f>
        <v>AGGR_FUNCTION</v>
      </c>
      <c r="P48" t="str">
        <f t="shared" si="2"/>
        <v>AGGR_FUNCTION</v>
      </c>
      <c r="Q48" t="str">
        <f t="shared" si="3"/>
        <v>static const String^ TOK_BIN_XOR = "BIN_XOR";</v>
      </c>
      <c r="R48" t="str">
        <f t="shared" si="4"/>
        <v>static const int TOK_BIN_XOR = 538;</v>
      </c>
      <c r="S48" t="str">
        <f t="shared" si="5"/>
        <v>_Tokens-&gt;Add((String^)GramVals::TOK_BIN_XOR, gcnew Token(GramKeys::TOK_BIN_XOR, EnumTokenCategory::AGGR_FUNCTION,BARE_LABEL, i++));</v>
      </c>
    </row>
    <row r="49" spans="1:19" x14ac:dyDescent="0.25">
      <c r="A49" s="3" t="s">
        <v>1427</v>
      </c>
      <c r="B49" s="5">
        <v>657</v>
      </c>
      <c r="C49" s="3" t="s">
        <v>1941</v>
      </c>
      <c r="D49" s="3" t="s">
        <v>881</v>
      </c>
      <c r="E49" s="3" t="s">
        <v>3484</v>
      </c>
      <c r="F49" t="str">
        <f t="shared" si="0"/>
        <v>BIN_XOR_GTR</v>
      </c>
      <c r="G49" t="s">
        <v>3641</v>
      </c>
      <c r="I49" s="3" t="str">
        <f>IF(_xlfn.XLOOKUP(F49,PgSqlRaw!B:B,PgSqlRaw!E:E,"") = "",_xlfn.XLOOKUP(G49,PgSqlRaw!B:B,PgSqlRaw!E:E,""),_xlfn.XLOOKUP(F49,PgSqlRaw!B:B,PgSqlRaw!E:E,""))</f>
        <v/>
      </c>
      <c r="J49" t="str">
        <f>IF(_xlfn.XLOOKUP(F49,PgSqlRaw!B:B,PgSqlRaw!F:F,"") = "", _xlfn.XLOOKUP(G49,PgSqlRaw!B:B,PgSqlRaw!F:F,""), _xlfn.XLOOKUP(F49,PgSqlRaw!B:B,PgSqlRaw!F:F,""))</f>
        <v/>
      </c>
      <c r="K49" t="str">
        <f t="shared" si="1"/>
        <v>BARE_LABEL</v>
      </c>
      <c r="L49" t="str">
        <f>IF(_xlfn.XLOOKUP(F49,PhpReserved!A:A,PhpReserved!B:B,"") = "", _xlfn.XLOOKUP(G49,PhpReserved!A:A,PhpReserved!B:B,""),_xlfn.XLOOKUP(F49,PhpReserved!A:A,PhpReserved!B:B,""))</f>
        <v/>
      </c>
      <c r="M49" t="str">
        <f>IF(_xlfn.XLOOKUP(F49,PhpFunctions!A:A,PhpFunctions!B:B,"") =  "", _xlfn.XLOOKUP(G49,PhpFunctions!A:A,PhpFunctions!B:B,""), _xlfn.XLOOKUP(F49,PhpFunctions!A:A,PhpFunctions!B:B,""))</f>
        <v/>
      </c>
      <c r="N49" t="str">
        <f>IF(_xlfn.XLOOKUP(F49,PhpParamFunc!A:A,PhpParamFunc!B:B,"") = "", _xlfn.XLOOKUP(G49,PhpParamFunc!A:A,PhpParamFunc!B:B,""), _xlfn.XLOOKUP(F49,PhpParamFunc!A:A,PhpParamFunc!B:B,""))</f>
        <v/>
      </c>
      <c r="O49" t="str">
        <f>IF(_xlfn.XLOOKUP(F49,PhpAggrFunc!A:A,PhpAggrFunc!B:B,"") = "", _xlfn.XLOOKUP(G49,PhpAggrFunc!A:A,PhpAggrFunc!B:B,""), _xlfn.XLOOKUP(F49,PhpAggrFunc!A:A,PhpAggrFunc!B:B,""))</f>
        <v/>
      </c>
      <c r="P49" t="str">
        <f t="shared" si="2"/>
        <v>OPERATOR</v>
      </c>
      <c r="Q49" t="str">
        <f t="shared" si="3"/>
        <v>static const String^ TOK_BIN_XOR_GTR = "^&gt;";</v>
      </c>
      <c r="R49" t="str">
        <f t="shared" si="4"/>
        <v>static const int TOK_BIN_XOR_GTR = 657;</v>
      </c>
      <c r="S49" t="str">
        <f t="shared" si="5"/>
        <v>_Tokens-&gt;Add((String^)GramVals::TOK_BIN_XOR_GTR, gcnew Token(GramKeys::TOK_BIN_XOR_GTR, EnumTokenCategory::OPERATOR,BARE_LABEL, i++));</v>
      </c>
    </row>
    <row r="50" spans="1:19" x14ac:dyDescent="0.25">
      <c r="A50" s="3" t="s">
        <v>1428</v>
      </c>
      <c r="B50" s="5">
        <v>658</v>
      </c>
      <c r="C50" s="3" t="s">
        <v>1942</v>
      </c>
      <c r="D50" s="3" t="s">
        <v>881</v>
      </c>
      <c r="E50" s="3" t="s">
        <v>3484</v>
      </c>
      <c r="F50" t="str">
        <f t="shared" si="0"/>
        <v>BIN_XOR_LSS</v>
      </c>
      <c r="G50" t="s">
        <v>3642</v>
      </c>
      <c r="I50" s="3" t="str">
        <f>IF(_xlfn.XLOOKUP(F50,PgSqlRaw!B:B,PgSqlRaw!E:E,"") = "",_xlfn.XLOOKUP(G50,PgSqlRaw!B:B,PgSqlRaw!E:E,""),_xlfn.XLOOKUP(F50,PgSqlRaw!B:B,PgSqlRaw!E:E,""))</f>
        <v/>
      </c>
      <c r="J50" t="str">
        <f>IF(_xlfn.XLOOKUP(F50,PgSqlRaw!B:B,PgSqlRaw!F:F,"") = "", _xlfn.XLOOKUP(G50,PgSqlRaw!B:B,PgSqlRaw!F:F,""), _xlfn.XLOOKUP(F50,PgSqlRaw!B:B,PgSqlRaw!F:F,""))</f>
        <v/>
      </c>
      <c r="K50" t="str">
        <f t="shared" si="1"/>
        <v>BARE_LABEL</v>
      </c>
      <c r="L50" t="str">
        <f>IF(_xlfn.XLOOKUP(F50,PhpReserved!A:A,PhpReserved!B:B,"") = "", _xlfn.XLOOKUP(G50,PhpReserved!A:A,PhpReserved!B:B,""),_xlfn.XLOOKUP(F50,PhpReserved!A:A,PhpReserved!B:B,""))</f>
        <v/>
      </c>
      <c r="M50" t="str">
        <f>IF(_xlfn.XLOOKUP(F50,PhpFunctions!A:A,PhpFunctions!B:B,"") =  "", _xlfn.XLOOKUP(G50,PhpFunctions!A:A,PhpFunctions!B:B,""), _xlfn.XLOOKUP(F50,PhpFunctions!A:A,PhpFunctions!B:B,""))</f>
        <v/>
      </c>
      <c r="N50" t="str">
        <f>IF(_xlfn.XLOOKUP(F50,PhpParamFunc!A:A,PhpParamFunc!B:B,"") = "", _xlfn.XLOOKUP(G50,PhpParamFunc!A:A,PhpParamFunc!B:B,""), _xlfn.XLOOKUP(F50,PhpParamFunc!A:A,PhpParamFunc!B:B,""))</f>
        <v/>
      </c>
      <c r="O50" t="str">
        <f>IF(_xlfn.XLOOKUP(F50,PhpAggrFunc!A:A,PhpAggrFunc!B:B,"") = "", _xlfn.XLOOKUP(G50,PhpAggrFunc!A:A,PhpAggrFunc!B:B,""), _xlfn.XLOOKUP(F50,PhpAggrFunc!A:A,PhpAggrFunc!B:B,""))</f>
        <v/>
      </c>
      <c r="P50" t="str">
        <f t="shared" si="2"/>
        <v>OPERATOR</v>
      </c>
      <c r="Q50" t="str">
        <f t="shared" si="3"/>
        <v>static const String^ TOK_BIN_XOR_LSS = "^&lt;";</v>
      </c>
      <c r="R50" t="str">
        <f t="shared" si="4"/>
        <v>static const int TOK_BIN_XOR_LSS = 658;</v>
      </c>
      <c r="S50" t="str">
        <f t="shared" si="5"/>
        <v>_Tokens-&gt;Add((String^)GramVals::TOK_BIN_XOR_LSS, gcnew Token(GramKeys::TOK_BIN_XOR_LSS, EnumTokenCategory::OPERATOR,BARE_LABEL, i++));</v>
      </c>
    </row>
    <row r="51" spans="1:19" x14ac:dyDescent="0.25">
      <c r="A51" s="3" t="s">
        <v>1429</v>
      </c>
      <c r="B51" s="5">
        <v>659</v>
      </c>
      <c r="C51" s="3" t="s">
        <v>1943</v>
      </c>
      <c r="D51" s="3" t="s">
        <v>881</v>
      </c>
      <c r="F51" t="str">
        <f t="shared" si="0"/>
        <v>BINARY</v>
      </c>
      <c r="G51" t="s">
        <v>2896</v>
      </c>
      <c r="I51" s="3" t="str">
        <f>IF(_xlfn.XLOOKUP(F51,PgSqlRaw!B:B,PgSqlRaw!E:E,"") = "",_xlfn.XLOOKUP(G51,PgSqlRaw!B:B,PgSqlRaw!E:E,""),_xlfn.XLOOKUP(F51,PgSqlRaw!B:B,PgSqlRaw!E:E,""))</f>
        <v>FUNCTION</v>
      </c>
      <c r="J51" t="str">
        <f>IF(_xlfn.XLOOKUP(F51,PgSqlRaw!B:B,PgSqlRaw!F:F,"") = "", _xlfn.XLOOKUP(G51,PgSqlRaw!B:B,PgSqlRaw!F:F,""), _xlfn.XLOOKUP(F51,PgSqlRaw!B:B,PgSqlRaw!F:F,""))</f>
        <v>BARE_LABEL</v>
      </c>
      <c r="K51" t="str">
        <f t="shared" si="1"/>
        <v>BARE_LABEL</v>
      </c>
      <c r="L51" t="str">
        <f>IF(_xlfn.XLOOKUP(F51,PhpReserved!A:A,PhpReserved!B:B,"") = "", _xlfn.XLOOKUP(G51,PhpReserved!A:A,PhpReserved!B:B,""),_xlfn.XLOOKUP(F51,PhpReserved!A:A,PhpReserved!B:B,""))</f>
        <v>RESERVED</v>
      </c>
      <c r="M51" t="str">
        <f>IF(_xlfn.XLOOKUP(F51,PhpFunctions!A:A,PhpFunctions!B:B,"") =  "", _xlfn.XLOOKUP(G51,PhpFunctions!A:A,PhpFunctions!B:B,""), _xlfn.XLOOKUP(F51,PhpFunctions!A:A,PhpFunctions!B:B,""))</f>
        <v>FUNCTION</v>
      </c>
      <c r="N51" t="str">
        <f>IF(_xlfn.XLOOKUP(F51,PhpParamFunc!A:A,PhpParamFunc!B:B,"") = "", _xlfn.XLOOKUP(G51,PhpParamFunc!A:A,PhpParamFunc!B:B,""), _xlfn.XLOOKUP(F51,PhpParamFunc!A:A,PhpParamFunc!B:B,""))</f>
        <v>PARAM_FUNCTION</v>
      </c>
      <c r="O51" t="str">
        <f>IF(_xlfn.XLOOKUP(F51,PhpAggrFunc!A:A,PhpAggrFunc!B:B,"") = "", _xlfn.XLOOKUP(G51,PhpAggrFunc!A:A,PhpAggrFunc!B:B,""), _xlfn.XLOOKUP(F51,PhpAggrFunc!A:A,PhpAggrFunc!B:B,""))</f>
        <v/>
      </c>
      <c r="P51" t="str">
        <f t="shared" si="2"/>
        <v>PARAM_FUNCTION</v>
      </c>
      <c r="Q51" t="str">
        <f t="shared" si="3"/>
        <v>static const String^ TOK_BINARY = "BINARY";</v>
      </c>
      <c r="R51" t="str">
        <f t="shared" si="4"/>
        <v>static const int TOK_BINARY = 659;</v>
      </c>
      <c r="S51" t="str">
        <f t="shared" si="5"/>
        <v>_Tokens-&gt;Add((String^)GramVals::TOK_BINARY, gcnew Token(GramKeys::TOK_BINARY, EnumTokenCategory::PARAM_FUNCTION,BARE_LABEL, i++));</v>
      </c>
    </row>
    <row r="52" spans="1:19" x14ac:dyDescent="0.25">
      <c r="A52" s="3" t="s">
        <v>1430</v>
      </c>
      <c r="B52" s="5">
        <v>660</v>
      </c>
      <c r="C52" s="3" t="s">
        <v>1944</v>
      </c>
      <c r="D52" s="3" t="s">
        <v>2423</v>
      </c>
      <c r="F52" t="str">
        <f t="shared" si="0"/>
        <v>BIND</v>
      </c>
      <c r="G52" t="s">
        <v>3643</v>
      </c>
      <c r="I52" s="3" t="str">
        <f>IF(_xlfn.XLOOKUP(F52,PgSqlRaw!B:B,PgSqlRaw!E:E,"") = "",_xlfn.XLOOKUP(G52,PgSqlRaw!B:B,PgSqlRaw!E:E,""),_xlfn.XLOOKUP(F52,PgSqlRaw!B:B,PgSqlRaw!E:E,""))</f>
        <v/>
      </c>
      <c r="J52" t="str">
        <f>IF(_xlfn.XLOOKUP(F52,PgSqlRaw!B:B,PgSqlRaw!F:F,"") = "", _xlfn.XLOOKUP(G52,PgSqlRaw!B:B,PgSqlRaw!F:F,""), _xlfn.XLOOKUP(F52,PgSqlRaw!B:B,PgSqlRaw!F:F,""))</f>
        <v/>
      </c>
      <c r="K52" t="str">
        <f t="shared" si="1"/>
        <v>BARE_LABEL</v>
      </c>
      <c r="L52" t="str">
        <f>IF(_xlfn.XLOOKUP(F52,PhpReserved!A:A,PhpReserved!B:B,"") = "", _xlfn.XLOOKUP(G52,PhpReserved!A:A,PhpReserved!B:B,""),_xlfn.XLOOKUP(F52,PhpReserved!A:A,PhpReserved!B:B,""))</f>
        <v/>
      </c>
      <c r="M52" t="str">
        <f>IF(_xlfn.XLOOKUP(F52,PhpFunctions!A:A,PhpFunctions!B:B,"") =  "", _xlfn.XLOOKUP(G52,PhpFunctions!A:A,PhpFunctions!B:B,""), _xlfn.XLOOKUP(F52,PhpFunctions!A:A,PhpFunctions!B:B,""))</f>
        <v/>
      </c>
      <c r="N52" t="str">
        <f>IF(_xlfn.XLOOKUP(F52,PhpParamFunc!A:A,PhpParamFunc!B:B,"") = "", _xlfn.XLOOKUP(G52,PhpParamFunc!A:A,PhpParamFunc!B:B,""), _xlfn.XLOOKUP(F52,PhpParamFunc!A:A,PhpParamFunc!B:B,""))</f>
        <v/>
      </c>
      <c r="O52" t="str">
        <f>IF(_xlfn.XLOOKUP(F52,PhpAggrFunc!A:A,PhpAggrFunc!B:B,"") = "", _xlfn.XLOOKUP(G52,PhpAggrFunc!A:A,PhpAggrFunc!B:B,""), _xlfn.XLOOKUP(F52,PhpAggrFunc!A:A,PhpAggrFunc!B:B,""))</f>
        <v/>
      </c>
      <c r="P52" t="str">
        <f t="shared" si="2"/>
        <v>UNRESERVED</v>
      </c>
      <c r="Q52" t="str">
        <f t="shared" si="3"/>
        <v>static const String^ TOK_BIND = "BIND";</v>
      </c>
      <c r="R52" t="str">
        <f t="shared" si="4"/>
        <v>static const int TOK_BIND = 660;</v>
      </c>
      <c r="S52" t="str">
        <f t="shared" si="5"/>
        <v>// _Tokens-&gt;Add((String^)GramVals::TOK_BIND, gcnew Token(GramKeys::TOK_BIND, EnumTokenCategory::UNRESERVED,BARE_LABEL, i++));</v>
      </c>
    </row>
    <row r="53" spans="1:19" x14ac:dyDescent="0.25">
      <c r="A53" s="3" t="s">
        <v>1431</v>
      </c>
      <c r="B53" s="5" t="s">
        <v>1026</v>
      </c>
      <c r="C53" s="3" t="s">
        <v>1945</v>
      </c>
      <c r="D53" s="3" t="s">
        <v>881</v>
      </c>
      <c r="E53" s="3" t="s">
        <v>3484</v>
      </c>
      <c r="F53" t="str">
        <f t="shared" si="0"/>
        <v>BIND_PARAM</v>
      </c>
      <c r="G53" t="s">
        <v>3644</v>
      </c>
      <c r="I53" s="3" t="str">
        <f>IF(_xlfn.XLOOKUP(F53,PgSqlRaw!B:B,PgSqlRaw!E:E,"") = "",_xlfn.XLOOKUP(G53,PgSqlRaw!B:B,PgSqlRaw!E:E,""),_xlfn.XLOOKUP(F53,PgSqlRaw!B:B,PgSqlRaw!E:E,""))</f>
        <v/>
      </c>
      <c r="J53" t="str">
        <f>IF(_xlfn.XLOOKUP(F53,PgSqlRaw!B:B,PgSqlRaw!F:F,"") = "", _xlfn.XLOOKUP(G53,PgSqlRaw!B:B,PgSqlRaw!F:F,""), _xlfn.XLOOKUP(F53,PgSqlRaw!B:B,PgSqlRaw!F:F,""))</f>
        <v/>
      </c>
      <c r="K53" t="str">
        <f t="shared" si="1"/>
        <v>BARE_LABEL</v>
      </c>
      <c r="L53" t="str">
        <f>IF(_xlfn.XLOOKUP(F53,PhpReserved!A:A,PhpReserved!B:B,"") = "", _xlfn.XLOOKUP(G53,PhpReserved!A:A,PhpReserved!B:B,""),_xlfn.XLOOKUP(F53,PhpReserved!A:A,PhpReserved!B:B,""))</f>
        <v/>
      </c>
      <c r="M53" t="str">
        <f>IF(_xlfn.XLOOKUP(F53,PhpFunctions!A:A,PhpFunctions!B:B,"") =  "", _xlfn.XLOOKUP(G53,PhpFunctions!A:A,PhpFunctions!B:B,""), _xlfn.XLOOKUP(F53,PhpFunctions!A:A,PhpFunctions!B:B,""))</f>
        <v/>
      </c>
      <c r="N53" t="str">
        <f>IF(_xlfn.XLOOKUP(F53,PhpParamFunc!A:A,PhpParamFunc!B:B,"") = "", _xlfn.XLOOKUP(G53,PhpParamFunc!A:A,PhpParamFunc!B:B,""), _xlfn.XLOOKUP(F53,PhpParamFunc!A:A,PhpParamFunc!B:B,""))</f>
        <v/>
      </c>
      <c r="O53" t="str">
        <f>IF(_xlfn.XLOOKUP(F53,PhpAggrFunc!A:A,PhpAggrFunc!B:B,"") = "", _xlfn.XLOOKUP(G53,PhpAggrFunc!A:A,PhpAggrFunc!B:B,""), _xlfn.XLOOKUP(F53,PhpAggrFunc!A:A,PhpAggrFunc!B:B,""))</f>
        <v/>
      </c>
      <c r="P53" t="str">
        <f t="shared" si="2"/>
        <v>OPERATOR</v>
      </c>
      <c r="Q53" t="str">
        <f t="shared" si="3"/>
        <v>static const String^ TOK_BIND_PARAM = ":=";</v>
      </c>
      <c r="R53" t="str">
        <f t="shared" si="4"/>
        <v>static const int TOK_BIND_PARAM = 605;</v>
      </c>
      <c r="S53" t="str">
        <f t="shared" si="5"/>
        <v>_Tokens-&gt;Add((String^)GramVals::TOK_BIND_PARAM, gcnew Token(GramKeys::TOK_BIND_PARAM, EnumTokenCategory::OPERATOR,BARE_LABEL, i++));</v>
      </c>
    </row>
    <row r="54" spans="1:19" x14ac:dyDescent="0.25">
      <c r="A54" s="3" t="s">
        <v>1432</v>
      </c>
      <c r="B54" s="5" t="s">
        <v>1027</v>
      </c>
      <c r="C54" s="3" t="s">
        <v>1946</v>
      </c>
      <c r="D54" s="3" t="s">
        <v>881</v>
      </c>
      <c r="F54" t="str">
        <f t="shared" si="0"/>
        <v>BIT_LENGTH</v>
      </c>
      <c r="G54" t="s">
        <v>3645</v>
      </c>
      <c r="I54" s="3" t="str">
        <f>IF(_xlfn.XLOOKUP(F54,PgSqlRaw!B:B,PgSqlRaw!E:E,"") = "",_xlfn.XLOOKUP(G54,PgSqlRaw!B:B,PgSqlRaw!E:E,""),_xlfn.XLOOKUP(F54,PgSqlRaw!B:B,PgSqlRaw!E:E,""))</f>
        <v/>
      </c>
      <c r="J54" t="str">
        <f>IF(_xlfn.XLOOKUP(F54,PgSqlRaw!B:B,PgSqlRaw!F:F,"") = "", _xlfn.XLOOKUP(G54,PgSqlRaw!B:B,PgSqlRaw!F:F,""), _xlfn.XLOOKUP(F54,PgSqlRaw!B:B,PgSqlRaw!F:F,""))</f>
        <v/>
      </c>
      <c r="K54" t="str">
        <f t="shared" si="1"/>
        <v>BARE_LABEL</v>
      </c>
      <c r="L54" t="str">
        <f>IF(_xlfn.XLOOKUP(F54,PhpReserved!A:A,PhpReserved!B:B,"") = "", _xlfn.XLOOKUP(G54,PhpReserved!A:A,PhpReserved!B:B,""),_xlfn.XLOOKUP(F54,PhpReserved!A:A,PhpReserved!B:B,""))</f>
        <v/>
      </c>
      <c r="M54" t="str">
        <f>IF(_xlfn.XLOOKUP(F54,PhpFunctions!A:A,PhpFunctions!B:B,"") =  "", _xlfn.XLOOKUP(G54,PhpFunctions!A:A,PhpFunctions!B:B,""), _xlfn.XLOOKUP(F54,PhpFunctions!A:A,PhpFunctions!B:B,""))</f>
        <v/>
      </c>
      <c r="N54" t="str">
        <f>IF(_xlfn.XLOOKUP(F54,PhpParamFunc!A:A,PhpParamFunc!B:B,"") = "", _xlfn.XLOOKUP(G54,PhpParamFunc!A:A,PhpParamFunc!B:B,""), _xlfn.XLOOKUP(F54,PhpParamFunc!A:A,PhpParamFunc!B:B,""))</f>
        <v/>
      </c>
      <c r="O54" t="str">
        <f>IF(_xlfn.XLOOKUP(F54,PhpAggrFunc!A:A,PhpAggrFunc!B:B,"") = "", _xlfn.XLOOKUP(G54,PhpAggrFunc!A:A,PhpAggrFunc!B:B,""), _xlfn.XLOOKUP(F54,PhpAggrFunc!A:A,PhpAggrFunc!B:B,""))</f>
        <v/>
      </c>
      <c r="P54" t="str">
        <f t="shared" si="2"/>
        <v>UNRESERVED</v>
      </c>
      <c r="Q54" t="str">
        <f t="shared" si="3"/>
        <v>static const String^ TOK_BIT_LENGTH = "BIT_LENGTH";</v>
      </c>
      <c r="R54" t="str">
        <f t="shared" si="4"/>
        <v>static const int TOK_BIT_LENGTH = 511;</v>
      </c>
      <c r="S54" t="str">
        <f t="shared" si="5"/>
        <v>// _Tokens-&gt;Add((String^)GramVals::TOK_BIT_LENGTH, gcnew Token(GramKeys::TOK_BIT_LENGTH, EnumTokenCategory::UNRESERVED,BARE_LABEL, i++));</v>
      </c>
    </row>
    <row r="55" spans="1:19" x14ac:dyDescent="0.25">
      <c r="A55" s="3" t="s">
        <v>1433</v>
      </c>
      <c r="B55" s="5" t="s">
        <v>1028</v>
      </c>
      <c r="C55" s="3" t="s">
        <v>1947</v>
      </c>
      <c r="D55" s="3" t="s">
        <v>881</v>
      </c>
      <c r="F55" t="str">
        <f t="shared" si="0"/>
        <v>BLOB</v>
      </c>
      <c r="G55" t="s">
        <v>3098</v>
      </c>
      <c r="I55" s="3" t="str">
        <f>IF(_xlfn.XLOOKUP(F55,PgSqlRaw!B:B,PgSqlRaw!E:E,"") = "",_xlfn.XLOOKUP(G55,PgSqlRaw!B:B,PgSqlRaw!E:E,""),_xlfn.XLOOKUP(F55,PgSqlRaw!B:B,PgSqlRaw!E:E,""))</f>
        <v/>
      </c>
      <c r="J55" t="str">
        <f>IF(_xlfn.XLOOKUP(F55,PgSqlRaw!B:B,PgSqlRaw!F:F,"") = "", _xlfn.XLOOKUP(G55,PgSqlRaw!B:B,PgSqlRaw!F:F,""), _xlfn.XLOOKUP(F55,PgSqlRaw!B:B,PgSqlRaw!F:F,""))</f>
        <v/>
      </c>
      <c r="K55" t="str">
        <f t="shared" si="1"/>
        <v>BARE_LABEL</v>
      </c>
      <c r="L55" t="str">
        <f>IF(_xlfn.XLOOKUP(F55,PhpReserved!A:A,PhpReserved!B:B,"") = "", _xlfn.XLOOKUP(G55,PhpReserved!A:A,PhpReserved!B:B,""),_xlfn.XLOOKUP(F55,PhpReserved!A:A,PhpReserved!B:B,""))</f>
        <v>RESERVED</v>
      </c>
      <c r="M55" t="str">
        <f>IF(_xlfn.XLOOKUP(F55,PhpFunctions!A:A,PhpFunctions!B:B,"") =  "", _xlfn.XLOOKUP(G55,PhpFunctions!A:A,PhpFunctions!B:B,""), _xlfn.XLOOKUP(F55,PhpFunctions!A:A,PhpFunctions!B:B,""))</f>
        <v/>
      </c>
      <c r="N55" t="str">
        <f>IF(_xlfn.XLOOKUP(F55,PhpParamFunc!A:A,PhpParamFunc!B:B,"") = "", _xlfn.XLOOKUP(G55,PhpParamFunc!A:A,PhpParamFunc!B:B,""), _xlfn.XLOOKUP(F55,PhpParamFunc!A:A,PhpParamFunc!B:B,""))</f>
        <v/>
      </c>
      <c r="O55" t="str">
        <f>IF(_xlfn.XLOOKUP(F55,PhpAggrFunc!A:A,PhpAggrFunc!B:B,"") = "", _xlfn.XLOOKUP(G55,PhpAggrFunc!A:A,PhpAggrFunc!B:B,""), _xlfn.XLOOKUP(F55,PhpAggrFunc!A:A,PhpAggrFunc!B:B,""))</f>
        <v/>
      </c>
      <c r="P55" t="str">
        <f t="shared" si="2"/>
        <v>RESERVED</v>
      </c>
      <c r="Q55" t="str">
        <f t="shared" si="3"/>
        <v>static const String^ TOK_BLOB = "BLOB";</v>
      </c>
      <c r="R55" t="str">
        <f t="shared" si="4"/>
        <v>static const int TOK_BLOB = 272;</v>
      </c>
      <c r="S55" t="str">
        <f t="shared" si="5"/>
        <v>_Tokens-&gt;Add((String^)GramVals::TOK_BLOB, gcnew Token(GramKeys::TOK_BLOB, EnumTokenCategory::RESERVED,BARE_LABEL, i++));</v>
      </c>
    </row>
    <row r="56" spans="1:19" x14ac:dyDescent="0.25">
      <c r="A56" s="3" t="s">
        <v>1434</v>
      </c>
      <c r="B56" s="5">
        <v>661</v>
      </c>
      <c r="C56" s="3" t="s">
        <v>1948</v>
      </c>
      <c r="D56" s="3" t="s">
        <v>2423</v>
      </c>
      <c r="F56" t="str">
        <f t="shared" si="0"/>
        <v>BLOB_APPEND</v>
      </c>
      <c r="G56" t="s">
        <v>3646</v>
      </c>
      <c r="I56" s="3" t="str">
        <f>IF(_xlfn.XLOOKUP(F56,PgSqlRaw!B:B,PgSqlRaw!E:E,"") = "",_xlfn.XLOOKUP(G56,PgSqlRaw!B:B,PgSqlRaw!E:E,""),_xlfn.XLOOKUP(F56,PgSqlRaw!B:B,PgSqlRaw!E:E,""))</f>
        <v/>
      </c>
      <c r="J56" t="str">
        <f>IF(_xlfn.XLOOKUP(F56,PgSqlRaw!B:B,PgSqlRaw!F:F,"") = "", _xlfn.XLOOKUP(G56,PgSqlRaw!B:B,PgSqlRaw!F:F,""), _xlfn.XLOOKUP(F56,PgSqlRaw!B:B,PgSqlRaw!F:F,""))</f>
        <v/>
      </c>
      <c r="K56" t="str">
        <f t="shared" si="1"/>
        <v>BARE_LABEL</v>
      </c>
      <c r="L56" t="str">
        <f>IF(_xlfn.XLOOKUP(F56,PhpReserved!A:A,PhpReserved!B:B,"") = "", _xlfn.XLOOKUP(G56,PhpReserved!A:A,PhpReserved!B:B,""),_xlfn.XLOOKUP(F56,PhpReserved!A:A,PhpReserved!B:B,""))</f>
        <v/>
      </c>
      <c r="M56" t="str">
        <f>IF(_xlfn.XLOOKUP(F56,PhpFunctions!A:A,PhpFunctions!B:B,"") =  "", _xlfn.XLOOKUP(G56,PhpFunctions!A:A,PhpFunctions!B:B,""), _xlfn.XLOOKUP(F56,PhpFunctions!A:A,PhpFunctions!B:B,""))</f>
        <v/>
      </c>
      <c r="N56" t="str">
        <f>IF(_xlfn.XLOOKUP(F56,PhpParamFunc!A:A,PhpParamFunc!B:B,"") = "", _xlfn.XLOOKUP(G56,PhpParamFunc!A:A,PhpParamFunc!B:B,""), _xlfn.XLOOKUP(F56,PhpParamFunc!A:A,PhpParamFunc!B:B,""))</f>
        <v/>
      </c>
      <c r="O56" t="str">
        <f>IF(_xlfn.XLOOKUP(F56,PhpAggrFunc!A:A,PhpAggrFunc!B:B,"") = "", _xlfn.XLOOKUP(G56,PhpAggrFunc!A:A,PhpAggrFunc!B:B,""), _xlfn.XLOOKUP(F56,PhpAggrFunc!A:A,PhpAggrFunc!B:B,""))</f>
        <v/>
      </c>
      <c r="P56" t="str">
        <f t="shared" si="2"/>
        <v>UNRESERVED</v>
      </c>
      <c r="Q56" t="str">
        <f t="shared" si="3"/>
        <v>static const String^ TOK_BLOB_APPEND = "BLOB_APPEND";</v>
      </c>
      <c r="R56" t="str">
        <f t="shared" si="4"/>
        <v>static const int TOK_BLOB_APPEND = 661;</v>
      </c>
      <c r="S56" t="str">
        <f t="shared" si="5"/>
        <v>// _Tokens-&gt;Add((String^)GramVals::TOK_BLOB_APPEND, gcnew Token(GramKeys::TOK_BLOB_APPEND, EnumTokenCategory::UNRESERVED,BARE_LABEL, i++));</v>
      </c>
    </row>
    <row r="57" spans="1:19" x14ac:dyDescent="0.25">
      <c r="A57" s="3" t="s">
        <v>1435</v>
      </c>
      <c r="B57" s="5" t="s">
        <v>1029</v>
      </c>
      <c r="C57" s="3" t="s">
        <v>1949</v>
      </c>
      <c r="D57" s="3" t="s">
        <v>2423</v>
      </c>
      <c r="F57" t="str">
        <f t="shared" si="0"/>
        <v>BLOCK</v>
      </c>
      <c r="G57" t="s">
        <v>3647</v>
      </c>
      <c r="I57" s="3" t="str">
        <f>IF(_xlfn.XLOOKUP(F57,PgSqlRaw!B:B,PgSqlRaw!E:E,"") = "",_xlfn.XLOOKUP(G57,PgSqlRaw!B:B,PgSqlRaw!E:E,""),_xlfn.XLOOKUP(F57,PgSqlRaw!B:B,PgSqlRaw!E:E,""))</f>
        <v/>
      </c>
      <c r="J57" t="str">
        <f>IF(_xlfn.XLOOKUP(F57,PgSqlRaw!B:B,PgSqlRaw!F:F,"") = "", _xlfn.XLOOKUP(G57,PgSqlRaw!B:B,PgSqlRaw!F:F,""), _xlfn.XLOOKUP(F57,PgSqlRaw!B:B,PgSqlRaw!F:F,""))</f>
        <v/>
      </c>
      <c r="K57" t="str">
        <f t="shared" si="1"/>
        <v>BARE_LABEL</v>
      </c>
      <c r="L57" t="str">
        <f>IF(_xlfn.XLOOKUP(F57,PhpReserved!A:A,PhpReserved!B:B,"") = "", _xlfn.XLOOKUP(G57,PhpReserved!A:A,PhpReserved!B:B,""),_xlfn.XLOOKUP(F57,PhpReserved!A:A,PhpReserved!B:B,""))</f>
        <v/>
      </c>
      <c r="M57" t="str">
        <f>IF(_xlfn.XLOOKUP(F57,PhpFunctions!A:A,PhpFunctions!B:B,"") =  "", _xlfn.XLOOKUP(G57,PhpFunctions!A:A,PhpFunctions!B:B,""), _xlfn.XLOOKUP(F57,PhpFunctions!A:A,PhpFunctions!B:B,""))</f>
        <v/>
      </c>
      <c r="N57" t="str">
        <f>IF(_xlfn.XLOOKUP(F57,PhpParamFunc!A:A,PhpParamFunc!B:B,"") = "", _xlfn.XLOOKUP(G57,PhpParamFunc!A:A,PhpParamFunc!B:B,""), _xlfn.XLOOKUP(F57,PhpParamFunc!A:A,PhpParamFunc!B:B,""))</f>
        <v/>
      </c>
      <c r="O57" t="str">
        <f>IF(_xlfn.XLOOKUP(F57,PhpAggrFunc!A:A,PhpAggrFunc!B:B,"") = "", _xlfn.XLOOKUP(G57,PhpAggrFunc!A:A,PhpAggrFunc!B:B,""), _xlfn.XLOOKUP(F57,PhpAggrFunc!A:A,PhpAggrFunc!B:B,""))</f>
        <v/>
      </c>
      <c r="P57" t="str">
        <f t="shared" si="2"/>
        <v>UNRESERVED</v>
      </c>
      <c r="Q57" t="str">
        <f t="shared" si="3"/>
        <v>static const String^ TOK_BLOCK = "BLOCK";</v>
      </c>
      <c r="R57" t="str">
        <f t="shared" si="4"/>
        <v>static const int TOK_BLOCK = 501;</v>
      </c>
      <c r="S57" t="str">
        <f t="shared" si="5"/>
        <v>// _Tokens-&gt;Add((String^)GramVals::TOK_BLOCK, gcnew Token(GramKeys::TOK_BLOCK, EnumTokenCategory::UNRESERVED,BARE_LABEL, i++));</v>
      </c>
    </row>
    <row r="58" spans="1:19" x14ac:dyDescent="0.25">
      <c r="A58" s="3" t="s">
        <v>1436</v>
      </c>
      <c r="B58" s="5" t="s">
        <v>1030</v>
      </c>
      <c r="C58" s="3" t="s">
        <v>1950</v>
      </c>
      <c r="D58" s="3" t="s">
        <v>2423</v>
      </c>
      <c r="F58" t="str">
        <f t="shared" si="0"/>
        <v>BODY</v>
      </c>
      <c r="G58" t="s">
        <v>3648</v>
      </c>
      <c r="I58" s="3" t="str">
        <f>IF(_xlfn.XLOOKUP(F58,PgSqlRaw!B:B,PgSqlRaw!E:E,"") = "",_xlfn.XLOOKUP(G58,PgSqlRaw!B:B,PgSqlRaw!E:E,""),_xlfn.XLOOKUP(F58,PgSqlRaw!B:B,PgSqlRaw!E:E,""))</f>
        <v/>
      </c>
      <c r="J58" t="str">
        <f>IF(_xlfn.XLOOKUP(F58,PgSqlRaw!B:B,PgSqlRaw!F:F,"") = "", _xlfn.XLOOKUP(G58,PgSqlRaw!B:B,PgSqlRaw!F:F,""), _xlfn.XLOOKUP(F58,PgSqlRaw!B:B,PgSqlRaw!F:F,""))</f>
        <v/>
      </c>
      <c r="K58" t="str">
        <f t="shared" si="1"/>
        <v>BARE_LABEL</v>
      </c>
      <c r="L58" t="str">
        <f>IF(_xlfn.XLOOKUP(F58,PhpReserved!A:A,PhpReserved!B:B,"") = "", _xlfn.XLOOKUP(G58,PhpReserved!A:A,PhpReserved!B:B,""),_xlfn.XLOOKUP(F58,PhpReserved!A:A,PhpReserved!B:B,""))</f>
        <v/>
      </c>
      <c r="M58" t="str">
        <f>IF(_xlfn.XLOOKUP(F58,PhpFunctions!A:A,PhpFunctions!B:B,"") =  "", _xlfn.XLOOKUP(G58,PhpFunctions!A:A,PhpFunctions!B:B,""), _xlfn.XLOOKUP(F58,PhpFunctions!A:A,PhpFunctions!B:B,""))</f>
        <v/>
      </c>
      <c r="N58" t="str">
        <f>IF(_xlfn.XLOOKUP(F58,PhpParamFunc!A:A,PhpParamFunc!B:B,"") = "", _xlfn.XLOOKUP(G58,PhpParamFunc!A:A,PhpParamFunc!B:B,""), _xlfn.XLOOKUP(F58,PhpParamFunc!A:A,PhpParamFunc!B:B,""))</f>
        <v/>
      </c>
      <c r="O58" t="str">
        <f>IF(_xlfn.XLOOKUP(F58,PhpAggrFunc!A:A,PhpAggrFunc!B:B,"") = "", _xlfn.XLOOKUP(G58,PhpAggrFunc!A:A,PhpAggrFunc!B:B,""), _xlfn.XLOOKUP(F58,PhpAggrFunc!A:A,PhpAggrFunc!B:B,""))</f>
        <v/>
      </c>
      <c r="P58" t="str">
        <f t="shared" si="2"/>
        <v>UNRESERVED</v>
      </c>
      <c r="Q58" t="str">
        <f t="shared" si="3"/>
        <v>static const String^ TOK_BODY = "BODY";</v>
      </c>
      <c r="R58" t="str">
        <f t="shared" si="4"/>
        <v>static const int TOK_BODY = 607;</v>
      </c>
      <c r="S58" t="str">
        <f t="shared" si="5"/>
        <v>// _Tokens-&gt;Add((String^)GramVals::TOK_BODY, gcnew Token(GramKeys::TOK_BODY, EnumTokenCategory::UNRESERVED,BARE_LABEL, i++));</v>
      </c>
    </row>
    <row r="59" spans="1:19" x14ac:dyDescent="0.25">
      <c r="A59" s="3" t="s">
        <v>1437</v>
      </c>
      <c r="B59" s="5" t="s">
        <v>1031</v>
      </c>
      <c r="C59" s="3" t="s">
        <v>1951</v>
      </c>
      <c r="D59" s="3" t="s">
        <v>881</v>
      </c>
      <c r="F59" t="str">
        <f t="shared" si="0"/>
        <v>BOOLEAN</v>
      </c>
      <c r="G59" t="s">
        <v>3335</v>
      </c>
      <c r="I59" s="3" t="str">
        <f>IF(_xlfn.XLOOKUP(F59,PgSqlRaw!B:B,PgSqlRaw!E:E,"") = "",_xlfn.XLOOKUP(G59,PgSqlRaw!B:B,PgSqlRaw!E:E,""),_xlfn.XLOOKUP(F59,PgSqlRaw!B:B,PgSqlRaw!E:E,""))</f>
        <v>COLNAME_KEYWORD</v>
      </c>
      <c r="J59" t="str">
        <f>IF(_xlfn.XLOOKUP(F59,PgSqlRaw!B:B,PgSqlRaw!F:F,"") = "", _xlfn.XLOOKUP(G59,PgSqlRaw!B:B,PgSqlRaw!F:F,""), _xlfn.XLOOKUP(F59,PgSqlRaw!B:B,PgSqlRaw!F:F,""))</f>
        <v>BARE_LABEL</v>
      </c>
      <c r="K59" t="str">
        <f t="shared" si="1"/>
        <v>BARE_LABEL</v>
      </c>
      <c r="L59" t="str">
        <f>IF(_xlfn.XLOOKUP(F59,PhpReserved!A:A,PhpReserved!B:B,"") = "", _xlfn.XLOOKUP(G59,PhpReserved!A:A,PhpReserved!B:B,""),_xlfn.XLOOKUP(F59,PhpReserved!A:A,PhpReserved!B:B,""))</f>
        <v/>
      </c>
      <c r="M59" t="str">
        <f>IF(_xlfn.XLOOKUP(F59,PhpFunctions!A:A,PhpFunctions!B:B,"") =  "", _xlfn.XLOOKUP(G59,PhpFunctions!A:A,PhpFunctions!B:B,""), _xlfn.XLOOKUP(F59,PhpFunctions!A:A,PhpFunctions!B:B,""))</f>
        <v/>
      </c>
      <c r="N59" t="str">
        <f>IF(_xlfn.XLOOKUP(F59,PhpParamFunc!A:A,PhpParamFunc!B:B,"") = "", _xlfn.XLOOKUP(G59,PhpParamFunc!A:A,PhpParamFunc!B:B,""), _xlfn.XLOOKUP(F59,PhpParamFunc!A:A,PhpParamFunc!B:B,""))</f>
        <v/>
      </c>
      <c r="O59" t="str">
        <f>IF(_xlfn.XLOOKUP(F59,PhpAggrFunc!A:A,PhpAggrFunc!B:B,"") = "", _xlfn.XLOOKUP(G59,PhpAggrFunc!A:A,PhpAggrFunc!B:B,""), _xlfn.XLOOKUP(F59,PhpAggrFunc!A:A,PhpAggrFunc!B:B,""))</f>
        <v/>
      </c>
      <c r="P59" t="str">
        <f t="shared" si="2"/>
        <v>COLNAME_KEYWORD</v>
      </c>
      <c r="Q59" t="str">
        <f t="shared" si="3"/>
        <v>static const String^ TOK_BOOLEAN = "BOOLEAN";</v>
      </c>
      <c r="R59" t="str">
        <f t="shared" si="4"/>
        <v>static const int TOK_BOOLEAN = 638;</v>
      </c>
      <c r="S59" t="str">
        <f t="shared" si="5"/>
        <v>_Tokens-&gt;Add((String^)GramVals::TOK_BOOLEAN, gcnew Token(GramKeys::TOK_BOOLEAN, EnumTokenCategory::COLNAME_KEYWORD,BARE_LABEL, i++));</v>
      </c>
    </row>
    <row r="60" spans="1:19" x14ac:dyDescent="0.25">
      <c r="A60" s="3" t="s">
        <v>1438</v>
      </c>
      <c r="B60" s="5" t="s">
        <v>1032</v>
      </c>
      <c r="C60" s="3" t="s">
        <v>1952</v>
      </c>
      <c r="D60" s="3" t="s">
        <v>881</v>
      </c>
      <c r="F60" t="str">
        <f t="shared" si="0"/>
        <v>BOTH</v>
      </c>
      <c r="G60" t="s">
        <v>3099</v>
      </c>
      <c r="I60" s="3" t="str">
        <f>IF(_xlfn.XLOOKUP(F60,PgSqlRaw!B:B,PgSqlRaw!E:E,"") = "",_xlfn.XLOOKUP(G60,PgSqlRaw!B:B,PgSqlRaw!E:E,""),_xlfn.XLOOKUP(F60,PgSqlRaw!B:B,PgSqlRaw!E:E,""))</f>
        <v>RESERVED</v>
      </c>
      <c r="J60" t="str">
        <f>IF(_xlfn.XLOOKUP(F60,PgSqlRaw!B:B,PgSqlRaw!F:F,"") = "", _xlfn.XLOOKUP(G60,PgSqlRaw!B:B,PgSqlRaw!F:F,""), _xlfn.XLOOKUP(F60,PgSqlRaw!B:B,PgSqlRaw!F:F,""))</f>
        <v>BARE_LABEL</v>
      </c>
      <c r="K60" t="str">
        <f t="shared" si="1"/>
        <v>BARE_LABEL</v>
      </c>
      <c r="L60" t="str">
        <f>IF(_xlfn.XLOOKUP(F60,PhpReserved!A:A,PhpReserved!B:B,"") = "", _xlfn.XLOOKUP(G60,PhpReserved!A:A,PhpReserved!B:B,""),_xlfn.XLOOKUP(F60,PhpReserved!A:A,PhpReserved!B:B,""))</f>
        <v>RESERVED</v>
      </c>
      <c r="M60" t="str">
        <f>IF(_xlfn.XLOOKUP(F60,PhpFunctions!A:A,PhpFunctions!B:B,"") =  "", _xlfn.XLOOKUP(G60,PhpFunctions!A:A,PhpFunctions!B:B,""), _xlfn.XLOOKUP(F60,PhpFunctions!A:A,PhpFunctions!B:B,""))</f>
        <v/>
      </c>
      <c r="N60" t="str">
        <f>IF(_xlfn.XLOOKUP(F60,PhpParamFunc!A:A,PhpParamFunc!B:B,"") = "", _xlfn.XLOOKUP(G60,PhpParamFunc!A:A,PhpParamFunc!B:B,""), _xlfn.XLOOKUP(F60,PhpParamFunc!A:A,PhpParamFunc!B:B,""))</f>
        <v/>
      </c>
      <c r="O60" t="str">
        <f>IF(_xlfn.XLOOKUP(F60,PhpAggrFunc!A:A,PhpAggrFunc!B:B,"") = "", _xlfn.XLOOKUP(G60,PhpAggrFunc!A:A,PhpAggrFunc!B:B,""), _xlfn.XLOOKUP(F60,PhpAggrFunc!A:A,PhpAggrFunc!B:B,""))</f>
        <v/>
      </c>
      <c r="P60" t="str">
        <f t="shared" si="2"/>
        <v>RESERVED</v>
      </c>
      <c r="Q60" t="str">
        <f t="shared" si="3"/>
        <v>static const String^ TOK_BOTH = "BOTH";</v>
      </c>
      <c r="R60" t="str">
        <f t="shared" si="4"/>
        <v>static const int TOK_BOTH = 508;</v>
      </c>
      <c r="S60" t="str">
        <f t="shared" si="5"/>
        <v>_Tokens-&gt;Add((String^)GramVals::TOK_BOTH, gcnew Token(GramKeys::TOK_BOTH, EnumTokenCategory::RESERVED,BARE_LABEL, i++));</v>
      </c>
    </row>
    <row r="61" spans="1:19" x14ac:dyDescent="0.25">
      <c r="A61" s="3" t="s">
        <v>1439</v>
      </c>
      <c r="B61" s="5" t="s">
        <v>1033</v>
      </c>
      <c r="C61" s="3" t="s">
        <v>1953</v>
      </c>
      <c r="D61" s="3" t="s">
        <v>2423</v>
      </c>
      <c r="F61" t="str">
        <f t="shared" si="0"/>
        <v>BREAK</v>
      </c>
      <c r="G61" t="s">
        <v>3649</v>
      </c>
      <c r="I61" s="3" t="str">
        <f>IF(_xlfn.XLOOKUP(F61,PgSqlRaw!B:B,PgSqlRaw!E:E,"") = "",_xlfn.XLOOKUP(G61,PgSqlRaw!B:B,PgSqlRaw!E:E,""),_xlfn.XLOOKUP(F61,PgSqlRaw!B:B,PgSqlRaw!E:E,""))</f>
        <v/>
      </c>
      <c r="J61" t="str">
        <f>IF(_xlfn.XLOOKUP(F61,PgSqlRaw!B:B,PgSqlRaw!F:F,"") = "", _xlfn.XLOOKUP(G61,PgSqlRaw!B:B,PgSqlRaw!F:F,""), _xlfn.XLOOKUP(F61,PgSqlRaw!B:B,PgSqlRaw!F:F,""))</f>
        <v/>
      </c>
      <c r="K61" t="str">
        <f t="shared" si="1"/>
        <v>BARE_LABEL</v>
      </c>
      <c r="L61" t="str">
        <f>IF(_xlfn.XLOOKUP(F61,PhpReserved!A:A,PhpReserved!B:B,"") = "", _xlfn.XLOOKUP(G61,PhpReserved!A:A,PhpReserved!B:B,""),_xlfn.XLOOKUP(F61,PhpReserved!A:A,PhpReserved!B:B,""))</f>
        <v/>
      </c>
      <c r="M61" t="str">
        <f>IF(_xlfn.XLOOKUP(F61,PhpFunctions!A:A,PhpFunctions!B:B,"") =  "", _xlfn.XLOOKUP(G61,PhpFunctions!A:A,PhpFunctions!B:B,""), _xlfn.XLOOKUP(F61,PhpFunctions!A:A,PhpFunctions!B:B,""))</f>
        <v/>
      </c>
      <c r="N61" t="str">
        <f>IF(_xlfn.XLOOKUP(F61,PhpParamFunc!A:A,PhpParamFunc!B:B,"") = "", _xlfn.XLOOKUP(G61,PhpParamFunc!A:A,PhpParamFunc!B:B,""), _xlfn.XLOOKUP(F61,PhpParamFunc!A:A,PhpParamFunc!B:B,""))</f>
        <v/>
      </c>
      <c r="O61" t="str">
        <f>IF(_xlfn.XLOOKUP(F61,PhpAggrFunc!A:A,PhpAggrFunc!B:B,"") = "", _xlfn.XLOOKUP(G61,PhpAggrFunc!A:A,PhpAggrFunc!B:B,""), _xlfn.XLOOKUP(F61,PhpAggrFunc!A:A,PhpAggrFunc!B:B,""))</f>
        <v/>
      </c>
      <c r="P61" t="str">
        <f t="shared" si="2"/>
        <v>UNRESERVED</v>
      </c>
      <c r="Q61" t="str">
        <f t="shared" si="3"/>
        <v>static const String^ TOK_BREAK = "BREAK";</v>
      </c>
      <c r="R61" t="str">
        <f t="shared" si="4"/>
        <v>static const int TOK_BREAK = 471;</v>
      </c>
      <c r="S61" t="str">
        <f t="shared" si="5"/>
        <v>// _Tokens-&gt;Add((String^)GramVals::TOK_BREAK, gcnew Token(GramKeys::TOK_BREAK, EnumTokenCategory::UNRESERVED,BARE_LABEL, i++));</v>
      </c>
    </row>
    <row r="62" spans="1:19" x14ac:dyDescent="0.25">
      <c r="A62" s="3" t="s">
        <v>1440</v>
      </c>
      <c r="B62" s="5" t="s">
        <v>1034</v>
      </c>
      <c r="C62" s="3" t="s">
        <v>1954</v>
      </c>
      <c r="D62" s="3" t="s">
        <v>881</v>
      </c>
      <c r="F62" t="str">
        <f t="shared" si="0"/>
        <v>BY</v>
      </c>
      <c r="G62" t="s">
        <v>3100</v>
      </c>
      <c r="I62" s="3" t="str">
        <f>IF(_xlfn.XLOOKUP(F62,PgSqlRaw!B:B,PgSqlRaw!E:E,"") = "",_xlfn.XLOOKUP(G62,PgSqlRaw!B:B,PgSqlRaw!E:E,""),_xlfn.XLOOKUP(F62,PgSqlRaw!B:B,PgSqlRaw!E:E,""))</f>
        <v/>
      </c>
      <c r="J62" t="str">
        <f>IF(_xlfn.XLOOKUP(F62,PgSqlRaw!B:B,PgSqlRaw!F:F,"") = "", _xlfn.XLOOKUP(G62,PgSqlRaw!B:B,PgSqlRaw!F:F,""), _xlfn.XLOOKUP(F62,PgSqlRaw!B:B,PgSqlRaw!F:F,""))</f>
        <v>BARE_LABEL</v>
      </c>
      <c r="K62" t="str">
        <f t="shared" si="1"/>
        <v>BARE_LABEL</v>
      </c>
      <c r="L62" t="str">
        <f>IF(_xlfn.XLOOKUP(F62,PhpReserved!A:A,PhpReserved!B:B,"") = "", _xlfn.XLOOKUP(G62,PhpReserved!A:A,PhpReserved!B:B,""),_xlfn.XLOOKUP(F62,PhpReserved!A:A,PhpReserved!B:B,""))</f>
        <v>RESERVED</v>
      </c>
      <c r="M62" t="str">
        <f>IF(_xlfn.XLOOKUP(F62,PhpFunctions!A:A,PhpFunctions!B:B,"") =  "", _xlfn.XLOOKUP(G62,PhpFunctions!A:A,PhpFunctions!B:B,""), _xlfn.XLOOKUP(F62,PhpFunctions!A:A,PhpFunctions!B:B,""))</f>
        <v/>
      </c>
      <c r="N62" t="str">
        <f>IF(_xlfn.XLOOKUP(F62,PhpParamFunc!A:A,PhpParamFunc!B:B,"") = "", _xlfn.XLOOKUP(G62,PhpParamFunc!A:A,PhpParamFunc!B:B,""), _xlfn.XLOOKUP(F62,PhpParamFunc!A:A,PhpParamFunc!B:B,""))</f>
        <v/>
      </c>
      <c r="O62" t="str">
        <f>IF(_xlfn.XLOOKUP(F62,PhpAggrFunc!A:A,PhpAggrFunc!B:B,"") = "", _xlfn.XLOOKUP(G62,PhpAggrFunc!A:A,PhpAggrFunc!B:B,""), _xlfn.XLOOKUP(F62,PhpAggrFunc!A:A,PhpAggrFunc!B:B,""))</f>
        <v/>
      </c>
      <c r="P62" t="str">
        <f t="shared" si="2"/>
        <v>RESERVED</v>
      </c>
      <c r="Q62" t="str">
        <f t="shared" si="3"/>
        <v>static const String^ TOK_BY = "BY";</v>
      </c>
      <c r="R62" t="str">
        <f t="shared" si="4"/>
        <v>static const int TOK_BY = 273;</v>
      </c>
      <c r="S62" t="str">
        <f t="shared" si="5"/>
        <v>_Tokens-&gt;Add((String^)GramVals::TOK_BY, gcnew Token(GramKeys::TOK_BY, EnumTokenCategory::RESERVED,BARE_LABEL, i++));</v>
      </c>
    </row>
    <row r="63" spans="1:19" x14ac:dyDescent="0.25">
      <c r="A63" s="3" t="s">
        <v>1441</v>
      </c>
      <c r="B63" s="5" t="s">
        <v>1035</v>
      </c>
      <c r="C63" s="3" t="s">
        <v>1955</v>
      </c>
      <c r="D63" s="3" t="s">
        <v>2423</v>
      </c>
      <c r="F63" t="str">
        <f t="shared" si="0"/>
        <v>CALLER</v>
      </c>
      <c r="G63" t="s">
        <v>3650</v>
      </c>
      <c r="I63" s="3" t="str">
        <f>IF(_xlfn.XLOOKUP(F63,PgSqlRaw!B:B,PgSqlRaw!E:E,"") = "",_xlfn.XLOOKUP(G63,PgSqlRaw!B:B,PgSqlRaw!E:E,""),_xlfn.XLOOKUP(F63,PgSqlRaw!B:B,PgSqlRaw!E:E,""))</f>
        <v/>
      </c>
      <c r="J63" t="str">
        <f>IF(_xlfn.XLOOKUP(F63,PgSqlRaw!B:B,PgSqlRaw!F:F,"") = "", _xlfn.XLOOKUP(G63,PgSqlRaw!B:B,PgSqlRaw!F:F,""), _xlfn.XLOOKUP(F63,PgSqlRaw!B:B,PgSqlRaw!F:F,""))</f>
        <v/>
      </c>
      <c r="K63" t="str">
        <f t="shared" si="1"/>
        <v>BARE_LABEL</v>
      </c>
      <c r="L63" t="str">
        <f>IF(_xlfn.XLOOKUP(F63,PhpReserved!A:A,PhpReserved!B:B,"") = "", _xlfn.XLOOKUP(G63,PhpReserved!A:A,PhpReserved!B:B,""),_xlfn.XLOOKUP(F63,PhpReserved!A:A,PhpReserved!B:B,""))</f>
        <v/>
      </c>
      <c r="M63" t="str">
        <f>IF(_xlfn.XLOOKUP(F63,PhpFunctions!A:A,PhpFunctions!B:B,"") =  "", _xlfn.XLOOKUP(G63,PhpFunctions!A:A,PhpFunctions!B:B,""), _xlfn.XLOOKUP(F63,PhpFunctions!A:A,PhpFunctions!B:B,""))</f>
        <v/>
      </c>
      <c r="N63" t="str">
        <f>IF(_xlfn.XLOOKUP(F63,PhpParamFunc!A:A,PhpParamFunc!B:B,"") = "", _xlfn.XLOOKUP(G63,PhpParamFunc!A:A,PhpParamFunc!B:B,""), _xlfn.XLOOKUP(F63,PhpParamFunc!A:A,PhpParamFunc!B:B,""))</f>
        <v/>
      </c>
      <c r="O63" t="str">
        <f>IF(_xlfn.XLOOKUP(F63,PhpAggrFunc!A:A,PhpAggrFunc!B:B,"") = "", _xlfn.XLOOKUP(G63,PhpAggrFunc!A:A,PhpAggrFunc!B:B,""), _xlfn.XLOOKUP(F63,PhpAggrFunc!A:A,PhpAggrFunc!B:B,""))</f>
        <v/>
      </c>
      <c r="P63" t="str">
        <f t="shared" si="2"/>
        <v>UNRESERVED</v>
      </c>
      <c r="Q63" t="str">
        <f t="shared" si="3"/>
        <v>static const String^ TOK_CALLER = "CALLER";</v>
      </c>
      <c r="R63" t="str">
        <f t="shared" si="4"/>
        <v>static const int TOK_CALLER = 600;</v>
      </c>
      <c r="S63" t="str">
        <f t="shared" si="5"/>
        <v>// _Tokens-&gt;Add((String^)GramVals::TOK_CALLER, gcnew Token(GramKeys::TOK_CALLER, EnumTokenCategory::UNRESERVED,BARE_LABEL, i++));</v>
      </c>
    </row>
    <row r="64" spans="1:19" x14ac:dyDescent="0.25">
      <c r="A64" s="3" t="s">
        <v>1442</v>
      </c>
      <c r="B64" s="5" t="s">
        <v>1036</v>
      </c>
      <c r="C64" s="3" t="s">
        <v>1956</v>
      </c>
      <c r="D64" s="3" t="s">
        <v>2423</v>
      </c>
      <c r="F64" t="str">
        <f t="shared" si="0"/>
        <v>CASCADE</v>
      </c>
      <c r="G64" t="s">
        <v>3102</v>
      </c>
      <c r="I64" s="3" t="str">
        <f>IF(_xlfn.XLOOKUP(F64,PgSqlRaw!B:B,PgSqlRaw!E:E,"") = "",_xlfn.XLOOKUP(G64,PgSqlRaw!B:B,PgSqlRaw!E:E,""),_xlfn.XLOOKUP(F64,PgSqlRaw!B:B,PgSqlRaw!E:E,""))</f>
        <v/>
      </c>
      <c r="J64" t="str">
        <f>IF(_xlfn.XLOOKUP(F64,PgSqlRaw!B:B,PgSqlRaw!F:F,"") = "", _xlfn.XLOOKUP(G64,PgSqlRaw!B:B,PgSqlRaw!F:F,""), _xlfn.XLOOKUP(F64,PgSqlRaw!B:B,PgSqlRaw!F:F,""))</f>
        <v>BARE_LABEL</v>
      </c>
      <c r="K64" t="str">
        <f t="shared" si="1"/>
        <v>BARE_LABEL</v>
      </c>
      <c r="L64" t="str">
        <f>IF(_xlfn.XLOOKUP(F64,PhpReserved!A:A,PhpReserved!B:B,"") = "", _xlfn.XLOOKUP(G64,PhpReserved!A:A,PhpReserved!B:B,""),_xlfn.XLOOKUP(F64,PhpReserved!A:A,PhpReserved!B:B,""))</f>
        <v>RESERVED</v>
      </c>
      <c r="M64" t="str">
        <f>IF(_xlfn.XLOOKUP(F64,PhpFunctions!A:A,PhpFunctions!B:B,"") =  "", _xlfn.XLOOKUP(G64,PhpFunctions!A:A,PhpFunctions!B:B,""), _xlfn.XLOOKUP(F64,PhpFunctions!A:A,PhpFunctions!B:B,""))</f>
        <v/>
      </c>
      <c r="N64" t="str">
        <f>IF(_xlfn.XLOOKUP(F64,PhpParamFunc!A:A,PhpParamFunc!B:B,"") = "", _xlfn.XLOOKUP(G64,PhpParamFunc!A:A,PhpParamFunc!B:B,""), _xlfn.XLOOKUP(F64,PhpParamFunc!A:A,PhpParamFunc!B:B,""))</f>
        <v/>
      </c>
      <c r="O64" t="str">
        <f>IF(_xlfn.XLOOKUP(F64,PhpAggrFunc!A:A,PhpAggrFunc!B:B,"") = "", _xlfn.XLOOKUP(G64,PhpAggrFunc!A:A,PhpAggrFunc!B:B,""), _xlfn.XLOOKUP(F64,PhpAggrFunc!A:A,PhpAggrFunc!B:B,""))</f>
        <v/>
      </c>
      <c r="P64" t="str">
        <f t="shared" si="2"/>
        <v>RESERVED</v>
      </c>
      <c r="Q64" t="str">
        <f t="shared" si="3"/>
        <v>static const String^ TOK_CASCADE = "CASCADE";</v>
      </c>
      <c r="R64" t="str">
        <f t="shared" si="4"/>
        <v>static const int TOK_CASCADE = 447;</v>
      </c>
      <c r="S64" t="str">
        <f t="shared" si="5"/>
        <v>_Tokens-&gt;Add((String^)GramVals::TOK_CASCADE, gcnew Token(GramKeys::TOK_CASCADE, EnumTokenCategory::RESERVED,BARE_LABEL, i++));</v>
      </c>
    </row>
    <row r="65" spans="1:19" x14ac:dyDescent="0.25">
      <c r="A65" s="3" t="s">
        <v>1443</v>
      </c>
      <c r="B65" s="5" t="s">
        <v>1037</v>
      </c>
      <c r="C65" s="3" t="s">
        <v>1957</v>
      </c>
      <c r="D65" s="3" t="s">
        <v>881</v>
      </c>
      <c r="F65" t="str">
        <f t="shared" si="0"/>
        <v>CASE</v>
      </c>
      <c r="G65" t="s">
        <v>3103</v>
      </c>
      <c r="I65" s="3" t="str">
        <f>IF(_xlfn.XLOOKUP(F65,PgSqlRaw!B:B,PgSqlRaw!E:E,"") = "",_xlfn.XLOOKUP(G65,PgSqlRaw!B:B,PgSqlRaw!E:E,""),_xlfn.XLOOKUP(F65,PgSqlRaw!B:B,PgSqlRaw!E:E,""))</f>
        <v>RESERVED</v>
      </c>
      <c r="J65" t="str">
        <f>IF(_xlfn.XLOOKUP(F65,PgSqlRaw!B:B,PgSqlRaw!F:F,"") = "", _xlfn.XLOOKUP(G65,PgSqlRaw!B:B,PgSqlRaw!F:F,""), _xlfn.XLOOKUP(F65,PgSqlRaw!B:B,PgSqlRaw!F:F,""))</f>
        <v>BARE_LABEL</v>
      </c>
      <c r="K65" t="str">
        <f t="shared" si="1"/>
        <v>BARE_LABEL</v>
      </c>
      <c r="L65" t="str">
        <f>IF(_xlfn.XLOOKUP(F65,PhpReserved!A:A,PhpReserved!B:B,"") = "", _xlfn.XLOOKUP(G65,PhpReserved!A:A,PhpReserved!B:B,""),_xlfn.XLOOKUP(F65,PhpReserved!A:A,PhpReserved!B:B,""))</f>
        <v>RESERVED</v>
      </c>
      <c r="M65" t="str">
        <f>IF(_xlfn.XLOOKUP(F65,PhpFunctions!A:A,PhpFunctions!B:B,"") =  "", _xlfn.XLOOKUP(G65,PhpFunctions!A:A,PhpFunctions!B:B,""), _xlfn.XLOOKUP(F65,PhpFunctions!A:A,PhpFunctions!B:B,""))</f>
        <v/>
      </c>
      <c r="N65" t="str">
        <f>IF(_xlfn.XLOOKUP(F65,PhpParamFunc!A:A,PhpParamFunc!B:B,"") = "", _xlfn.XLOOKUP(G65,PhpParamFunc!A:A,PhpParamFunc!B:B,""), _xlfn.XLOOKUP(F65,PhpParamFunc!A:A,PhpParamFunc!B:B,""))</f>
        <v/>
      </c>
      <c r="O65" t="str">
        <f>IF(_xlfn.XLOOKUP(F65,PhpAggrFunc!A:A,PhpAggrFunc!B:B,"") = "", _xlfn.XLOOKUP(G65,PhpAggrFunc!A:A,PhpAggrFunc!B:B,""), _xlfn.XLOOKUP(F65,PhpAggrFunc!A:A,PhpAggrFunc!B:B,""))</f>
        <v/>
      </c>
      <c r="P65" t="str">
        <f t="shared" si="2"/>
        <v>RESERVED</v>
      </c>
      <c r="Q65" t="str">
        <f t="shared" si="3"/>
        <v>static const String^ TOK_CASE = "CASE";</v>
      </c>
      <c r="R65" t="str">
        <f t="shared" si="4"/>
        <v>static const int TOK_CASE = 480;</v>
      </c>
      <c r="S65" t="str">
        <f t="shared" si="5"/>
        <v>_Tokens-&gt;Add((String^)GramVals::TOK_CASE, gcnew Token(GramKeys::TOK_CASE, EnumTokenCategory::RESERVED,BARE_LABEL, i++));</v>
      </c>
    </row>
    <row r="66" spans="1:19" x14ac:dyDescent="0.25">
      <c r="A66" s="3" t="s">
        <v>1444</v>
      </c>
      <c r="B66" s="5" t="s">
        <v>1038</v>
      </c>
      <c r="C66" s="3" t="s">
        <v>1958</v>
      </c>
      <c r="D66" s="3" t="s">
        <v>881</v>
      </c>
      <c r="F66" t="str">
        <f t="shared" si="0"/>
        <v>CAST</v>
      </c>
      <c r="G66" t="s">
        <v>2901</v>
      </c>
      <c r="I66" s="3" t="str">
        <f>IF(_xlfn.XLOOKUP(F66,PgSqlRaw!B:B,PgSqlRaw!E:E,"") = "",_xlfn.XLOOKUP(G66,PgSqlRaw!B:B,PgSqlRaw!E:E,""),_xlfn.XLOOKUP(F66,PgSqlRaw!B:B,PgSqlRaw!E:E,""))</f>
        <v>RESERVED</v>
      </c>
      <c r="J66" t="str">
        <f>IF(_xlfn.XLOOKUP(F66,PgSqlRaw!B:B,PgSqlRaw!F:F,"") = "", _xlfn.XLOOKUP(G66,PgSqlRaw!B:B,PgSqlRaw!F:F,""), _xlfn.XLOOKUP(F66,PgSqlRaw!B:B,PgSqlRaw!F:F,""))</f>
        <v>BARE_LABEL</v>
      </c>
      <c r="K66" t="str">
        <f t="shared" si="1"/>
        <v>BARE_LABEL</v>
      </c>
      <c r="L66" t="str">
        <f>IF(_xlfn.XLOOKUP(F66,PhpReserved!A:A,PhpReserved!B:B,"") = "", _xlfn.XLOOKUP(G66,PhpReserved!A:A,PhpReserved!B:B,""),_xlfn.XLOOKUP(F66,PhpReserved!A:A,PhpReserved!B:B,""))</f>
        <v>RESERVED</v>
      </c>
      <c r="M66" t="str">
        <f>IF(_xlfn.XLOOKUP(F66,PhpFunctions!A:A,PhpFunctions!B:B,"") =  "", _xlfn.XLOOKUP(G66,PhpFunctions!A:A,PhpFunctions!B:B,""), _xlfn.XLOOKUP(F66,PhpFunctions!A:A,PhpFunctions!B:B,""))</f>
        <v>FUNCTION</v>
      </c>
      <c r="N66" t="str">
        <f>IF(_xlfn.XLOOKUP(F66,PhpParamFunc!A:A,PhpParamFunc!B:B,"") = "", _xlfn.XLOOKUP(G66,PhpParamFunc!A:A,PhpParamFunc!B:B,""), _xlfn.XLOOKUP(F66,PhpParamFunc!A:A,PhpParamFunc!B:B,""))</f>
        <v>PARAM_FUNCTION</v>
      </c>
      <c r="O66" t="str">
        <f>IF(_xlfn.XLOOKUP(F66,PhpAggrFunc!A:A,PhpAggrFunc!B:B,"") = "", _xlfn.XLOOKUP(G66,PhpAggrFunc!A:A,PhpAggrFunc!B:B,""), _xlfn.XLOOKUP(F66,PhpAggrFunc!A:A,PhpAggrFunc!B:B,""))</f>
        <v/>
      </c>
      <c r="P66" t="str">
        <f t="shared" si="2"/>
        <v>PARAM_FUNCTION</v>
      </c>
      <c r="Q66" t="str">
        <f t="shared" si="3"/>
        <v>static const String^ TOK_CAST = "CAST";</v>
      </c>
      <c r="R66" t="str">
        <f t="shared" si="4"/>
        <v>static const int TOK_CAST = 274;</v>
      </c>
      <c r="S66" t="str">
        <f t="shared" si="5"/>
        <v>_Tokens-&gt;Add((String^)GramVals::TOK_CAST, gcnew Token(GramKeys::TOK_CAST, EnumTokenCategory::PARAM_FUNCTION,BARE_LABEL, i++));</v>
      </c>
    </row>
    <row r="67" spans="1:19" x14ac:dyDescent="0.25">
      <c r="A67" s="3" t="s">
        <v>1445</v>
      </c>
      <c r="B67" s="5" t="s">
        <v>1039</v>
      </c>
      <c r="C67" s="3" t="s">
        <v>1959</v>
      </c>
      <c r="D67" s="3" t="s">
        <v>2423</v>
      </c>
      <c r="F67" t="str">
        <f t="shared" si="0"/>
        <v>CEIL</v>
      </c>
      <c r="G67" t="s">
        <v>2902</v>
      </c>
      <c r="I67" s="3" t="str">
        <f>IF(_xlfn.XLOOKUP(F67,PgSqlRaw!B:B,PgSqlRaw!E:E,"") = "",_xlfn.XLOOKUP(G67,PgSqlRaw!B:B,PgSqlRaw!E:E,""),_xlfn.XLOOKUP(F67,PgSqlRaw!B:B,PgSqlRaw!E:E,""))</f>
        <v/>
      </c>
      <c r="J67" t="str">
        <f>IF(_xlfn.XLOOKUP(F67,PgSqlRaw!B:B,PgSqlRaw!F:F,"") = "", _xlfn.XLOOKUP(G67,PgSqlRaw!B:B,PgSqlRaw!F:F,""), _xlfn.XLOOKUP(F67,PgSqlRaw!B:B,PgSqlRaw!F:F,""))</f>
        <v/>
      </c>
      <c r="K67" t="str">
        <f t="shared" si="1"/>
        <v>BARE_LABEL</v>
      </c>
      <c r="L67" t="str">
        <f>IF(_xlfn.XLOOKUP(F67,PhpReserved!A:A,PhpReserved!B:B,"") = "", _xlfn.XLOOKUP(G67,PhpReserved!A:A,PhpReserved!B:B,""),_xlfn.XLOOKUP(F67,PhpReserved!A:A,PhpReserved!B:B,""))</f>
        <v>RESERVED</v>
      </c>
      <c r="M67" t="str">
        <f>IF(_xlfn.XLOOKUP(F67,PhpFunctions!A:A,PhpFunctions!B:B,"") =  "", _xlfn.XLOOKUP(G67,PhpFunctions!A:A,PhpFunctions!B:B,""), _xlfn.XLOOKUP(F67,PhpFunctions!A:A,PhpFunctions!B:B,""))</f>
        <v>FUNCTION</v>
      </c>
      <c r="N67" t="str">
        <f>IF(_xlfn.XLOOKUP(F67,PhpParamFunc!A:A,PhpParamFunc!B:B,"") = "", _xlfn.XLOOKUP(G67,PhpParamFunc!A:A,PhpParamFunc!B:B,""), _xlfn.XLOOKUP(F67,PhpParamFunc!A:A,PhpParamFunc!B:B,""))</f>
        <v>PARAM_FUNCTION</v>
      </c>
      <c r="O67" t="str">
        <f>IF(_xlfn.XLOOKUP(F67,PhpAggrFunc!A:A,PhpAggrFunc!B:B,"") = "", _xlfn.XLOOKUP(G67,PhpAggrFunc!A:A,PhpAggrFunc!B:B,""), _xlfn.XLOOKUP(F67,PhpAggrFunc!A:A,PhpAggrFunc!B:B,""))</f>
        <v/>
      </c>
      <c r="P67" t="str">
        <f t="shared" si="2"/>
        <v>PARAM_FUNCTION</v>
      </c>
      <c r="Q67" t="str">
        <f t="shared" si="3"/>
        <v>static const String^ TOK_CEIL = "CEIL";</v>
      </c>
      <c r="R67" t="str">
        <f t="shared" si="4"/>
        <v>static const int TOK_CEIL = 539;</v>
      </c>
      <c r="S67" t="str">
        <f t="shared" si="5"/>
        <v>_Tokens-&gt;Add((String^)GramVals::TOK_CEIL, gcnew Token(GramKeys::TOK_CEIL, EnumTokenCategory::PARAM_FUNCTION,BARE_LABEL, i++));</v>
      </c>
    </row>
    <row r="68" spans="1:19" x14ac:dyDescent="0.25">
      <c r="A68" s="3" t="s">
        <v>1446</v>
      </c>
      <c r="B68" s="5" t="s">
        <v>1039</v>
      </c>
      <c r="C68" s="3" t="s">
        <v>1960</v>
      </c>
      <c r="D68" s="3" t="s">
        <v>2423</v>
      </c>
      <c r="F68" t="str">
        <f t="shared" ref="F68:F131" si="6">MID(A68,5,99)</f>
        <v>CEILING</v>
      </c>
      <c r="G68" t="s">
        <v>3651</v>
      </c>
      <c r="I68" s="3" t="str">
        <f>IF(_xlfn.XLOOKUP(F68,PgSqlRaw!B:B,PgSqlRaw!E:E,"") = "",_xlfn.XLOOKUP(G68,PgSqlRaw!B:B,PgSqlRaw!E:E,""),_xlfn.XLOOKUP(F68,PgSqlRaw!B:B,PgSqlRaw!E:E,""))</f>
        <v/>
      </c>
      <c r="J68" t="str">
        <f>IF(_xlfn.XLOOKUP(F68,PgSqlRaw!B:B,PgSqlRaw!F:F,"") = "", _xlfn.XLOOKUP(G68,PgSqlRaw!B:B,PgSqlRaw!F:F,""), _xlfn.XLOOKUP(F68,PgSqlRaw!B:B,PgSqlRaw!F:F,""))</f>
        <v/>
      </c>
      <c r="K68" t="str">
        <f t="shared" ref="K68:K131" si="7">IF(J68 = "", "BARE_LABEL", J68)</f>
        <v>BARE_LABEL</v>
      </c>
      <c r="L68" t="str">
        <f>IF(_xlfn.XLOOKUP(F68,PhpReserved!A:A,PhpReserved!B:B,"") = "", _xlfn.XLOOKUP(G68,PhpReserved!A:A,PhpReserved!B:B,""),_xlfn.XLOOKUP(F68,PhpReserved!A:A,PhpReserved!B:B,""))</f>
        <v>RESERVED</v>
      </c>
      <c r="M68" t="str">
        <f>IF(_xlfn.XLOOKUP(F68,PhpFunctions!A:A,PhpFunctions!B:B,"") =  "", _xlfn.XLOOKUP(G68,PhpFunctions!A:A,PhpFunctions!B:B,""), _xlfn.XLOOKUP(F68,PhpFunctions!A:A,PhpFunctions!B:B,""))</f>
        <v>FUNCTION</v>
      </c>
      <c r="N68" t="str">
        <f>IF(_xlfn.XLOOKUP(F68,PhpParamFunc!A:A,PhpParamFunc!B:B,"") = "", _xlfn.XLOOKUP(G68,PhpParamFunc!A:A,PhpParamFunc!B:B,""), _xlfn.XLOOKUP(F68,PhpParamFunc!A:A,PhpParamFunc!B:B,""))</f>
        <v>PARAM_FUNCTION</v>
      </c>
      <c r="O68" t="str">
        <f>IF(_xlfn.XLOOKUP(F68,PhpAggrFunc!A:A,PhpAggrFunc!B:B,"") = "", _xlfn.XLOOKUP(G68,PhpAggrFunc!A:A,PhpAggrFunc!B:B,""), _xlfn.XLOOKUP(F68,PhpAggrFunc!A:A,PhpAggrFunc!B:B,""))</f>
        <v/>
      </c>
      <c r="P68" t="str">
        <f t="shared" ref="P68:P131" si="8">IF(O68 = "",IF(N68 = "", IF(M68 = "", IF(L68 = "", IF(I68 = "",IF(E68 = "","UNRESERVED",E68),I68),L68),M68),N68),O68)</f>
        <v>PARAM_FUNCTION</v>
      </c>
      <c r="Q68" t="str">
        <f t="shared" ref="Q68:Q131" si="9">_xlfn.CONCAT("static const String^ ", A68, " = ", C68, ";")</f>
        <v>static const String^ TOK_CEILING = "CEILING";</v>
      </c>
      <c r="R68" t="str">
        <f t="shared" ref="R68:R131" si="10">_xlfn.CONCAT("static const int ", A68, " = ", B68, ";")</f>
        <v>static const int TOK_CEILING = 539;</v>
      </c>
      <c r="S68" t="str">
        <f t="shared" ref="S68:S131" si="11">_xlfn.CONCAT(IF(P68 = "UNRESERVED", "// ", ""),"_Tokens-&gt;Add((String^)GramVals::", A68, ", gcnew Token(GramKeys::", A68, ", EnumTokenCategory::", P68, ",",K68, ", i++));")</f>
        <v>_Tokens-&gt;Add((String^)GramVals::TOK_CEILING, gcnew Token(GramKeys::TOK_CEILING, EnumTokenCategory::PARAM_FUNCTION,BARE_LABEL, i++));</v>
      </c>
    </row>
    <row r="69" spans="1:19" x14ac:dyDescent="0.25">
      <c r="A69" s="3" t="s">
        <v>1447</v>
      </c>
      <c r="B69" s="5" t="s">
        <v>1040</v>
      </c>
      <c r="C69" s="3" t="s">
        <v>1961</v>
      </c>
      <c r="D69" s="3" t="s">
        <v>881</v>
      </c>
      <c r="F69" t="str">
        <f t="shared" si="6"/>
        <v>CHAR</v>
      </c>
      <c r="G69" t="s">
        <v>3105</v>
      </c>
      <c r="I69" s="3" t="str">
        <f>IF(_xlfn.XLOOKUP(F69,PgSqlRaw!B:B,PgSqlRaw!E:E,"") = "",_xlfn.XLOOKUP(G69,PgSqlRaw!B:B,PgSqlRaw!E:E,""),_xlfn.XLOOKUP(F69,PgSqlRaw!B:B,PgSqlRaw!E:E,""))</f>
        <v>COLNAME_KEYWORD</v>
      </c>
      <c r="J69" t="str">
        <f>IF(_xlfn.XLOOKUP(F69,PgSqlRaw!B:B,PgSqlRaw!F:F,"") = "", _xlfn.XLOOKUP(G69,PgSqlRaw!B:B,PgSqlRaw!F:F,""), _xlfn.XLOOKUP(F69,PgSqlRaw!B:B,PgSqlRaw!F:F,""))</f>
        <v>AS_LABEL</v>
      </c>
      <c r="K69" t="str">
        <f t="shared" si="7"/>
        <v>AS_LABEL</v>
      </c>
      <c r="L69" t="str">
        <f>IF(_xlfn.XLOOKUP(F69,PhpReserved!A:A,PhpReserved!B:B,"") = "", _xlfn.XLOOKUP(G69,PhpReserved!A:A,PhpReserved!B:B,""),_xlfn.XLOOKUP(F69,PhpReserved!A:A,PhpReserved!B:B,""))</f>
        <v>RESERVED</v>
      </c>
      <c r="M69" t="str">
        <f>IF(_xlfn.XLOOKUP(F69,PhpFunctions!A:A,PhpFunctions!B:B,"") =  "", _xlfn.XLOOKUP(G69,PhpFunctions!A:A,PhpFunctions!B:B,""), _xlfn.XLOOKUP(F69,PhpFunctions!A:A,PhpFunctions!B:B,""))</f>
        <v>FUNCTION</v>
      </c>
      <c r="N69" t="str">
        <f>IF(_xlfn.XLOOKUP(F69,PhpParamFunc!A:A,PhpParamFunc!B:B,"") = "", _xlfn.XLOOKUP(G69,PhpParamFunc!A:A,PhpParamFunc!B:B,""), _xlfn.XLOOKUP(F69,PhpParamFunc!A:A,PhpParamFunc!B:B,""))</f>
        <v>PARAM_FUNCTION</v>
      </c>
      <c r="O69" t="str">
        <f>IF(_xlfn.XLOOKUP(F69,PhpAggrFunc!A:A,PhpAggrFunc!B:B,"") = "", _xlfn.XLOOKUP(G69,PhpAggrFunc!A:A,PhpAggrFunc!B:B,""), _xlfn.XLOOKUP(F69,PhpAggrFunc!A:A,PhpAggrFunc!B:B,""))</f>
        <v/>
      </c>
      <c r="P69" t="str">
        <f t="shared" si="8"/>
        <v>PARAM_FUNCTION</v>
      </c>
      <c r="Q69" t="str">
        <f t="shared" si="9"/>
        <v>static const String^ TOK_CHAR = "CHAR";</v>
      </c>
      <c r="R69" t="str">
        <f t="shared" si="10"/>
        <v>static const int TOK_CHAR = 337;</v>
      </c>
      <c r="S69" t="str">
        <f t="shared" si="11"/>
        <v>_Tokens-&gt;Add((String^)GramVals::TOK_CHAR, gcnew Token(GramKeys::TOK_CHAR, EnumTokenCategory::PARAM_FUNCTION,AS_LABEL, i++));</v>
      </c>
    </row>
    <row r="70" spans="1:19" x14ac:dyDescent="0.25">
      <c r="A70" s="3" t="s">
        <v>1448</v>
      </c>
      <c r="B70" s="5" t="s">
        <v>1041</v>
      </c>
      <c r="C70" s="3" t="s">
        <v>1962</v>
      </c>
      <c r="D70" s="3" t="s">
        <v>881</v>
      </c>
      <c r="F70" t="str">
        <f t="shared" si="6"/>
        <v>CHAR_LENGTH</v>
      </c>
      <c r="G70" t="s">
        <v>2904</v>
      </c>
      <c r="I70" s="3" t="str">
        <f>IF(_xlfn.XLOOKUP(F70,PgSqlRaw!B:B,PgSqlRaw!E:E,"") = "",_xlfn.XLOOKUP(G70,PgSqlRaw!B:B,PgSqlRaw!E:E,""),_xlfn.XLOOKUP(F70,PgSqlRaw!B:B,PgSqlRaw!E:E,""))</f>
        <v/>
      </c>
      <c r="J70" t="str">
        <f>IF(_xlfn.XLOOKUP(F70,PgSqlRaw!B:B,PgSqlRaw!F:F,"") = "", _xlfn.XLOOKUP(G70,PgSqlRaw!B:B,PgSqlRaw!F:F,""), _xlfn.XLOOKUP(F70,PgSqlRaw!B:B,PgSqlRaw!F:F,""))</f>
        <v/>
      </c>
      <c r="K70" t="str">
        <f t="shared" si="7"/>
        <v>BARE_LABEL</v>
      </c>
      <c r="L70" t="str">
        <f>IF(_xlfn.XLOOKUP(F70,PhpReserved!A:A,PhpReserved!B:B,"") = "", _xlfn.XLOOKUP(G70,PhpReserved!A:A,PhpReserved!B:B,""),_xlfn.XLOOKUP(F70,PhpReserved!A:A,PhpReserved!B:B,""))</f>
        <v>RESERVED</v>
      </c>
      <c r="M70" t="str">
        <f>IF(_xlfn.XLOOKUP(F70,PhpFunctions!A:A,PhpFunctions!B:B,"") =  "", _xlfn.XLOOKUP(G70,PhpFunctions!A:A,PhpFunctions!B:B,""), _xlfn.XLOOKUP(F70,PhpFunctions!A:A,PhpFunctions!B:B,""))</f>
        <v>FUNCTION</v>
      </c>
      <c r="N70" t="str">
        <f>IF(_xlfn.XLOOKUP(F70,PhpParamFunc!A:A,PhpParamFunc!B:B,"") = "", _xlfn.XLOOKUP(G70,PhpParamFunc!A:A,PhpParamFunc!B:B,""), _xlfn.XLOOKUP(F70,PhpParamFunc!A:A,PhpParamFunc!B:B,""))</f>
        <v>PARAM_FUNCTION</v>
      </c>
      <c r="O70" t="str">
        <f>IF(_xlfn.XLOOKUP(F70,PhpAggrFunc!A:A,PhpAggrFunc!B:B,"") = "", _xlfn.XLOOKUP(G70,PhpAggrFunc!A:A,PhpAggrFunc!B:B,""), _xlfn.XLOOKUP(F70,PhpAggrFunc!A:A,PhpAggrFunc!B:B,""))</f>
        <v/>
      </c>
      <c r="P70" t="str">
        <f t="shared" si="8"/>
        <v>PARAM_FUNCTION</v>
      </c>
      <c r="Q70" t="str">
        <f t="shared" si="9"/>
        <v>static const String^ TOK_CHAR_LENGTH = "CHAR_LENGTH";</v>
      </c>
      <c r="R70" t="str">
        <f t="shared" si="10"/>
        <v>static const int TOK_CHAR_LENGTH = 513;</v>
      </c>
      <c r="S70" t="str">
        <f t="shared" si="11"/>
        <v>_Tokens-&gt;Add((String^)GramVals::TOK_CHAR_LENGTH, gcnew Token(GramKeys::TOK_CHAR_LENGTH, EnumTokenCategory::PARAM_FUNCTION,BARE_LABEL, i++));</v>
      </c>
    </row>
    <row r="71" spans="1:19" x14ac:dyDescent="0.25">
      <c r="A71" s="3" t="s">
        <v>1449</v>
      </c>
      <c r="B71" s="5" t="s">
        <v>1042</v>
      </c>
      <c r="C71" s="3" t="s">
        <v>1963</v>
      </c>
      <c r="D71" s="3" t="s">
        <v>2423</v>
      </c>
      <c r="F71" t="str">
        <f t="shared" si="6"/>
        <v>CHAR_TO_UUID</v>
      </c>
      <c r="G71" t="s">
        <v>3652</v>
      </c>
      <c r="I71" s="3" t="str">
        <f>IF(_xlfn.XLOOKUP(F71,PgSqlRaw!B:B,PgSqlRaw!E:E,"") = "",_xlfn.XLOOKUP(G71,PgSqlRaw!B:B,PgSqlRaw!E:E,""),_xlfn.XLOOKUP(F71,PgSqlRaw!B:B,PgSqlRaw!E:E,""))</f>
        <v/>
      </c>
      <c r="J71" t="str">
        <f>IF(_xlfn.XLOOKUP(F71,PgSqlRaw!B:B,PgSqlRaw!F:F,"") = "", _xlfn.XLOOKUP(G71,PgSqlRaw!B:B,PgSqlRaw!F:F,""), _xlfn.XLOOKUP(F71,PgSqlRaw!B:B,PgSqlRaw!F:F,""))</f>
        <v/>
      </c>
      <c r="K71" t="str">
        <f t="shared" si="7"/>
        <v>BARE_LABEL</v>
      </c>
      <c r="L71" t="str">
        <f>IF(_xlfn.XLOOKUP(F71,PhpReserved!A:A,PhpReserved!B:B,"") = "", _xlfn.XLOOKUP(G71,PhpReserved!A:A,PhpReserved!B:B,""),_xlfn.XLOOKUP(F71,PhpReserved!A:A,PhpReserved!B:B,""))</f>
        <v/>
      </c>
      <c r="M71" t="str">
        <f>IF(_xlfn.XLOOKUP(F71,PhpFunctions!A:A,PhpFunctions!B:B,"") =  "", _xlfn.XLOOKUP(G71,PhpFunctions!A:A,PhpFunctions!B:B,""), _xlfn.XLOOKUP(F71,PhpFunctions!A:A,PhpFunctions!B:B,""))</f>
        <v/>
      </c>
      <c r="N71" t="str">
        <f>IF(_xlfn.XLOOKUP(F71,PhpParamFunc!A:A,PhpParamFunc!B:B,"") = "", _xlfn.XLOOKUP(G71,PhpParamFunc!A:A,PhpParamFunc!B:B,""), _xlfn.XLOOKUP(F71,PhpParamFunc!A:A,PhpParamFunc!B:B,""))</f>
        <v/>
      </c>
      <c r="O71" t="str">
        <f>IF(_xlfn.XLOOKUP(F71,PhpAggrFunc!A:A,PhpAggrFunc!B:B,"") = "", _xlfn.XLOOKUP(G71,PhpAggrFunc!A:A,PhpAggrFunc!B:B,""), _xlfn.XLOOKUP(F71,PhpAggrFunc!A:A,PhpAggrFunc!B:B,""))</f>
        <v/>
      </c>
      <c r="P71" t="str">
        <f t="shared" si="8"/>
        <v>UNRESERVED</v>
      </c>
      <c r="Q71" t="str">
        <f t="shared" si="9"/>
        <v>static const String^ TOK_CHAR_TO_UUID = "CHAR_TO_UUID";</v>
      </c>
      <c r="R71" t="str">
        <f t="shared" si="10"/>
        <v>static const int TOK_CHAR_TO_UUID = 591;</v>
      </c>
      <c r="S71" t="str">
        <f t="shared" si="11"/>
        <v>// _Tokens-&gt;Add((String^)GramVals::TOK_CHAR_TO_UUID, gcnew Token(GramKeys::TOK_CHAR_TO_UUID, EnumTokenCategory::UNRESERVED,BARE_LABEL, i++));</v>
      </c>
    </row>
    <row r="72" spans="1:19" x14ac:dyDescent="0.25">
      <c r="A72" s="3" t="s">
        <v>1450</v>
      </c>
      <c r="B72" s="5" t="s">
        <v>1043</v>
      </c>
      <c r="C72" s="3" t="s">
        <v>1964</v>
      </c>
      <c r="D72" s="3" t="s">
        <v>881</v>
      </c>
      <c r="F72" t="str">
        <f t="shared" si="6"/>
        <v>CHARACTER</v>
      </c>
      <c r="G72" t="s">
        <v>2903</v>
      </c>
      <c r="I72" s="3" t="str">
        <f>IF(_xlfn.XLOOKUP(F72,PgSqlRaw!B:B,PgSqlRaw!E:E,"") = "",_xlfn.XLOOKUP(G72,PgSqlRaw!B:B,PgSqlRaw!E:E,""),_xlfn.XLOOKUP(F72,PgSqlRaw!B:B,PgSqlRaw!E:E,""))</f>
        <v>COLNAME_KEYWORD</v>
      </c>
      <c r="J72" t="str">
        <f>IF(_xlfn.XLOOKUP(F72,PgSqlRaw!B:B,PgSqlRaw!F:F,"") = "", _xlfn.XLOOKUP(G72,PgSqlRaw!B:B,PgSqlRaw!F:F,""), _xlfn.XLOOKUP(F72,PgSqlRaw!B:B,PgSqlRaw!F:F,""))</f>
        <v>AS_LABEL</v>
      </c>
      <c r="K72" t="str">
        <f t="shared" si="7"/>
        <v>AS_LABEL</v>
      </c>
      <c r="L72" t="str">
        <f>IF(_xlfn.XLOOKUP(F72,PhpReserved!A:A,PhpReserved!B:B,"") = "", _xlfn.XLOOKUP(G72,PhpReserved!A:A,PhpReserved!B:B,""),_xlfn.XLOOKUP(F72,PhpReserved!A:A,PhpReserved!B:B,""))</f>
        <v>RESERVED</v>
      </c>
      <c r="M72" t="str">
        <f>IF(_xlfn.XLOOKUP(F72,PhpFunctions!A:A,PhpFunctions!B:B,"") =  "", _xlfn.XLOOKUP(G72,PhpFunctions!A:A,PhpFunctions!B:B,""), _xlfn.XLOOKUP(F72,PhpFunctions!A:A,PhpFunctions!B:B,""))</f>
        <v>FUNCTION</v>
      </c>
      <c r="N72" t="str">
        <f>IF(_xlfn.XLOOKUP(F72,PhpParamFunc!A:A,PhpParamFunc!B:B,"") = "", _xlfn.XLOOKUP(G72,PhpParamFunc!A:A,PhpParamFunc!B:B,""), _xlfn.XLOOKUP(F72,PhpParamFunc!A:A,PhpParamFunc!B:B,""))</f>
        <v>PARAM_FUNCTION</v>
      </c>
      <c r="O72" t="str">
        <f>IF(_xlfn.XLOOKUP(F72,PhpAggrFunc!A:A,PhpAggrFunc!B:B,"") = "", _xlfn.XLOOKUP(G72,PhpAggrFunc!A:A,PhpAggrFunc!B:B,""), _xlfn.XLOOKUP(F72,PhpAggrFunc!A:A,PhpAggrFunc!B:B,""))</f>
        <v/>
      </c>
      <c r="P72" t="str">
        <f t="shared" si="8"/>
        <v>PARAM_FUNCTION</v>
      </c>
      <c r="Q72" t="str">
        <f t="shared" si="9"/>
        <v>static const String^ TOK_CHARACTER = "CHARACTER";</v>
      </c>
      <c r="R72" t="str">
        <f t="shared" si="10"/>
        <v>static const int TOK_CHARACTER = 275;</v>
      </c>
      <c r="S72" t="str">
        <f t="shared" si="11"/>
        <v>_Tokens-&gt;Add((String^)GramVals::TOK_CHARACTER, gcnew Token(GramKeys::TOK_CHARACTER, EnumTokenCategory::PARAM_FUNCTION,AS_LABEL, i++));</v>
      </c>
    </row>
    <row r="73" spans="1:19" x14ac:dyDescent="0.25">
      <c r="A73" s="3" t="s">
        <v>1451</v>
      </c>
      <c r="B73" s="5" t="s">
        <v>1041</v>
      </c>
      <c r="C73" s="3" t="s">
        <v>1965</v>
      </c>
      <c r="D73" s="3" t="s">
        <v>881</v>
      </c>
      <c r="F73" t="str">
        <f t="shared" si="6"/>
        <v>CHARACTER_LENGTH</v>
      </c>
      <c r="G73" t="s">
        <v>2905</v>
      </c>
      <c r="I73" s="3" t="str">
        <f>IF(_xlfn.XLOOKUP(F73,PgSqlRaw!B:B,PgSqlRaw!E:E,"") = "",_xlfn.XLOOKUP(G73,PgSqlRaw!B:B,PgSqlRaw!E:E,""),_xlfn.XLOOKUP(F73,PgSqlRaw!B:B,PgSqlRaw!E:E,""))</f>
        <v/>
      </c>
      <c r="J73" t="str">
        <f>IF(_xlfn.XLOOKUP(F73,PgSqlRaw!B:B,PgSqlRaw!F:F,"") = "", _xlfn.XLOOKUP(G73,PgSqlRaw!B:B,PgSqlRaw!F:F,""), _xlfn.XLOOKUP(F73,PgSqlRaw!B:B,PgSqlRaw!F:F,""))</f>
        <v/>
      </c>
      <c r="K73" t="str">
        <f t="shared" si="7"/>
        <v>BARE_LABEL</v>
      </c>
      <c r="L73" t="str">
        <f>IF(_xlfn.XLOOKUP(F73,PhpReserved!A:A,PhpReserved!B:B,"") = "", _xlfn.XLOOKUP(G73,PhpReserved!A:A,PhpReserved!B:B,""),_xlfn.XLOOKUP(F73,PhpReserved!A:A,PhpReserved!B:B,""))</f>
        <v>RESERVED</v>
      </c>
      <c r="M73" t="str">
        <f>IF(_xlfn.XLOOKUP(F73,PhpFunctions!A:A,PhpFunctions!B:B,"") =  "", _xlfn.XLOOKUP(G73,PhpFunctions!A:A,PhpFunctions!B:B,""), _xlfn.XLOOKUP(F73,PhpFunctions!A:A,PhpFunctions!B:B,""))</f>
        <v>FUNCTION</v>
      </c>
      <c r="N73" t="str">
        <f>IF(_xlfn.XLOOKUP(F73,PhpParamFunc!A:A,PhpParamFunc!B:B,"") = "", _xlfn.XLOOKUP(G73,PhpParamFunc!A:A,PhpParamFunc!B:B,""), _xlfn.XLOOKUP(F73,PhpParamFunc!A:A,PhpParamFunc!B:B,""))</f>
        <v>PARAM_FUNCTION</v>
      </c>
      <c r="O73" t="str">
        <f>IF(_xlfn.XLOOKUP(F73,PhpAggrFunc!A:A,PhpAggrFunc!B:B,"") = "", _xlfn.XLOOKUP(G73,PhpAggrFunc!A:A,PhpAggrFunc!B:B,""), _xlfn.XLOOKUP(F73,PhpAggrFunc!A:A,PhpAggrFunc!B:B,""))</f>
        <v/>
      </c>
      <c r="P73" t="str">
        <f t="shared" si="8"/>
        <v>PARAM_FUNCTION</v>
      </c>
      <c r="Q73" t="str">
        <f t="shared" si="9"/>
        <v>static const String^ TOK_CHARACTER_LENGTH = "CHARACTER_LENGTH";</v>
      </c>
      <c r="R73" t="str">
        <f t="shared" si="10"/>
        <v>static const int TOK_CHARACTER_LENGTH = 513;</v>
      </c>
      <c r="S73" t="str">
        <f t="shared" si="11"/>
        <v>_Tokens-&gt;Add((String^)GramVals::TOK_CHARACTER_LENGTH, gcnew Token(GramKeys::TOK_CHARACTER_LENGTH, EnumTokenCategory::PARAM_FUNCTION,BARE_LABEL, i++));</v>
      </c>
    </row>
    <row r="74" spans="1:19" x14ac:dyDescent="0.25">
      <c r="A74" s="3" t="s">
        <v>1452</v>
      </c>
      <c r="B74" s="5" t="s">
        <v>1044</v>
      </c>
      <c r="C74" s="3" t="s">
        <v>1966</v>
      </c>
      <c r="D74" s="3" t="s">
        <v>881</v>
      </c>
      <c r="F74" t="str">
        <f t="shared" si="6"/>
        <v>CHECK</v>
      </c>
      <c r="G74" t="s">
        <v>3106</v>
      </c>
      <c r="I74" s="3" t="str">
        <f>IF(_xlfn.XLOOKUP(F74,PgSqlRaw!B:B,PgSqlRaw!E:E,"") = "",_xlfn.XLOOKUP(G74,PgSqlRaw!B:B,PgSqlRaw!E:E,""),_xlfn.XLOOKUP(F74,PgSqlRaw!B:B,PgSqlRaw!E:E,""))</f>
        <v>RESERVED</v>
      </c>
      <c r="J74" t="str">
        <f>IF(_xlfn.XLOOKUP(F74,PgSqlRaw!B:B,PgSqlRaw!F:F,"") = "", _xlfn.XLOOKUP(G74,PgSqlRaw!B:B,PgSqlRaw!F:F,""), _xlfn.XLOOKUP(F74,PgSqlRaw!B:B,PgSqlRaw!F:F,""))</f>
        <v>BARE_LABEL</v>
      </c>
      <c r="K74" t="str">
        <f t="shared" si="7"/>
        <v>BARE_LABEL</v>
      </c>
      <c r="L74" t="str">
        <f>IF(_xlfn.XLOOKUP(F74,PhpReserved!A:A,PhpReserved!B:B,"") = "", _xlfn.XLOOKUP(G74,PhpReserved!A:A,PhpReserved!B:B,""),_xlfn.XLOOKUP(F74,PhpReserved!A:A,PhpReserved!B:B,""))</f>
        <v>RESERVED</v>
      </c>
      <c r="M74" t="str">
        <f>IF(_xlfn.XLOOKUP(F74,PhpFunctions!A:A,PhpFunctions!B:B,"") =  "", _xlfn.XLOOKUP(G74,PhpFunctions!A:A,PhpFunctions!B:B,""), _xlfn.XLOOKUP(F74,PhpFunctions!A:A,PhpFunctions!B:B,""))</f>
        <v/>
      </c>
      <c r="N74" t="str">
        <f>IF(_xlfn.XLOOKUP(F74,PhpParamFunc!A:A,PhpParamFunc!B:B,"") = "", _xlfn.XLOOKUP(G74,PhpParamFunc!A:A,PhpParamFunc!B:B,""), _xlfn.XLOOKUP(F74,PhpParamFunc!A:A,PhpParamFunc!B:B,""))</f>
        <v/>
      </c>
      <c r="O74" t="str">
        <f>IF(_xlfn.XLOOKUP(F74,PhpAggrFunc!A:A,PhpAggrFunc!B:B,"") = "", _xlfn.XLOOKUP(G74,PhpAggrFunc!A:A,PhpAggrFunc!B:B,""), _xlfn.XLOOKUP(F74,PhpAggrFunc!A:A,PhpAggrFunc!B:B,""))</f>
        <v/>
      </c>
      <c r="P74" t="str">
        <f t="shared" si="8"/>
        <v>RESERVED</v>
      </c>
      <c r="Q74" t="str">
        <f t="shared" si="9"/>
        <v>static const String^ TOK_CHECK = "CHECK";</v>
      </c>
      <c r="R74" t="str">
        <f t="shared" si="10"/>
        <v>static const int TOK_CHECK = 276;</v>
      </c>
      <c r="S74" t="str">
        <f t="shared" si="11"/>
        <v>_Tokens-&gt;Add((String^)GramVals::TOK_CHECK, gcnew Token(GramKeys::TOK_CHECK, EnumTokenCategory::RESERVED,BARE_LABEL, i++));</v>
      </c>
    </row>
    <row r="75" spans="1:19" x14ac:dyDescent="0.25">
      <c r="A75" s="3" t="s">
        <v>1453</v>
      </c>
      <c r="B75" s="5">
        <v>662</v>
      </c>
      <c r="C75" s="3" t="s">
        <v>1967</v>
      </c>
      <c r="D75" s="3" t="s">
        <v>2423</v>
      </c>
      <c r="F75" t="str">
        <f t="shared" si="6"/>
        <v>CLEAR</v>
      </c>
      <c r="G75" t="s">
        <v>3653</v>
      </c>
      <c r="I75" s="3" t="str">
        <f>IF(_xlfn.XLOOKUP(F75,PgSqlRaw!B:B,PgSqlRaw!E:E,"") = "",_xlfn.XLOOKUP(G75,PgSqlRaw!B:B,PgSqlRaw!E:E,""),_xlfn.XLOOKUP(F75,PgSqlRaw!B:B,PgSqlRaw!E:E,""))</f>
        <v/>
      </c>
      <c r="J75" t="str">
        <f>IF(_xlfn.XLOOKUP(F75,PgSqlRaw!B:B,PgSqlRaw!F:F,"") = "", _xlfn.XLOOKUP(G75,PgSqlRaw!B:B,PgSqlRaw!F:F,""), _xlfn.XLOOKUP(F75,PgSqlRaw!B:B,PgSqlRaw!F:F,""))</f>
        <v/>
      </c>
      <c r="K75" t="str">
        <f t="shared" si="7"/>
        <v>BARE_LABEL</v>
      </c>
      <c r="L75" t="str">
        <f>IF(_xlfn.XLOOKUP(F75,PhpReserved!A:A,PhpReserved!B:B,"") = "", _xlfn.XLOOKUP(G75,PhpReserved!A:A,PhpReserved!B:B,""),_xlfn.XLOOKUP(F75,PhpReserved!A:A,PhpReserved!B:B,""))</f>
        <v/>
      </c>
      <c r="M75" t="str">
        <f>IF(_xlfn.XLOOKUP(F75,PhpFunctions!A:A,PhpFunctions!B:B,"") =  "", _xlfn.XLOOKUP(G75,PhpFunctions!A:A,PhpFunctions!B:B,""), _xlfn.XLOOKUP(F75,PhpFunctions!A:A,PhpFunctions!B:B,""))</f>
        <v/>
      </c>
      <c r="N75" t="str">
        <f>IF(_xlfn.XLOOKUP(F75,PhpParamFunc!A:A,PhpParamFunc!B:B,"") = "", _xlfn.XLOOKUP(G75,PhpParamFunc!A:A,PhpParamFunc!B:B,""), _xlfn.XLOOKUP(F75,PhpParamFunc!A:A,PhpParamFunc!B:B,""))</f>
        <v/>
      </c>
      <c r="O75" t="str">
        <f>IF(_xlfn.XLOOKUP(F75,PhpAggrFunc!A:A,PhpAggrFunc!B:B,"") = "", _xlfn.XLOOKUP(G75,PhpAggrFunc!A:A,PhpAggrFunc!B:B,""), _xlfn.XLOOKUP(F75,PhpAggrFunc!A:A,PhpAggrFunc!B:B,""))</f>
        <v/>
      </c>
      <c r="P75" t="str">
        <f t="shared" si="8"/>
        <v>UNRESERVED</v>
      </c>
      <c r="Q75" t="str">
        <f t="shared" si="9"/>
        <v>static const String^ TOK_CLEAR = "CLEAR";</v>
      </c>
      <c r="R75" t="str">
        <f t="shared" si="10"/>
        <v>static const int TOK_CLEAR = 662;</v>
      </c>
      <c r="S75" t="str">
        <f t="shared" si="11"/>
        <v>// _Tokens-&gt;Add((String^)GramVals::TOK_CLEAR, gcnew Token(GramKeys::TOK_CLEAR, EnumTokenCategory::UNRESERVED,BARE_LABEL, i++));</v>
      </c>
    </row>
    <row r="76" spans="1:19" x14ac:dyDescent="0.25">
      <c r="A76" s="3" t="s">
        <v>1454</v>
      </c>
      <c r="B76" s="5" t="s">
        <v>1045</v>
      </c>
      <c r="C76" s="3" t="s">
        <v>1968</v>
      </c>
      <c r="D76" s="3" t="s">
        <v>881</v>
      </c>
      <c r="F76" t="str">
        <f t="shared" si="6"/>
        <v>CLOSE</v>
      </c>
      <c r="G76" t="s">
        <v>3345</v>
      </c>
      <c r="I76" s="3" t="str">
        <f>IF(_xlfn.XLOOKUP(F76,PgSqlRaw!B:B,PgSqlRaw!E:E,"") = "",_xlfn.XLOOKUP(G76,PgSqlRaw!B:B,PgSqlRaw!E:E,""),_xlfn.XLOOKUP(F76,PgSqlRaw!B:B,PgSqlRaw!E:E,""))</f>
        <v/>
      </c>
      <c r="J76" t="str">
        <f>IF(_xlfn.XLOOKUP(F76,PgSqlRaw!B:B,PgSqlRaw!F:F,"") = "", _xlfn.XLOOKUP(G76,PgSqlRaw!B:B,PgSqlRaw!F:F,""), _xlfn.XLOOKUP(F76,PgSqlRaw!B:B,PgSqlRaw!F:F,""))</f>
        <v>BARE_LABEL</v>
      </c>
      <c r="K76" t="str">
        <f t="shared" si="7"/>
        <v>BARE_LABEL</v>
      </c>
      <c r="L76" t="str">
        <f>IF(_xlfn.XLOOKUP(F76,PhpReserved!A:A,PhpReserved!B:B,"") = "", _xlfn.XLOOKUP(G76,PhpReserved!A:A,PhpReserved!B:B,""),_xlfn.XLOOKUP(F76,PhpReserved!A:A,PhpReserved!B:B,""))</f>
        <v/>
      </c>
      <c r="M76" t="str">
        <f>IF(_xlfn.XLOOKUP(F76,PhpFunctions!A:A,PhpFunctions!B:B,"") =  "", _xlfn.XLOOKUP(G76,PhpFunctions!A:A,PhpFunctions!B:B,""), _xlfn.XLOOKUP(F76,PhpFunctions!A:A,PhpFunctions!B:B,""))</f>
        <v/>
      </c>
      <c r="N76" t="str">
        <f>IF(_xlfn.XLOOKUP(F76,PhpParamFunc!A:A,PhpParamFunc!B:B,"") = "", _xlfn.XLOOKUP(G76,PhpParamFunc!A:A,PhpParamFunc!B:B,""), _xlfn.XLOOKUP(F76,PhpParamFunc!A:A,PhpParamFunc!B:B,""))</f>
        <v/>
      </c>
      <c r="O76" t="str">
        <f>IF(_xlfn.XLOOKUP(F76,PhpAggrFunc!A:A,PhpAggrFunc!B:B,"") = "", _xlfn.XLOOKUP(G76,PhpAggrFunc!A:A,PhpAggrFunc!B:B,""), _xlfn.XLOOKUP(F76,PhpAggrFunc!A:A,PhpAggrFunc!B:B,""))</f>
        <v/>
      </c>
      <c r="P76" t="str">
        <f t="shared" si="8"/>
        <v>UNRESERVED</v>
      </c>
      <c r="Q76" t="str">
        <f t="shared" si="9"/>
        <v>static const String^ TOK_CLOSE = "CLOSE";</v>
      </c>
      <c r="R76" t="str">
        <f t="shared" si="10"/>
        <v>static const int TOK_CLOSE = 498;</v>
      </c>
      <c r="S76" t="str">
        <f t="shared" si="11"/>
        <v>// _Tokens-&gt;Add((String^)GramVals::TOK_CLOSE, gcnew Token(GramKeys::TOK_CLOSE, EnumTokenCategory::UNRESERVED,BARE_LABEL, i++));</v>
      </c>
    </row>
    <row r="77" spans="1:19" x14ac:dyDescent="0.25">
      <c r="A77" s="3" t="s">
        <v>1455</v>
      </c>
      <c r="B77" s="5" t="s">
        <v>1046</v>
      </c>
      <c r="C77" s="3" t="s">
        <v>1969</v>
      </c>
      <c r="D77" s="3" t="s">
        <v>2423</v>
      </c>
      <c r="F77" t="str">
        <f t="shared" si="6"/>
        <v>COALESCE</v>
      </c>
      <c r="G77" t="s">
        <v>2907</v>
      </c>
      <c r="I77" s="3" t="str">
        <f>IF(_xlfn.XLOOKUP(F77,PgSqlRaw!B:B,PgSqlRaw!E:E,"") = "",_xlfn.XLOOKUP(G77,PgSqlRaw!B:B,PgSqlRaw!E:E,""),_xlfn.XLOOKUP(F77,PgSqlRaw!B:B,PgSqlRaw!E:E,""))</f>
        <v>COLNAME_KEYWORD</v>
      </c>
      <c r="J77" t="str">
        <f>IF(_xlfn.XLOOKUP(F77,PgSqlRaw!B:B,PgSqlRaw!F:F,"") = "", _xlfn.XLOOKUP(G77,PgSqlRaw!B:B,PgSqlRaw!F:F,""), _xlfn.XLOOKUP(F77,PgSqlRaw!B:B,PgSqlRaw!F:F,""))</f>
        <v>BARE_LABEL</v>
      </c>
      <c r="K77" t="str">
        <f t="shared" si="7"/>
        <v>BARE_LABEL</v>
      </c>
      <c r="L77" t="str">
        <f>IF(_xlfn.XLOOKUP(F77,PhpReserved!A:A,PhpReserved!B:B,"") = "", _xlfn.XLOOKUP(G77,PhpReserved!A:A,PhpReserved!B:B,""),_xlfn.XLOOKUP(F77,PhpReserved!A:A,PhpReserved!B:B,""))</f>
        <v>RESERVED</v>
      </c>
      <c r="M77" t="str">
        <f>IF(_xlfn.XLOOKUP(F77,PhpFunctions!A:A,PhpFunctions!B:B,"") =  "", _xlfn.XLOOKUP(G77,PhpFunctions!A:A,PhpFunctions!B:B,""), _xlfn.XLOOKUP(F77,PhpFunctions!A:A,PhpFunctions!B:B,""))</f>
        <v>FUNCTION</v>
      </c>
      <c r="N77" t="str">
        <f>IF(_xlfn.XLOOKUP(F77,PhpParamFunc!A:A,PhpParamFunc!B:B,"") = "", _xlfn.XLOOKUP(G77,PhpParamFunc!A:A,PhpParamFunc!B:B,""), _xlfn.XLOOKUP(F77,PhpParamFunc!A:A,PhpParamFunc!B:B,""))</f>
        <v>PARAM_FUNCTION</v>
      </c>
      <c r="O77" t="str">
        <f>IF(_xlfn.XLOOKUP(F77,PhpAggrFunc!A:A,PhpAggrFunc!B:B,"") = "", _xlfn.XLOOKUP(G77,PhpAggrFunc!A:A,PhpAggrFunc!B:B,""), _xlfn.XLOOKUP(F77,PhpAggrFunc!A:A,PhpAggrFunc!B:B,""))</f>
        <v/>
      </c>
      <c r="P77" t="str">
        <f t="shared" si="8"/>
        <v>PARAM_FUNCTION</v>
      </c>
      <c r="Q77" t="str">
        <f t="shared" si="9"/>
        <v>static const String^ TOK_COALESCE = "COALESCE";</v>
      </c>
      <c r="R77" t="str">
        <f t="shared" si="10"/>
        <v>static const int TOK_COALESCE = 482;</v>
      </c>
      <c r="S77" t="str">
        <f t="shared" si="11"/>
        <v>_Tokens-&gt;Add((String^)GramVals::TOK_COALESCE, gcnew Token(GramKeys::TOK_COALESCE, EnumTokenCategory::PARAM_FUNCTION,BARE_LABEL, i++));</v>
      </c>
    </row>
    <row r="78" spans="1:19" x14ac:dyDescent="0.25">
      <c r="A78" s="3" t="s">
        <v>1456</v>
      </c>
      <c r="B78" s="5" t="s">
        <v>1047</v>
      </c>
      <c r="C78" s="3" t="s">
        <v>1970</v>
      </c>
      <c r="D78" s="3" t="s">
        <v>881</v>
      </c>
      <c r="F78" t="str">
        <f t="shared" si="6"/>
        <v>COLLATE</v>
      </c>
      <c r="G78" t="s">
        <v>3107</v>
      </c>
      <c r="I78" s="3" t="str">
        <f>IF(_xlfn.XLOOKUP(F78,PgSqlRaw!B:B,PgSqlRaw!E:E,"") = "",_xlfn.XLOOKUP(G78,PgSqlRaw!B:B,PgSqlRaw!E:E,""),_xlfn.XLOOKUP(F78,PgSqlRaw!B:B,PgSqlRaw!E:E,""))</f>
        <v>RESERVED</v>
      </c>
      <c r="J78" t="str">
        <f>IF(_xlfn.XLOOKUP(F78,PgSqlRaw!B:B,PgSqlRaw!F:F,"") = "", _xlfn.XLOOKUP(G78,PgSqlRaw!B:B,PgSqlRaw!F:F,""), _xlfn.XLOOKUP(F78,PgSqlRaw!B:B,PgSqlRaw!F:F,""))</f>
        <v>BARE_LABEL</v>
      </c>
      <c r="K78" t="str">
        <f t="shared" si="7"/>
        <v>BARE_LABEL</v>
      </c>
      <c r="L78" t="str">
        <f>IF(_xlfn.XLOOKUP(F78,PhpReserved!A:A,PhpReserved!B:B,"") = "", _xlfn.XLOOKUP(G78,PhpReserved!A:A,PhpReserved!B:B,""),_xlfn.XLOOKUP(F78,PhpReserved!A:A,PhpReserved!B:B,""))</f>
        <v>RESERVED</v>
      </c>
      <c r="M78" t="str">
        <f>IF(_xlfn.XLOOKUP(F78,PhpFunctions!A:A,PhpFunctions!B:B,"") =  "", _xlfn.XLOOKUP(G78,PhpFunctions!A:A,PhpFunctions!B:B,""), _xlfn.XLOOKUP(F78,PhpFunctions!A:A,PhpFunctions!B:B,""))</f>
        <v/>
      </c>
      <c r="N78" t="str">
        <f>IF(_xlfn.XLOOKUP(F78,PhpParamFunc!A:A,PhpParamFunc!B:B,"") = "", _xlfn.XLOOKUP(G78,PhpParamFunc!A:A,PhpParamFunc!B:B,""), _xlfn.XLOOKUP(F78,PhpParamFunc!A:A,PhpParamFunc!B:B,""))</f>
        <v/>
      </c>
      <c r="O78" t="str">
        <f>IF(_xlfn.XLOOKUP(F78,PhpAggrFunc!A:A,PhpAggrFunc!B:B,"") = "", _xlfn.XLOOKUP(G78,PhpAggrFunc!A:A,PhpAggrFunc!B:B,""), _xlfn.XLOOKUP(F78,PhpAggrFunc!A:A,PhpAggrFunc!B:B,""))</f>
        <v/>
      </c>
      <c r="P78" t="str">
        <f t="shared" si="8"/>
        <v>RESERVED</v>
      </c>
      <c r="Q78" t="str">
        <f t="shared" si="9"/>
        <v>static const String^ TOK_COLLATE = "COLLATE";</v>
      </c>
      <c r="R78" t="str">
        <f t="shared" si="10"/>
        <v>static const int TOK_COLLATE = 277;</v>
      </c>
      <c r="S78" t="str">
        <f t="shared" si="11"/>
        <v>_Tokens-&gt;Add((String^)GramVals::TOK_COLLATE, gcnew Token(GramKeys::TOK_COLLATE, EnumTokenCategory::RESERVED,BARE_LABEL, i++));</v>
      </c>
    </row>
    <row r="79" spans="1:19" x14ac:dyDescent="0.25">
      <c r="A79" s="3" t="s">
        <v>1457</v>
      </c>
      <c r="B79" s="5" t="s">
        <v>1048</v>
      </c>
      <c r="C79" s="3" t="s">
        <v>1971</v>
      </c>
      <c r="D79" s="3" t="s">
        <v>2423</v>
      </c>
      <c r="F79" t="str">
        <f t="shared" si="6"/>
        <v>COLLATION</v>
      </c>
      <c r="G79" t="s">
        <v>2909</v>
      </c>
      <c r="I79" s="3" t="str">
        <f>IF(_xlfn.XLOOKUP(F79,PgSqlRaw!B:B,PgSqlRaw!E:E,"") = "",_xlfn.XLOOKUP(G79,PgSqlRaw!B:B,PgSqlRaw!E:E,""),_xlfn.XLOOKUP(F79,PgSqlRaw!B:B,PgSqlRaw!E:E,""))</f>
        <v>FUNCTION</v>
      </c>
      <c r="J79" t="str">
        <f>IF(_xlfn.XLOOKUP(F79,PgSqlRaw!B:B,PgSqlRaw!F:F,"") = "", _xlfn.XLOOKUP(G79,PgSqlRaw!B:B,PgSqlRaw!F:F,""), _xlfn.XLOOKUP(F79,PgSqlRaw!B:B,PgSqlRaw!F:F,""))</f>
        <v>BARE_LABEL</v>
      </c>
      <c r="K79" t="str">
        <f t="shared" si="7"/>
        <v>BARE_LABEL</v>
      </c>
      <c r="L79" t="str">
        <f>IF(_xlfn.XLOOKUP(F79,PhpReserved!A:A,PhpReserved!B:B,"") = "", _xlfn.XLOOKUP(G79,PhpReserved!A:A,PhpReserved!B:B,""),_xlfn.XLOOKUP(F79,PhpReserved!A:A,PhpReserved!B:B,""))</f>
        <v>RESERVED</v>
      </c>
      <c r="M79" t="str">
        <f>IF(_xlfn.XLOOKUP(F79,PhpFunctions!A:A,PhpFunctions!B:B,"") =  "", _xlfn.XLOOKUP(G79,PhpFunctions!A:A,PhpFunctions!B:B,""), _xlfn.XLOOKUP(F79,PhpFunctions!A:A,PhpFunctions!B:B,""))</f>
        <v>FUNCTION</v>
      </c>
      <c r="N79" t="str">
        <f>IF(_xlfn.XLOOKUP(F79,PhpParamFunc!A:A,PhpParamFunc!B:B,"") = "", _xlfn.XLOOKUP(G79,PhpParamFunc!A:A,PhpParamFunc!B:B,""), _xlfn.XLOOKUP(F79,PhpParamFunc!A:A,PhpParamFunc!B:B,""))</f>
        <v>PARAM_FUNCTION</v>
      </c>
      <c r="O79" t="str">
        <f>IF(_xlfn.XLOOKUP(F79,PhpAggrFunc!A:A,PhpAggrFunc!B:B,"") = "", _xlfn.XLOOKUP(G79,PhpAggrFunc!A:A,PhpAggrFunc!B:B,""), _xlfn.XLOOKUP(F79,PhpAggrFunc!A:A,PhpAggrFunc!B:B,""))</f>
        <v/>
      </c>
      <c r="P79" t="str">
        <f t="shared" si="8"/>
        <v>PARAM_FUNCTION</v>
      </c>
      <c r="Q79" t="str">
        <f t="shared" si="9"/>
        <v>static const String^ TOK_COLLATION = "COLLATION";</v>
      </c>
      <c r="R79" t="str">
        <f t="shared" si="10"/>
        <v>static const int TOK_COLLATION = 509;</v>
      </c>
      <c r="S79" t="str">
        <f t="shared" si="11"/>
        <v>_Tokens-&gt;Add((String^)GramVals::TOK_COLLATION, gcnew Token(GramKeys::TOK_COLLATION, EnumTokenCategory::PARAM_FUNCTION,BARE_LABEL, i++));</v>
      </c>
    </row>
    <row r="80" spans="1:19" x14ac:dyDescent="0.25">
      <c r="A80" s="3" t="s">
        <v>1458</v>
      </c>
      <c r="B80" s="5" t="s">
        <v>1049</v>
      </c>
      <c r="C80" s="3" t="s">
        <v>1972</v>
      </c>
      <c r="D80" s="3" t="s">
        <v>881</v>
      </c>
      <c r="F80" t="str">
        <f t="shared" si="6"/>
        <v>COLUMN</v>
      </c>
      <c r="G80" t="s">
        <v>3108</v>
      </c>
      <c r="I80" s="3" t="str">
        <f>IF(_xlfn.XLOOKUP(F80,PgSqlRaw!B:B,PgSqlRaw!E:E,"") = "",_xlfn.XLOOKUP(G80,PgSqlRaw!B:B,PgSqlRaw!E:E,""),_xlfn.XLOOKUP(F80,PgSqlRaw!B:B,PgSqlRaw!E:E,""))</f>
        <v>RESERVED</v>
      </c>
      <c r="J80" t="str">
        <f>IF(_xlfn.XLOOKUP(F80,PgSqlRaw!B:B,PgSqlRaw!F:F,"") = "", _xlfn.XLOOKUP(G80,PgSqlRaw!B:B,PgSqlRaw!F:F,""), _xlfn.XLOOKUP(F80,PgSqlRaw!B:B,PgSqlRaw!F:F,""))</f>
        <v>BARE_LABEL</v>
      </c>
      <c r="K80" t="str">
        <f t="shared" si="7"/>
        <v>BARE_LABEL</v>
      </c>
      <c r="L80" t="str">
        <f>IF(_xlfn.XLOOKUP(F80,PhpReserved!A:A,PhpReserved!B:B,"") = "", _xlfn.XLOOKUP(G80,PhpReserved!A:A,PhpReserved!B:B,""),_xlfn.XLOOKUP(F80,PhpReserved!A:A,PhpReserved!B:B,""))</f>
        <v>RESERVED</v>
      </c>
      <c r="M80" t="str">
        <f>IF(_xlfn.XLOOKUP(F80,PhpFunctions!A:A,PhpFunctions!B:B,"") =  "", _xlfn.XLOOKUP(G80,PhpFunctions!A:A,PhpFunctions!B:B,""), _xlfn.XLOOKUP(F80,PhpFunctions!A:A,PhpFunctions!B:B,""))</f>
        <v/>
      </c>
      <c r="N80" t="str">
        <f>IF(_xlfn.XLOOKUP(F80,PhpParamFunc!A:A,PhpParamFunc!B:B,"") = "", _xlfn.XLOOKUP(G80,PhpParamFunc!A:A,PhpParamFunc!B:B,""), _xlfn.XLOOKUP(F80,PhpParamFunc!A:A,PhpParamFunc!B:B,""))</f>
        <v/>
      </c>
      <c r="O80" t="str">
        <f>IF(_xlfn.XLOOKUP(F80,PhpAggrFunc!A:A,PhpAggrFunc!B:B,"") = "", _xlfn.XLOOKUP(G80,PhpAggrFunc!A:A,PhpAggrFunc!B:B,""), _xlfn.XLOOKUP(F80,PhpAggrFunc!A:A,PhpAggrFunc!B:B,""))</f>
        <v/>
      </c>
      <c r="P80" t="str">
        <f t="shared" si="8"/>
        <v>RESERVED</v>
      </c>
      <c r="Q80" t="str">
        <f t="shared" si="9"/>
        <v>static const String^ TOK_COLUMN = "COLUMN";</v>
      </c>
      <c r="R80" t="str">
        <f t="shared" si="10"/>
        <v>static const int TOK_COLUMN = 451;</v>
      </c>
      <c r="S80" t="str">
        <f t="shared" si="11"/>
        <v>_Tokens-&gt;Add((String^)GramVals::TOK_COLUMN, gcnew Token(GramKeys::TOK_COLUMN, EnumTokenCategory::RESERVED,BARE_LABEL, i++));</v>
      </c>
    </row>
    <row r="81" spans="1:19" x14ac:dyDescent="0.25">
      <c r="A81" s="3" t="s">
        <v>1459</v>
      </c>
      <c r="B81" s="5">
        <v>663</v>
      </c>
      <c r="C81" s="3" t="s">
        <v>880</v>
      </c>
      <c r="D81" s="2" t="s">
        <v>881</v>
      </c>
      <c r="E81" t="s">
        <v>3230</v>
      </c>
      <c r="F81" t="str">
        <f t="shared" si="6"/>
        <v>COMMA</v>
      </c>
      <c r="G81" t="s">
        <v>3654</v>
      </c>
      <c r="I81" s="3" t="str">
        <f>IF(_xlfn.XLOOKUP(F81,PgSqlRaw!B:B,PgSqlRaw!E:E,"") = "",_xlfn.XLOOKUP(G81,PgSqlRaw!B:B,PgSqlRaw!E:E,""),_xlfn.XLOOKUP(F81,PgSqlRaw!B:B,PgSqlRaw!E:E,""))</f>
        <v/>
      </c>
      <c r="J81" t="str">
        <f>IF(_xlfn.XLOOKUP(F81,PgSqlRaw!B:B,PgSqlRaw!F:F,"") = "", _xlfn.XLOOKUP(G81,PgSqlRaw!B:B,PgSqlRaw!F:F,""), _xlfn.XLOOKUP(F81,PgSqlRaw!B:B,PgSqlRaw!F:F,""))</f>
        <v/>
      </c>
      <c r="K81" t="str">
        <f t="shared" si="7"/>
        <v>BARE_LABEL</v>
      </c>
      <c r="L81" t="str">
        <f>IF(_xlfn.XLOOKUP(F81,PhpReserved!A:A,PhpReserved!B:B,"") = "", _xlfn.XLOOKUP(G81,PhpReserved!A:A,PhpReserved!B:B,""),_xlfn.XLOOKUP(F81,PhpReserved!A:A,PhpReserved!B:B,""))</f>
        <v/>
      </c>
      <c r="M81" t="str">
        <f>IF(_xlfn.XLOOKUP(F81,PhpFunctions!A:A,PhpFunctions!B:B,"") =  "", _xlfn.XLOOKUP(G81,PhpFunctions!A:A,PhpFunctions!B:B,""), _xlfn.XLOOKUP(F81,PhpFunctions!A:A,PhpFunctions!B:B,""))</f>
        <v/>
      </c>
      <c r="N81" t="str">
        <f>IF(_xlfn.XLOOKUP(F81,PhpParamFunc!A:A,PhpParamFunc!B:B,"") = "", _xlfn.XLOOKUP(G81,PhpParamFunc!A:A,PhpParamFunc!B:B,""), _xlfn.XLOOKUP(F81,PhpParamFunc!A:A,PhpParamFunc!B:B,""))</f>
        <v/>
      </c>
      <c r="O81" t="str">
        <f>IF(_xlfn.XLOOKUP(F81,PhpAggrFunc!A:A,PhpAggrFunc!B:B,"") = "", _xlfn.XLOOKUP(G81,PhpAggrFunc!A:A,PhpAggrFunc!B:B,""), _xlfn.XLOOKUP(F81,PhpAggrFunc!A:A,PhpAggrFunc!B:B,""))</f>
        <v/>
      </c>
      <c r="P81" t="str">
        <f t="shared" si="8"/>
        <v>SEPARATOR</v>
      </c>
      <c r="Q81" t="str">
        <f t="shared" si="9"/>
        <v>static const String^ TOK_COMMA = ",";</v>
      </c>
      <c r="R81" t="str">
        <f t="shared" si="10"/>
        <v>static const int TOK_COMMA = 663;</v>
      </c>
      <c r="S81" t="str">
        <f t="shared" si="11"/>
        <v>_Tokens-&gt;Add((String^)GramVals::TOK_COMMA, gcnew Token(GramKeys::TOK_COMMA, EnumTokenCategory::SEPARATOR,BARE_LABEL, i++));</v>
      </c>
    </row>
    <row r="82" spans="1:19" x14ac:dyDescent="0.25">
      <c r="A82" s="3" t="s">
        <v>1460</v>
      </c>
      <c r="B82" s="5" t="s">
        <v>1050</v>
      </c>
      <c r="C82" s="3" t="s">
        <v>1973</v>
      </c>
      <c r="D82" s="3" t="s">
        <v>881</v>
      </c>
      <c r="F82" t="str">
        <f t="shared" si="6"/>
        <v>COMMENT</v>
      </c>
      <c r="G82" t="s">
        <v>3347</v>
      </c>
      <c r="I82" s="3" t="str">
        <f>IF(_xlfn.XLOOKUP(F82,PgSqlRaw!B:B,PgSqlRaw!E:E,"") = "",_xlfn.XLOOKUP(G82,PgSqlRaw!B:B,PgSqlRaw!E:E,""),_xlfn.XLOOKUP(F82,PgSqlRaw!B:B,PgSqlRaw!E:E,""))</f>
        <v/>
      </c>
      <c r="J82" t="str">
        <f>IF(_xlfn.XLOOKUP(F82,PgSqlRaw!B:B,PgSqlRaw!F:F,"") = "", _xlfn.XLOOKUP(G82,PgSqlRaw!B:B,PgSqlRaw!F:F,""), _xlfn.XLOOKUP(F82,PgSqlRaw!B:B,PgSqlRaw!F:F,""))</f>
        <v>BARE_LABEL</v>
      </c>
      <c r="K82" t="str">
        <f t="shared" si="7"/>
        <v>BARE_LABEL</v>
      </c>
      <c r="L82" t="str">
        <f>IF(_xlfn.XLOOKUP(F82,PhpReserved!A:A,PhpReserved!B:B,"") = "", _xlfn.XLOOKUP(G82,PhpReserved!A:A,PhpReserved!B:B,""),_xlfn.XLOOKUP(F82,PhpReserved!A:A,PhpReserved!B:B,""))</f>
        <v/>
      </c>
      <c r="M82" t="str">
        <f>IF(_xlfn.XLOOKUP(F82,PhpFunctions!A:A,PhpFunctions!B:B,"") =  "", _xlfn.XLOOKUP(G82,PhpFunctions!A:A,PhpFunctions!B:B,""), _xlfn.XLOOKUP(F82,PhpFunctions!A:A,PhpFunctions!B:B,""))</f>
        <v/>
      </c>
      <c r="N82" t="str">
        <f>IF(_xlfn.XLOOKUP(F82,PhpParamFunc!A:A,PhpParamFunc!B:B,"") = "", _xlfn.XLOOKUP(G82,PhpParamFunc!A:A,PhpParamFunc!B:B,""), _xlfn.XLOOKUP(F82,PhpParamFunc!A:A,PhpParamFunc!B:B,""))</f>
        <v/>
      </c>
      <c r="O82" t="str">
        <f>IF(_xlfn.XLOOKUP(F82,PhpAggrFunc!A:A,PhpAggrFunc!B:B,"") = "", _xlfn.XLOOKUP(G82,PhpAggrFunc!A:A,PhpAggrFunc!B:B,""), _xlfn.XLOOKUP(F82,PhpAggrFunc!A:A,PhpAggrFunc!B:B,""))</f>
        <v/>
      </c>
      <c r="P82" t="str">
        <f t="shared" si="8"/>
        <v>UNRESERVED</v>
      </c>
      <c r="Q82" t="str">
        <f t="shared" si="9"/>
        <v>static const String^ TOK_COMMENT = "COMMENT";</v>
      </c>
      <c r="R82" t="str">
        <f t="shared" si="10"/>
        <v>static const int TOK_COMMENT = 510;</v>
      </c>
      <c r="S82" t="str">
        <f t="shared" si="11"/>
        <v>// _Tokens-&gt;Add((String^)GramVals::TOK_COMMENT, gcnew Token(GramKeys::TOK_COMMENT, EnumTokenCategory::UNRESERVED,BARE_LABEL, i++));</v>
      </c>
    </row>
    <row r="83" spans="1:19" x14ac:dyDescent="0.25">
      <c r="A83" s="3" t="s">
        <v>1461</v>
      </c>
      <c r="B83" s="5" t="s">
        <v>1051</v>
      </c>
      <c r="C83" s="3" t="s">
        <v>1974</v>
      </c>
      <c r="D83" s="3" t="s">
        <v>881</v>
      </c>
      <c r="F83" t="str">
        <f t="shared" si="6"/>
        <v>COMMIT</v>
      </c>
      <c r="G83" t="s">
        <v>3349</v>
      </c>
      <c r="I83" s="3" t="str">
        <f>IF(_xlfn.XLOOKUP(F83,PgSqlRaw!B:B,PgSqlRaw!E:E,"") = "",_xlfn.XLOOKUP(G83,PgSqlRaw!B:B,PgSqlRaw!E:E,""),_xlfn.XLOOKUP(F83,PgSqlRaw!B:B,PgSqlRaw!E:E,""))</f>
        <v/>
      </c>
      <c r="J83" t="str">
        <f>IF(_xlfn.XLOOKUP(F83,PgSqlRaw!B:B,PgSqlRaw!F:F,"") = "", _xlfn.XLOOKUP(G83,PgSqlRaw!B:B,PgSqlRaw!F:F,""), _xlfn.XLOOKUP(F83,PgSqlRaw!B:B,PgSqlRaw!F:F,""))</f>
        <v>BARE_LABEL</v>
      </c>
      <c r="K83" t="str">
        <f t="shared" si="7"/>
        <v>BARE_LABEL</v>
      </c>
      <c r="L83" t="str">
        <f>IF(_xlfn.XLOOKUP(F83,PhpReserved!A:A,PhpReserved!B:B,"") = "", _xlfn.XLOOKUP(G83,PhpReserved!A:A,PhpReserved!B:B,""),_xlfn.XLOOKUP(F83,PhpReserved!A:A,PhpReserved!B:B,""))</f>
        <v/>
      </c>
      <c r="M83" t="str">
        <f>IF(_xlfn.XLOOKUP(F83,PhpFunctions!A:A,PhpFunctions!B:B,"") =  "", _xlfn.XLOOKUP(G83,PhpFunctions!A:A,PhpFunctions!B:B,""), _xlfn.XLOOKUP(F83,PhpFunctions!A:A,PhpFunctions!B:B,""))</f>
        <v/>
      </c>
      <c r="N83" t="str">
        <f>IF(_xlfn.XLOOKUP(F83,PhpParamFunc!A:A,PhpParamFunc!B:B,"") = "", _xlfn.XLOOKUP(G83,PhpParamFunc!A:A,PhpParamFunc!B:B,""), _xlfn.XLOOKUP(F83,PhpParamFunc!A:A,PhpParamFunc!B:B,""))</f>
        <v/>
      </c>
      <c r="O83" t="str">
        <f>IF(_xlfn.XLOOKUP(F83,PhpAggrFunc!A:A,PhpAggrFunc!B:B,"") = "", _xlfn.XLOOKUP(G83,PhpAggrFunc!A:A,PhpAggrFunc!B:B,""), _xlfn.XLOOKUP(F83,PhpAggrFunc!A:A,PhpAggrFunc!B:B,""))</f>
        <v/>
      </c>
      <c r="P83" t="str">
        <f t="shared" si="8"/>
        <v>UNRESERVED</v>
      </c>
      <c r="Q83" t="str">
        <f t="shared" si="9"/>
        <v>static const String^ TOK_COMMIT = "COMMIT";</v>
      </c>
      <c r="R83" t="str">
        <f t="shared" si="10"/>
        <v>static const int TOK_COMMIT = 278;</v>
      </c>
      <c r="S83" t="str">
        <f t="shared" si="11"/>
        <v>// _Tokens-&gt;Add((String^)GramVals::TOK_COMMIT, gcnew Token(GramKeys::TOK_COMMIT, EnumTokenCategory::UNRESERVED,BARE_LABEL, i++));</v>
      </c>
    </row>
    <row r="84" spans="1:19" x14ac:dyDescent="0.25">
      <c r="A84" s="3" t="s">
        <v>1462</v>
      </c>
      <c r="B84" s="5" t="s">
        <v>1052</v>
      </c>
      <c r="C84" s="3" t="s">
        <v>1975</v>
      </c>
      <c r="D84" s="3" t="s">
        <v>2423</v>
      </c>
      <c r="F84" t="str">
        <f t="shared" si="6"/>
        <v>COMMITTED</v>
      </c>
      <c r="G84" t="s">
        <v>3350</v>
      </c>
      <c r="I84" s="3" t="str">
        <f>IF(_xlfn.XLOOKUP(F84,PgSqlRaw!B:B,PgSqlRaw!E:E,"") = "",_xlfn.XLOOKUP(G84,PgSqlRaw!B:B,PgSqlRaw!E:E,""),_xlfn.XLOOKUP(F84,PgSqlRaw!B:B,PgSqlRaw!E:E,""))</f>
        <v/>
      </c>
      <c r="J84" t="str">
        <f>IF(_xlfn.XLOOKUP(F84,PgSqlRaw!B:B,PgSqlRaw!F:F,"") = "", _xlfn.XLOOKUP(G84,PgSqlRaw!B:B,PgSqlRaw!F:F,""), _xlfn.XLOOKUP(F84,PgSqlRaw!B:B,PgSqlRaw!F:F,""))</f>
        <v>BARE_LABEL</v>
      </c>
      <c r="K84" t="str">
        <f t="shared" si="7"/>
        <v>BARE_LABEL</v>
      </c>
      <c r="L84" t="str">
        <f>IF(_xlfn.XLOOKUP(F84,PhpReserved!A:A,PhpReserved!B:B,"") = "", _xlfn.XLOOKUP(G84,PhpReserved!A:A,PhpReserved!B:B,""),_xlfn.XLOOKUP(F84,PhpReserved!A:A,PhpReserved!B:B,""))</f>
        <v/>
      </c>
      <c r="M84" t="str">
        <f>IF(_xlfn.XLOOKUP(F84,PhpFunctions!A:A,PhpFunctions!B:B,"") =  "", _xlfn.XLOOKUP(G84,PhpFunctions!A:A,PhpFunctions!B:B,""), _xlfn.XLOOKUP(F84,PhpFunctions!A:A,PhpFunctions!B:B,""))</f>
        <v/>
      </c>
      <c r="N84" t="str">
        <f>IF(_xlfn.XLOOKUP(F84,PhpParamFunc!A:A,PhpParamFunc!B:B,"") = "", _xlfn.XLOOKUP(G84,PhpParamFunc!A:A,PhpParamFunc!B:B,""), _xlfn.XLOOKUP(F84,PhpParamFunc!A:A,PhpParamFunc!B:B,""))</f>
        <v/>
      </c>
      <c r="O84" t="str">
        <f>IF(_xlfn.XLOOKUP(F84,PhpAggrFunc!A:A,PhpAggrFunc!B:B,"") = "", _xlfn.XLOOKUP(G84,PhpAggrFunc!A:A,PhpAggrFunc!B:B,""), _xlfn.XLOOKUP(F84,PhpAggrFunc!A:A,PhpAggrFunc!B:B,""))</f>
        <v/>
      </c>
      <c r="P84" t="str">
        <f t="shared" si="8"/>
        <v>UNRESERVED</v>
      </c>
      <c r="Q84" t="str">
        <f t="shared" si="9"/>
        <v>static const String^ TOK_COMMITTED = "COMMITTED";</v>
      </c>
      <c r="R84" t="str">
        <f t="shared" si="10"/>
        <v>static const int TOK_COMMITTED = 279;</v>
      </c>
      <c r="S84" t="str">
        <f t="shared" si="11"/>
        <v>// _Tokens-&gt;Add((String^)GramVals::TOK_COMMITTED, gcnew Token(GramKeys::TOK_COMMITTED, EnumTokenCategory::UNRESERVED,BARE_LABEL, i++));</v>
      </c>
    </row>
    <row r="85" spans="1:19" x14ac:dyDescent="0.25">
      <c r="A85" s="3" t="s">
        <v>1463</v>
      </c>
      <c r="B85" s="5" t="s">
        <v>1053</v>
      </c>
      <c r="C85" s="3" t="s">
        <v>1976</v>
      </c>
      <c r="D85" s="3" t="s">
        <v>2423</v>
      </c>
      <c r="F85" t="str">
        <f t="shared" si="6"/>
        <v>COMMON</v>
      </c>
      <c r="G85" t="s">
        <v>3655</v>
      </c>
      <c r="I85" s="3" t="str">
        <f>IF(_xlfn.XLOOKUP(F85,PgSqlRaw!B:B,PgSqlRaw!E:E,"") = "",_xlfn.XLOOKUP(G85,PgSqlRaw!B:B,PgSqlRaw!E:E,""),_xlfn.XLOOKUP(F85,PgSqlRaw!B:B,PgSqlRaw!E:E,""))</f>
        <v/>
      </c>
      <c r="J85" t="str">
        <f>IF(_xlfn.XLOOKUP(F85,PgSqlRaw!B:B,PgSqlRaw!F:F,"") = "", _xlfn.XLOOKUP(G85,PgSqlRaw!B:B,PgSqlRaw!F:F,""), _xlfn.XLOOKUP(F85,PgSqlRaw!B:B,PgSqlRaw!F:F,""))</f>
        <v/>
      </c>
      <c r="K85" t="str">
        <f t="shared" si="7"/>
        <v>BARE_LABEL</v>
      </c>
      <c r="L85" t="str">
        <f>IF(_xlfn.XLOOKUP(F85,PhpReserved!A:A,PhpReserved!B:B,"") = "", _xlfn.XLOOKUP(G85,PhpReserved!A:A,PhpReserved!B:B,""),_xlfn.XLOOKUP(F85,PhpReserved!A:A,PhpReserved!B:B,""))</f>
        <v/>
      </c>
      <c r="M85" t="str">
        <f>IF(_xlfn.XLOOKUP(F85,PhpFunctions!A:A,PhpFunctions!B:B,"") =  "", _xlfn.XLOOKUP(G85,PhpFunctions!A:A,PhpFunctions!B:B,""), _xlfn.XLOOKUP(F85,PhpFunctions!A:A,PhpFunctions!B:B,""))</f>
        <v/>
      </c>
      <c r="N85" t="str">
        <f>IF(_xlfn.XLOOKUP(F85,PhpParamFunc!A:A,PhpParamFunc!B:B,"") = "", _xlfn.XLOOKUP(G85,PhpParamFunc!A:A,PhpParamFunc!B:B,""), _xlfn.XLOOKUP(F85,PhpParamFunc!A:A,PhpParamFunc!B:B,""))</f>
        <v/>
      </c>
      <c r="O85" t="str">
        <f>IF(_xlfn.XLOOKUP(F85,PhpAggrFunc!A:A,PhpAggrFunc!B:B,"") = "", _xlfn.XLOOKUP(G85,PhpAggrFunc!A:A,PhpAggrFunc!B:B,""), _xlfn.XLOOKUP(F85,PhpAggrFunc!A:A,PhpAggrFunc!B:B,""))</f>
        <v/>
      </c>
      <c r="P85" t="str">
        <f t="shared" si="8"/>
        <v>UNRESERVED</v>
      </c>
      <c r="Q85" t="str">
        <f t="shared" si="9"/>
        <v>static const String^ TOK_COMMON = "COMMON";</v>
      </c>
      <c r="R85" t="str">
        <f t="shared" si="10"/>
        <v>static const int TOK_COMMON = 601;</v>
      </c>
      <c r="S85" t="str">
        <f t="shared" si="11"/>
        <v>// _Tokens-&gt;Add((String^)GramVals::TOK_COMMON, gcnew Token(GramKeys::TOK_COMMON, EnumTokenCategory::UNRESERVED,BARE_LABEL, i++));</v>
      </c>
    </row>
    <row r="86" spans="1:19" x14ac:dyDescent="0.25">
      <c r="A86" s="3" t="s">
        <v>1464</v>
      </c>
      <c r="B86" s="5">
        <v>664</v>
      </c>
      <c r="C86" s="3" t="s">
        <v>1977</v>
      </c>
      <c r="D86" s="3" t="s">
        <v>2423</v>
      </c>
      <c r="F86" t="str">
        <f t="shared" si="6"/>
        <v>COMPARE_DECFLOAT</v>
      </c>
      <c r="G86" t="s">
        <v>3656</v>
      </c>
      <c r="I86" s="3" t="str">
        <f>IF(_xlfn.XLOOKUP(F86,PgSqlRaw!B:B,PgSqlRaw!E:E,"") = "",_xlfn.XLOOKUP(G86,PgSqlRaw!B:B,PgSqlRaw!E:E,""),_xlfn.XLOOKUP(F86,PgSqlRaw!B:B,PgSqlRaw!E:E,""))</f>
        <v/>
      </c>
      <c r="J86" t="str">
        <f>IF(_xlfn.XLOOKUP(F86,PgSqlRaw!B:B,PgSqlRaw!F:F,"") = "", _xlfn.XLOOKUP(G86,PgSqlRaw!B:B,PgSqlRaw!F:F,""), _xlfn.XLOOKUP(F86,PgSqlRaw!B:B,PgSqlRaw!F:F,""))</f>
        <v/>
      </c>
      <c r="K86" t="str">
        <f t="shared" si="7"/>
        <v>BARE_LABEL</v>
      </c>
      <c r="L86" t="str">
        <f>IF(_xlfn.XLOOKUP(F86,PhpReserved!A:A,PhpReserved!B:B,"") = "", _xlfn.XLOOKUP(G86,PhpReserved!A:A,PhpReserved!B:B,""),_xlfn.XLOOKUP(F86,PhpReserved!A:A,PhpReserved!B:B,""))</f>
        <v/>
      </c>
      <c r="M86" t="str">
        <f>IF(_xlfn.XLOOKUP(F86,PhpFunctions!A:A,PhpFunctions!B:B,"") =  "", _xlfn.XLOOKUP(G86,PhpFunctions!A:A,PhpFunctions!B:B,""), _xlfn.XLOOKUP(F86,PhpFunctions!A:A,PhpFunctions!B:B,""))</f>
        <v/>
      </c>
      <c r="N86" t="str">
        <f>IF(_xlfn.XLOOKUP(F86,PhpParamFunc!A:A,PhpParamFunc!B:B,"") = "", _xlfn.XLOOKUP(G86,PhpParamFunc!A:A,PhpParamFunc!B:B,""), _xlfn.XLOOKUP(F86,PhpParamFunc!A:A,PhpParamFunc!B:B,""))</f>
        <v/>
      </c>
      <c r="O86" t="str">
        <f>IF(_xlfn.XLOOKUP(F86,PhpAggrFunc!A:A,PhpAggrFunc!B:B,"") = "", _xlfn.XLOOKUP(G86,PhpAggrFunc!A:A,PhpAggrFunc!B:B,""), _xlfn.XLOOKUP(F86,PhpAggrFunc!A:A,PhpAggrFunc!B:B,""))</f>
        <v/>
      </c>
      <c r="P86" t="str">
        <f t="shared" si="8"/>
        <v>UNRESERVED</v>
      </c>
      <c r="Q86" t="str">
        <f t="shared" si="9"/>
        <v>static const String^ TOK_COMPARE_DECFLOAT = "COMPARE_DECFLOAT";</v>
      </c>
      <c r="R86" t="str">
        <f t="shared" si="10"/>
        <v>static const int TOK_COMPARE_DECFLOAT = 664;</v>
      </c>
      <c r="S86" t="str">
        <f t="shared" si="11"/>
        <v>// _Tokens-&gt;Add((String^)GramVals::TOK_COMPARE_DECFLOAT, gcnew Token(GramKeys::TOK_COMPARE_DECFLOAT, EnumTokenCategory::UNRESERVED,BARE_LABEL, i++));</v>
      </c>
    </row>
    <row r="87" spans="1:19" x14ac:dyDescent="0.25">
      <c r="A87" s="3" t="s">
        <v>1465</v>
      </c>
      <c r="B87" s="5" t="s">
        <v>1054</v>
      </c>
      <c r="C87" s="3" t="s">
        <v>1978</v>
      </c>
      <c r="D87" s="3" t="s">
        <v>2423</v>
      </c>
      <c r="F87" t="str">
        <f t="shared" si="6"/>
        <v>COMPUTED</v>
      </c>
      <c r="G87" t="s">
        <v>3657</v>
      </c>
      <c r="I87" s="3" t="str">
        <f>IF(_xlfn.XLOOKUP(F87,PgSqlRaw!B:B,PgSqlRaw!E:E,"") = "",_xlfn.XLOOKUP(G87,PgSqlRaw!B:B,PgSqlRaw!E:E,""),_xlfn.XLOOKUP(F87,PgSqlRaw!B:B,PgSqlRaw!E:E,""))</f>
        <v/>
      </c>
      <c r="J87" t="str">
        <f>IF(_xlfn.XLOOKUP(F87,PgSqlRaw!B:B,PgSqlRaw!F:F,"") = "", _xlfn.XLOOKUP(G87,PgSqlRaw!B:B,PgSqlRaw!F:F,""), _xlfn.XLOOKUP(F87,PgSqlRaw!B:B,PgSqlRaw!F:F,""))</f>
        <v/>
      </c>
      <c r="K87" t="str">
        <f t="shared" si="7"/>
        <v>BARE_LABEL</v>
      </c>
      <c r="L87" t="str">
        <f>IF(_xlfn.XLOOKUP(F87,PhpReserved!A:A,PhpReserved!B:B,"") = "", _xlfn.XLOOKUP(G87,PhpReserved!A:A,PhpReserved!B:B,""),_xlfn.XLOOKUP(F87,PhpReserved!A:A,PhpReserved!B:B,""))</f>
        <v/>
      </c>
      <c r="M87" t="str">
        <f>IF(_xlfn.XLOOKUP(F87,PhpFunctions!A:A,PhpFunctions!B:B,"") =  "", _xlfn.XLOOKUP(G87,PhpFunctions!A:A,PhpFunctions!B:B,""), _xlfn.XLOOKUP(F87,PhpFunctions!A:A,PhpFunctions!B:B,""))</f>
        <v/>
      </c>
      <c r="N87" t="str">
        <f>IF(_xlfn.XLOOKUP(F87,PhpParamFunc!A:A,PhpParamFunc!B:B,"") = "", _xlfn.XLOOKUP(G87,PhpParamFunc!A:A,PhpParamFunc!B:B,""), _xlfn.XLOOKUP(F87,PhpParamFunc!A:A,PhpParamFunc!B:B,""))</f>
        <v/>
      </c>
      <c r="O87" t="str">
        <f>IF(_xlfn.XLOOKUP(F87,PhpAggrFunc!A:A,PhpAggrFunc!B:B,"") = "", _xlfn.XLOOKUP(G87,PhpAggrFunc!A:A,PhpAggrFunc!B:B,""), _xlfn.XLOOKUP(F87,PhpAggrFunc!A:A,PhpAggrFunc!B:B,""))</f>
        <v/>
      </c>
      <c r="P87" t="str">
        <f t="shared" si="8"/>
        <v>UNRESERVED</v>
      </c>
      <c r="Q87" t="str">
        <f t="shared" si="9"/>
        <v>static const String^ TOK_COMPUTED = "COMPUTED";</v>
      </c>
      <c r="R87" t="str">
        <f t="shared" si="10"/>
        <v>static const int TOK_COMPUTED = 280;</v>
      </c>
      <c r="S87" t="str">
        <f t="shared" si="11"/>
        <v>// _Tokens-&gt;Add((String^)GramVals::TOK_COMPUTED, gcnew Token(GramKeys::TOK_COMPUTED, EnumTokenCategory::UNRESERVED,BARE_LABEL, i++));</v>
      </c>
    </row>
    <row r="88" spans="1:19" x14ac:dyDescent="0.25">
      <c r="A88" s="3" t="s">
        <v>1466</v>
      </c>
      <c r="B88" s="5" t="s">
        <v>1055</v>
      </c>
      <c r="C88" s="3" t="s">
        <v>1979</v>
      </c>
      <c r="D88" s="3" t="s">
        <v>881</v>
      </c>
      <c r="E88" s="3"/>
      <c r="F88" t="str">
        <f t="shared" si="6"/>
        <v>CONCATENATE</v>
      </c>
      <c r="G88" t="s">
        <v>3658</v>
      </c>
      <c r="I88" s="3" t="str">
        <f>IF(_xlfn.XLOOKUP(F88,PgSqlRaw!B:B,PgSqlRaw!E:E,"") = "",_xlfn.XLOOKUP(G88,PgSqlRaw!B:B,PgSqlRaw!E:E,""),_xlfn.XLOOKUP(F88,PgSqlRaw!B:B,PgSqlRaw!E:E,""))</f>
        <v/>
      </c>
      <c r="J88" t="str">
        <f>IF(_xlfn.XLOOKUP(F88,PgSqlRaw!B:B,PgSqlRaw!F:F,"") = "", _xlfn.XLOOKUP(G88,PgSqlRaw!B:B,PgSqlRaw!F:F,""), _xlfn.XLOOKUP(F88,PgSqlRaw!B:B,PgSqlRaw!F:F,""))</f>
        <v/>
      </c>
      <c r="K88" t="str">
        <f t="shared" si="7"/>
        <v>BARE_LABEL</v>
      </c>
      <c r="L88" t="str">
        <f>IF(_xlfn.XLOOKUP(F88,PhpReserved!A:A,PhpReserved!B:B,"") = "", _xlfn.XLOOKUP(G88,PhpReserved!A:A,PhpReserved!B:B,""),_xlfn.XLOOKUP(F88,PhpReserved!A:A,PhpReserved!B:B,""))</f>
        <v/>
      </c>
      <c r="M88" t="str">
        <f>IF(_xlfn.XLOOKUP(F88,PhpFunctions!A:A,PhpFunctions!B:B,"") =  "", _xlfn.XLOOKUP(G88,PhpFunctions!A:A,PhpFunctions!B:B,""), _xlfn.XLOOKUP(F88,PhpFunctions!A:A,PhpFunctions!B:B,""))</f>
        <v/>
      </c>
      <c r="N88" t="str">
        <f>IF(_xlfn.XLOOKUP(F88,PhpParamFunc!A:A,PhpParamFunc!B:B,"") = "", _xlfn.XLOOKUP(G88,PhpParamFunc!A:A,PhpParamFunc!B:B,""), _xlfn.XLOOKUP(F88,PhpParamFunc!A:A,PhpParamFunc!B:B,""))</f>
        <v/>
      </c>
      <c r="O88" t="str">
        <f>IF(_xlfn.XLOOKUP(F88,PhpAggrFunc!A:A,PhpAggrFunc!B:B,"") = "", _xlfn.XLOOKUP(G88,PhpAggrFunc!A:A,PhpAggrFunc!B:B,""), _xlfn.XLOOKUP(F88,PhpAggrFunc!A:A,PhpAggrFunc!B:B,""))</f>
        <v/>
      </c>
      <c r="P88" t="str">
        <f t="shared" si="8"/>
        <v>UNRESERVED</v>
      </c>
      <c r="Q88" t="str">
        <f t="shared" si="9"/>
        <v>static const String^ TOK_CONCATENATE = "||";</v>
      </c>
      <c r="R88" t="str">
        <f t="shared" si="10"/>
        <v>static const int TOK_CONCATENATE = 281;</v>
      </c>
      <c r="S88" t="str">
        <f t="shared" si="11"/>
        <v>// _Tokens-&gt;Add((String^)GramVals::TOK_CONCATENATE, gcnew Token(GramKeys::TOK_CONCATENATE, EnumTokenCategory::UNRESERVED,BARE_LABEL, i++));</v>
      </c>
    </row>
    <row r="89" spans="1:19" x14ac:dyDescent="0.25">
      <c r="A89" s="3" t="s">
        <v>1467</v>
      </c>
      <c r="B89" s="5" t="s">
        <v>1056</v>
      </c>
      <c r="C89" s="3" t="s">
        <v>1980</v>
      </c>
      <c r="D89" s="3" t="s">
        <v>2423</v>
      </c>
      <c r="F89" t="str">
        <f t="shared" si="6"/>
        <v>CONDITIONAL</v>
      </c>
      <c r="G89" t="s">
        <v>3659</v>
      </c>
      <c r="I89" s="3" t="str">
        <f>IF(_xlfn.XLOOKUP(F89,PgSqlRaw!B:B,PgSqlRaw!E:E,"") = "",_xlfn.XLOOKUP(G89,PgSqlRaw!B:B,PgSqlRaw!E:E,""),_xlfn.XLOOKUP(F89,PgSqlRaw!B:B,PgSqlRaw!E:E,""))</f>
        <v/>
      </c>
      <c r="J89" t="str">
        <f>IF(_xlfn.XLOOKUP(F89,PgSqlRaw!B:B,PgSqlRaw!F:F,"") = "", _xlfn.XLOOKUP(G89,PgSqlRaw!B:B,PgSqlRaw!F:F,""), _xlfn.XLOOKUP(F89,PgSqlRaw!B:B,PgSqlRaw!F:F,""))</f>
        <v/>
      </c>
      <c r="K89" t="str">
        <f t="shared" si="7"/>
        <v>BARE_LABEL</v>
      </c>
      <c r="L89" t="str">
        <f>IF(_xlfn.XLOOKUP(F89,PhpReserved!A:A,PhpReserved!B:B,"") = "", _xlfn.XLOOKUP(G89,PhpReserved!A:A,PhpReserved!B:B,""),_xlfn.XLOOKUP(F89,PhpReserved!A:A,PhpReserved!B:B,""))</f>
        <v/>
      </c>
      <c r="M89" t="str">
        <f>IF(_xlfn.XLOOKUP(F89,PhpFunctions!A:A,PhpFunctions!B:B,"") =  "", _xlfn.XLOOKUP(G89,PhpFunctions!A:A,PhpFunctions!B:B,""), _xlfn.XLOOKUP(F89,PhpFunctions!A:A,PhpFunctions!B:B,""))</f>
        <v/>
      </c>
      <c r="N89" t="str">
        <f>IF(_xlfn.XLOOKUP(F89,PhpParamFunc!A:A,PhpParamFunc!B:B,"") = "", _xlfn.XLOOKUP(G89,PhpParamFunc!A:A,PhpParamFunc!B:B,""), _xlfn.XLOOKUP(F89,PhpParamFunc!A:A,PhpParamFunc!B:B,""))</f>
        <v/>
      </c>
      <c r="O89" t="str">
        <f>IF(_xlfn.XLOOKUP(F89,PhpAggrFunc!A:A,PhpAggrFunc!B:B,"") = "", _xlfn.XLOOKUP(G89,PhpAggrFunc!A:A,PhpAggrFunc!B:B,""), _xlfn.XLOOKUP(F89,PhpAggrFunc!A:A,PhpAggrFunc!B:B,""))</f>
        <v/>
      </c>
      <c r="P89" t="str">
        <f t="shared" si="8"/>
        <v>UNRESERVED</v>
      </c>
      <c r="Q89" t="str">
        <f t="shared" si="9"/>
        <v>static const String^ TOK_CONDITIONAL = "CONDITIONAL";</v>
      </c>
      <c r="R89" t="str">
        <f t="shared" si="10"/>
        <v>static const int TOK_CONDITIONAL = 282;</v>
      </c>
      <c r="S89" t="str">
        <f t="shared" si="11"/>
        <v>// _Tokens-&gt;Add((String^)GramVals::TOK_CONDITIONAL, gcnew Token(GramKeys::TOK_CONDITIONAL, EnumTokenCategory::UNRESERVED,BARE_LABEL, i++));</v>
      </c>
    </row>
    <row r="90" spans="1:19" x14ac:dyDescent="0.25">
      <c r="A90" s="3" t="s">
        <v>1468</v>
      </c>
      <c r="B90" s="5" t="s">
        <v>1057</v>
      </c>
      <c r="C90" s="3" t="s">
        <v>1981</v>
      </c>
      <c r="D90" s="3" t="s">
        <v>881</v>
      </c>
      <c r="F90" t="str">
        <f t="shared" si="6"/>
        <v>CONNECT</v>
      </c>
      <c r="G90" t="s">
        <v>3660</v>
      </c>
      <c r="I90" s="3" t="str">
        <f>IF(_xlfn.XLOOKUP(F90,PgSqlRaw!B:B,PgSqlRaw!E:E,"") = "",_xlfn.XLOOKUP(G90,PgSqlRaw!B:B,PgSqlRaw!E:E,""),_xlfn.XLOOKUP(F90,PgSqlRaw!B:B,PgSqlRaw!E:E,""))</f>
        <v/>
      </c>
      <c r="J90" t="str">
        <f>IF(_xlfn.XLOOKUP(F90,PgSqlRaw!B:B,PgSqlRaw!F:F,"") = "", _xlfn.XLOOKUP(G90,PgSqlRaw!B:B,PgSqlRaw!F:F,""), _xlfn.XLOOKUP(F90,PgSqlRaw!B:B,PgSqlRaw!F:F,""))</f>
        <v/>
      </c>
      <c r="K90" t="str">
        <f t="shared" si="7"/>
        <v>BARE_LABEL</v>
      </c>
      <c r="L90" t="str">
        <f>IF(_xlfn.XLOOKUP(F90,PhpReserved!A:A,PhpReserved!B:B,"") = "", _xlfn.XLOOKUP(G90,PhpReserved!A:A,PhpReserved!B:B,""),_xlfn.XLOOKUP(F90,PhpReserved!A:A,PhpReserved!B:B,""))</f>
        <v/>
      </c>
      <c r="M90" t="str">
        <f>IF(_xlfn.XLOOKUP(F90,PhpFunctions!A:A,PhpFunctions!B:B,"") =  "", _xlfn.XLOOKUP(G90,PhpFunctions!A:A,PhpFunctions!B:B,""), _xlfn.XLOOKUP(F90,PhpFunctions!A:A,PhpFunctions!B:B,""))</f>
        <v/>
      </c>
      <c r="N90" t="str">
        <f>IF(_xlfn.XLOOKUP(F90,PhpParamFunc!A:A,PhpParamFunc!B:B,"") = "", _xlfn.XLOOKUP(G90,PhpParamFunc!A:A,PhpParamFunc!B:B,""), _xlfn.XLOOKUP(F90,PhpParamFunc!A:A,PhpParamFunc!B:B,""))</f>
        <v/>
      </c>
      <c r="O90" t="str">
        <f>IF(_xlfn.XLOOKUP(F90,PhpAggrFunc!A:A,PhpAggrFunc!B:B,"") = "", _xlfn.XLOOKUP(G90,PhpAggrFunc!A:A,PhpAggrFunc!B:B,""), _xlfn.XLOOKUP(F90,PhpAggrFunc!A:A,PhpAggrFunc!B:B,""))</f>
        <v/>
      </c>
      <c r="P90" t="str">
        <f t="shared" si="8"/>
        <v>UNRESERVED</v>
      </c>
      <c r="Q90" t="str">
        <f t="shared" si="9"/>
        <v>static const String^ TOK_CONNECT = "CONNECT";</v>
      </c>
      <c r="R90" t="str">
        <f t="shared" si="10"/>
        <v>static const int TOK_CONNECT = 540;</v>
      </c>
      <c r="S90" t="str">
        <f t="shared" si="11"/>
        <v>// _Tokens-&gt;Add((String^)GramVals::TOK_CONNECT, gcnew Token(GramKeys::TOK_CONNECT, EnumTokenCategory::UNRESERVED,BARE_LABEL, i++));</v>
      </c>
    </row>
    <row r="91" spans="1:19" x14ac:dyDescent="0.25">
      <c r="A91" s="3" t="s">
        <v>1469</v>
      </c>
      <c r="B91" s="5">
        <v>665</v>
      </c>
      <c r="C91" s="3" t="s">
        <v>1982</v>
      </c>
      <c r="D91" s="3" t="s">
        <v>2423</v>
      </c>
      <c r="F91" t="str">
        <f t="shared" si="6"/>
        <v>CONNECTIONS</v>
      </c>
      <c r="G91" t="s">
        <v>3661</v>
      </c>
      <c r="I91" s="3" t="str">
        <f>IF(_xlfn.XLOOKUP(F91,PgSqlRaw!B:B,PgSqlRaw!E:E,"") = "",_xlfn.XLOOKUP(G91,PgSqlRaw!B:B,PgSqlRaw!E:E,""),_xlfn.XLOOKUP(F91,PgSqlRaw!B:B,PgSqlRaw!E:E,""))</f>
        <v/>
      </c>
      <c r="J91" t="str">
        <f>IF(_xlfn.XLOOKUP(F91,PgSqlRaw!B:B,PgSqlRaw!F:F,"") = "", _xlfn.XLOOKUP(G91,PgSqlRaw!B:B,PgSqlRaw!F:F,""), _xlfn.XLOOKUP(F91,PgSqlRaw!B:B,PgSqlRaw!F:F,""))</f>
        <v/>
      </c>
      <c r="K91" t="str">
        <f t="shared" si="7"/>
        <v>BARE_LABEL</v>
      </c>
      <c r="L91" t="str">
        <f>IF(_xlfn.XLOOKUP(F91,PhpReserved!A:A,PhpReserved!B:B,"") = "", _xlfn.XLOOKUP(G91,PhpReserved!A:A,PhpReserved!B:B,""),_xlfn.XLOOKUP(F91,PhpReserved!A:A,PhpReserved!B:B,""))</f>
        <v/>
      </c>
      <c r="M91" t="str">
        <f>IF(_xlfn.XLOOKUP(F91,PhpFunctions!A:A,PhpFunctions!B:B,"") =  "", _xlfn.XLOOKUP(G91,PhpFunctions!A:A,PhpFunctions!B:B,""), _xlfn.XLOOKUP(F91,PhpFunctions!A:A,PhpFunctions!B:B,""))</f>
        <v/>
      </c>
      <c r="N91" t="str">
        <f>IF(_xlfn.XLOOKUP(F91,PhpParamFunc!A:A,PhpParamFunc!B:B,"") = "", _xlfn.XLOOKUP(G91,PhpParamFunc!A:A,PhpParamFunc!B:B,""), _xlfn.XLOOKUP(F91,PhpParamFunc!A:A,PhpParamFunc!B:B,""))</f>
        <v/>
      </c>
      <c r="O91" t="str">
        <f>IF(_xlfn.XLOOKUP(F91,PhpAggrFunc!A:A,PhpAggrFunc!B:B,"") = "", _xlfn.XLOOKUP(G91,PhpAggrFunc!A:A,PhpAggrFunc!B:B,""), _xlfn.XLOOKUP(F91,PhpAggrFunc!A:A,PhpAggrFunc!B:B,""))</f>
        <v/>
      </c>
      <c r="P91" t="str">
        <f t="shared" si="8"/>
        <v>UNRESERVED</v>
      </c>
      <c r="Q91" t="str">
        <f t="shared" si="9"/>
        <v>static const String^ TOK_CONNECTIONS = "CONNECTIONS";</v>
      </c>
      <c r="R91" t="str">
        <f t="shared" si="10"/>
        <v>static const int TOK_CONNECTIONS = 665;</v>
      </c>
      <c r="S91" t="str">
        <f t="shared" si="11"/>
        <v>// _Tokens-&gt;Add((String^)GramVals::TOK_CONNECTIONS, gcnew Token(GramKeys::TOK_CONNECTIONS, EnumTokenCategory::UNRESERVED,BARE_LABEL, i++));</v>
      </c>
    </row>
    <row r="92" spans="1:19" x14ac:dyDescent="0.25">
      <c r="A92" s="3" t="s">
        <v>1470</v>
      </c>
      <c r="B92" s="5">
        <v>666</v>
      </c>
      <c r="C92" s="3" t="s">
        <v>1983</v>
      </c>
      <c r="D92" s="3" t="s">
        <v>2423</v>
      </c>
      <c r="F92" t="str">
        <f t="shared" si="6"/>
        <v>CONSISTENCY</v>
      </c>
      <c r="G92" t="s">
        <v>3662</v>
      </c>
      <c r="I92" s="3" t="str">
        <f>IF(_xlfn.XLOOKUP(F92,PgSqlRaw!B:B,PgSqlRaw!E:E,"") = "",_xlfn.XLOOKUP(G92,PgSqlRaw!B:B,PgSqlRaw!E:E,""),_xlfn.XLOOKUP(F92,PgSqlRaw!B:B,PgSqlRaw!E:E,""))</f>
        <v/>
      </c>
      <c r="J92" t="str">
        <f>IF(_xlfn.XLOOKUP(F92,PgSqlRaw!B:B,PgSqlRaw!F:F,"") = "", _xlfn.XLOOKUP(G92,PgSqlRaw!B:B,PgSqlRaw!F:F,""), _xlfn.XLOOKUP(F92,PgSqlRaw!B:B,PgSqlRaw!F:F,""))</f>
        <v/>
      </c>
      <c r="K92" t="str">
        <f t="shared" si="7"/>
        <v>BARE_LABEL</v>
      </c>
      <c r="L92" t="str">
        <f>IF(_xlfn.XLOOKUP(F92,PhpReserved!A:A,PhpReserved!B:B,"") = "", _xlfn.XLOOKUP(G92,PhpReserved!A:A,PhpReserved!B:B,""),_xlfn.XLOOKUP(F92,PhpReserved!A:A,PhpReserved!B:B,""))</f>
        <v/>
      </c>
      <c r="M92" t="str">
        <f>IF(_xlfn.XLOOKUP(F92,PhpFunctions!A:A,PhpFunctions!B:B,"") =  "", _xlfn.XLOOKUP(G92,PhpFunctions!A:A,PhpFunctions!B:B,""), _xlfn.XLOOKUP(F92,PhpFunctions!A:A,PhpFunctions!B:B,""))</f>
        <v/>
      </c>
      <c r="N92" t="str">
        <f>IF(_xlfn.XLOOKUP(F92,PhpParamFunc!A:A,PhpParamFunc!B:B,"") = "", _xlfn.XLOOKUP(G92,PhpParamFunc!A:A,PhpParamFunc!B:B,""), _xlfn.XLOOKUP(F92,PhpParamFunc!A:A,PhpParamFunc!B:B,""))</f>
        <v/>
      </c>
      <c r="O92" t="str">
        <f>IF(_xlfn.XLOOKUP(F92,PhpAggrFunc!A:A,PhpAggrFunc!B:B,"") = "", _xlfn.XLOOKUP(G92,PhpAggrFunc!A:A,PhpAggrFunc!B:B,""), _xlfn.XLOOKUP(F92,PhpAggrFunc!A:A,PhpAggrFunc!B:B,""))</f>
        <v/>
      </c>
      <c r="P92" t="str">
        <f t="shared" si="8"/>
        <v>UNRESERVED</v>
      </c>
      <c r="Q92" t="str">
        <f t="shared" si="9"/>
        <v>static const String^ TOK_CONSISTENCY = "CONSISTENCY";</v>
      </c>
      <c r="R92" t="str">
        <f t="shared" si="10"/>
        <v>static const int TOK_CONSISTENCY = 666;</v>
      </c>
      <c r="S92" t="str">
        <f t="shared" si="11"/>
        <v>// _Tokens-&gt;Add((String^)GramVals::TOK_CONSISTENCY, gcnew Token(GramKeys::TOK_CONSISTENCY, EnumTokenCategory::UNRESERVED,BARE_LABEL, i++));</v>
      </c>
    </row>
    <row r="93" spans="1:19" x14ac:dyDescent="0.25">
      <c r="A93" s="3" t="s">
        <v>1471</v>
      </c>
      <c r="B93" s="5" t="s">
        <v>1058</v>
      </c>
      <c r="C93" s="3" t="s">
        <v>1984</v>
      </c>
      <c r="D93" s="3" t="s">
        <v>881</v>
      </c>
      <c r="F93" t="str">
        <f t="shared" si="6"/>
        <v>CONSTRAINT</v>
      </c>
      <c r="G93" t="s">
        <v>3112</v>
      </c>
      <c r="I93" s="3" t="str">
        <f>IF(_xlfn.XLOOKUP(F93,PgSqlRaw!B:B,PgSqlRaw!E:E,"") = "",_xlfn.XLOOKUP(G93,PgSqlRaw!B:B,PgSqlRaw!E:E,""),_xlfn.XLOOKUP(F93,PgSqlRaw!B:B,PgSqlRaw!E:E,""))</f>
        <v>RESERVED</v>
      </c>
      <c r="J93" t="str">
        <f>IF(_xlfn.XLOOKUP(F93,PgSqlRaw!B:B,PgSqlRaw!F:F,"") = "", _xlfn.XLOOKUP(G93,PgSqlRaw!B:B,PgSqlRaw!F:F,""), _xlfn.XLOOKUP(F93,PgSqlRaw!B:B,PgSqlRaw!F:F,""))</f>
        <v>BARE_LABEL</v>
      </c>
      <c r="K93" t="str">
        <f t="shared" si="7"/>
        <v>BARE_LABEL</v>
      </c>
      <c r="L93" t="str">
        <f>IF(_xlfn.XLOOKUP(F93,PhpReserved!A:A,PhpReserved!B:B,"") = "", _xlfn.XLOOKUP(G93,PhpReserved!A:A,PhpReserved!B:B,""),_xlfn.XLOOKUP(F93,PhpReserved!A:A,PhpReserved!B:B,""))</f>
        <v>RESERVED</v>
      </c>
      <c r="M93" t="str">
        <f>IF(_xlfn.XLOOKUP(F93,PhpFunctions!A:A,PhpFunctions!B:B,"") =  "", _xlfn.XLOOKUP(G93,PhpFunctions!A:A,PhpFunctions!B:B,""), _xlfn.XLOOKUP(F93,PhpFunctions!A:A,PhpFunctions!B:B,""))</f>
        <v/>
      </c>
      <c r="N93" t="str">
        <f>IF(_xlfn.XLOOKUP(F93,PhpParamFunc!A:A,PhpParamFunc!B:B,"") = "", _xlfn.XLOOKUP(G93,PhpParamFunc!A:A,PhpParamFunc!B:B,""), _xlfn.XLOOKUP(F93,PhpParamFunc!A:A,PhpParamFunc!B:B,""))</f>
        <v/>
      </c>
      <c r="O93" t="str">
        <f>IF(_xlfn.XLOOKUP(F93,PhpAggrFunc!A:A,PhpAggrFunc!B:B,"") = "", _xlfn.XLOOKUP(G93,PhpAggrFunc!A:A,PhpAggrFunc!B:B,""), _xlfn.XLOOKUP(F93,PhpAggrFunc!A:A,PhpAggrFunc!B:B,""))</f>
        <v/>
      </c>
      <c r="P93" t="str">
        <f t="shared" si="8"/>
        <v>RESERVED</v>
      </c>
      <c r="Q93" t="str">
        <f t="shared" si="9"/>
        <v>static const String^ TOK_CONSTRAINT = "CONSTRAINT";</v>
      </c>
      <c r="R93" t="str">
        <f t="shared" si="10"/>
        <v>static const int TOK_CONSTRAINT = 283;</v>
      </c>
      <c r="S93" t="str">
        <f t="shared" si="11"/>
        <v>_Tokens-&gt;Add((String^)GramVals::TOK_CONSTRAINT, gcnew Token(GramKeys::TOK_CONSTRAINT, EnumTokenCategory::RESERVED,BARE_LABEL, i++));</v>
      </c>
    </row>
    <row r="94" spans="1:19" x14ac:dyDescent="0.25">
      <c r="A94" s="3" t="s">
        <v>1472</v>
      </c>
      <c r="B94" s="5" t="s">
        <v>1059</v>
      </c>
      <c r="C94" s="3" t="s">
        <v>1985</v>
      </c>
      <c r="D94" s="3" t="s">
        <v>2423</v>
      </c>
      <c r="F94" t="str">
        <f t="shared" si="6"/>
        <v>CONTAINING</v>
      </c>
      <c r="G94" t="s">
        <v>3663</v>
      </c>
      <c r="I94" s="3" t="str">
        <f>IF(_xlfn.XLOOKUP(F94,PgSqlRaw!B:B,PgSqlRaw!E:E,"") = "",_xlfn.XLOOKUP(G94,PgSqlRaw!B:B,PgSqlRaw!E:E,""),_xlfn.XLOOKUP(F94,PgSqlRaw!B:B,PgSqlRaw!E:E,""))</f>
        <v/>
      </c>
      <c r="J94" t="str">
        <f>IF(_xlfn.XLOOKUP(F94,PgSqlRaw!B:B,PgSqlRaw!F:F,"") = "", _xlfn.XLOOKUP(G94,PgSqlRaw!B:B,PgSqlRaw!F:F,""), _xlfn.XLOOKUP(F94,PgSqlRaw!B:B,PgSqlRaw!F:F,""))</f>
        <v/>
      </c>
      <c r="K94" t="str">
        <f t="shared" si="7"/>
        <v>BARE_LABEL</v>
      </c>
      <c r="L94" t="str">
        <f>IF(_xlfn.XLOOKUP(F94,PhpReserved!A:A,PhpReserved!B:B,"") = "", _xlfn.XLOOKUP(G94,PhpReserved!A:A,PhpReserved!B:B,""),_xlfn.XLOOKUP(F94,PhpReserved!A:A,PhpReserved!B:B,""))</f>
        <v/>
      </c>
      <c r="M94" t="str">
        <f>IF(_xlfn.XLOOKUP(F94,PhpFunctions!A:A,PhpFunctions!B:B,"") =  "", _xlfn.XLOOKUP(G94,PhpFunctions!A:A,PhpFunctions!B:B,""), _xlfn.XLOOKUP(F94,PhpFunctions!A:A,PhpFunctions!B:B,""))</f>
        <v/>
      </c>
      <c r="N94" t="str">
        <f>IF(_xlfn.XLOOKUP(F94,PhpParamFunc!A:A,PhpParamFunc!B:B,"") = "", _xlfn.XLOOKUP(G94,PhpParamFunc!A:A,PhpParamFunc!B:B,""), _xlfn.XLOOKUP(F94,PhpParamFunc!A:A,PhpParamFunc!B:B,""))</f>
        <v/>
      </c>
      <c r="O94" t="str">
        <f>IF(_xlfn.XLOOKUP(F94,PhpAggrFunc!A:A,PhpAggrFunc!B:B,"") = "", _xlfn.XLOOKUP(G94,PhpAggrFunc!A:A,PhpAggrFunc!B:B,""), _xlfn.XLOOKUP(F94,PhpAggrFunc!A:A,PhpAggrFunc!B:B,""))</f>
        <v/>
      </c>
      <c r="P94" t="str">
        <f t="shared" si="8"/>
        <v>UNRESERVED</v>
      </c>
      <c r="Q94" t="str">
        <f t="shared" si="9"/>
        <v>static const String^ TOK_CONTAINING = "CONTAINING";</v>
      </c>
      <c r="R94" t="str">
        <f t="shared" si="10"/>
        <v>static const int TOK_CONTAINING = 284;</v>
      </c>
      <c r="S94" t="str">
        <f t="shared" si="11"/>
        <v>// _Tokens-&gt;Add((String^)GramVals::TOK_CONTAINING, gcnew Token(GramKeys::TOK_CONTAINING, EnumTokenCategory::UNRESERVED,BARE_LABEL, i++));</v>
      </c>
    </row>
    <row r="95" spans="1:19" x14ac:dyDescent="0.25">
      <c r="A95" s="3" t="s">
        <v>1473</v>
      </c>
      <c r="B95" s="5" t="s">
        <v>1060</v>
      </c>
      <c r="C95" s="3" t="s">
        <v>1986</v>
      </c>
      <c r="D95" s="3" t="s">
        <v>2423</v>
      </c>
      <c r="F95" t="str">
        <f t="shared" si="6"/>
        <v>CONTINUE</v>
      </c>
      <c r="G95" t="s">
        <v>3113</v>
      </c>
      <c r="I95" s="3" t="str">
        <f>IF(_xlfn.XLOOKUP(F95,PgSqlRaw!B:B,PgSqlRaw!E:E,"") = "",_xlfn.XLOOKUP(G95,PgSqlRaw!B:B,PgSqlRaw!E:E,""),_xlfn.XLOOKUP(F95,PgSqlRaw!B:B,PgSqlRaw!E:E,""))</f>
        <v/>
      </c>
      <c r="J95" t="str">
        <f>IF(_xlfn.XLOOKUP(F95,PgSqlRaw!B:B,PgSqlRaw!F:F,"") = "", _xlfn.XLOOKUP(G95,PgSqlRaw!B:B,PgSqlRaw!F:F,""), _xlfn.XLOOKUP(F95,PgSqlRaw!B:B,PgSqlRaw!F:F,""))</f>
        <v>BARE_LABEL</v>
      </c>
      <c r="K95" t="str">
        <f t="shared" si="7"/>
        <v>BARE_LABEL</v>
      </c>
      <c r="L95" t="str">
        <f>IF(_xlfn.XLOOKUP(F95,PhpReserved!A:A,PhpReserved!B:B,"") = "", _xlfn.XLOOKUP(G95,PhpReserved!A:A,PhpReserved!B:B,""),_xlfn.XLOOKUP(F95,PhpReserved!A:A,PhpReserved!B:B,""))</f>
        <v>RESERVED</v>
      </c>
      <c r="M95" t="str">
        <f>IF(_xlfn.XLOOKUP(F95,PhpFunctions!A:A,PhpFunctions!B:B,"") =  "", _xlfn.XLOOKUP(G95,PhpFunctions!A:A,PhpFunctions!B:B,""), _xlfn.XLOOKUP(F95,PhpFunctions!A:A,PhpFunctions!B:B,""))</f>
        <v/>
      </c>
      <c r="N95" t="str">
        <f>IF(_xlfn.XLOOKUP(F95,PhpParamFunc!A:A,PhpParamFunc!B:B,"") = "", _xlfn.XLOOKUP(G95,PhpParamFunc!A:A,PhpParamFunc!B:B,""), _xlfn.XLOOKUP(F95,PhpParamFunc!A:A,PhpParamFunc!B:B,""))</f>
        <v/>
      </c>
      <c r="O95" t="str">
        <f>IF(_xlfn.XLOOKUP(F95,PhpAggrFunc!A:A,PhpAggrFunc!B:B,"") = "", _xlfn.XLOOKUP(G95,PhpAggrFunc!A:A,PhpAggrFunc!B:B,""), _xlfn.XLOOKUP(F95,PhpAggrFunc!A:A,PhpAggrFunc!B:B,""))</f>
        <v/>
      </c>
      <c r="P95" t="str">
        <f t="shared" si="8"/>
        <v>RESERVED</v>
      </c>
      <c r="Q95" t="str">
        <f t="shared" si="9"/>
        <v>static const String^ TOK_CONTINUE = "CONTINUE";</v>
      </c>
      <c r="R95" t="str">
        <f t="shared" si="10"/>
        <v>static const int TOK_CONTINUE = 608;</v>
      </c>
      <c r="S95" t="str">
        <f t="shared" si="11"/>
        <v>_Tokens-&gt;Add((String^)GramVals::TOK_CONTINUE, gcnew Token(GramKeys::TOK_CONTINUE, EnumTokenCategory::RESERVED,BARE_LABEL, i++));</v>
      </c>
    </row>
    <row r="96" spans="1:19" x14ac:dyDescent="0.25">
      <c r="A96" s="3" t="s">
        <v>1474</v>
      </c>
      <c r="B96" s="5">
        <v>667</v>
      </c>
      <c r="C96" s="3" t="s">
        <v>1987</v>
      </c>
      <c r="D96" s="3" t="s">
        <v>881</v>
      </c>
      <c r="F96" t="str">
        <f t="shared" si="6"/>
        <v>CORR</v>
      </c>
      <c r="G96" t="s">
        <v>3664</v>
      </c>
      <c r="I96" s="3" t="str">
        <f>IF(_xlfn.XLOOKUP(F96,PgSqlRaw!B:B,PgSqlRaw!E:E,"") = "",_xlfn.XLOOKUP(G96,PgSqlRaw!B:B,PgSqlRaw!E:E,""),_xlfn.XLOOKUP(F96,PgSqlRaw!B:B,PgSqlRaw!E:E,""))</f>
        <v/>
      </c>
      <c r="J96" t="str">
        <f>IF(_xlfn.XLOOKUP(F96,PgSqlRaw!B:B,PgSqlRaw!F:F,"") = "", _xlfn.XLOOKUP(G96,PgSqlRaw!B:B,PgSqlRaw!F:F,""), _xlfn.XLOOKUP(F96,PgSqlRaw!B:B,PgSqlRaw!F:F,""))</f>
        <v/>
      </c>
      <c r="K96" t="str">
        <f t="shared" si="7"/>
        <v>BARE_LABEL</v>
      </c>
      <c r="L96" t="str">
        <f>IF(_xlfn.XLOOKUP(F96,PhpReserved!A:A,PhpReserved!B:B,"") = "", _xlfn.XLOOKUP(G96,PhpReserved!A:A,PhpReserved!B:B,""),_xlfn.XLOOKUP(F96,PhpReserved!A:A,PhpReserved!B:B,""))</f>
        <v/>
      </c>
      <c r="M96" t="str">
        <f>IF(_xlfn.XLOOKUP(F96,PhpFunctions!A:A,PhpFunctions!B:B,"") =  "", _xlfn.XLOOKUP(G96,PhpFunctions!A:A,PhpFunctions!B:B,""), _xlfn.XLOOKUP(F96,PhpFunctions!A:A,PhpFunctions!B:B,""))</f>
        <v/>
      </c>
      <c r="N96" t="str">
        <f>IF(_xlfn.XLOOKUP(F96,PhpParamFunc!A:A,PhpParamFunc!B:B,"") = "", _xlfn.XLOOKUP(G96,PhpParamFunc!A:A,PhpParamFunc!B:B,""), _xlfn.XLOOKUP(F96,PhpParamFunc!A:A,PhpParamFunc!B:B,""))</f>
        <v/>
      </c>
      <c r="O96" t="str">
        <f>IF(_xlfn.XLOOKUP(F96,PhpAggrFunc!A:A,PhpAggrFunc!B:B,"") = "", _xlfn.XLOOKUP(G96,PhpAggrFunc!A:A,PhpAggrFunc!B:B,""), _xlfn.XLOOKUP(F96,PhpAggrFunc!A:A,PhpAggrFunc!B:B,""))</f>
        <v/>
      </c>
      <c r="P96" t="str">
        <f t="shared" si="8"/>
        <v>UNRESERVED</v>
      </c>
      <c r="Q96" t="str">
        <f t="shared" si="9"/>
        <v>static const String^ TOK_CORR = "CORR";</v>
      </c>
      <c r="R96" t="str">
        <f t="shared" si="10"/>
        <v>static const int TOK_CORR = 667;</v>
      </c>
      <c r="S96" t="str">
        <f t="shared" si="11"/>
        <v>// _Tokens-&gt;Add((String^)GramVals::TOK_CORR, gcnew Token(GramKeys::TOK_CORR, EnumTokenCategory::UNRESERVED,BARE_LABEL, i++));</v>
      </c>
    </row>
    <row r="97" spans="1:19" x14ac:dyDescent="0.25">
      <c r="A97" s="3" t="s">
        <v>1475</v>
      </c>
      <c r="B97" s="5" t="s">
        <v>1061</v>
      </c>
      <c r="C97" s="3" t="s">
        <v>1988</v>
      </c>
      <c r="D97" s="3" t="s">
        <v>2423</v>
      </c>
      <c r="F97" t="str">
        <f t="shared" si="6"/>
        <v>COS</v>
      </c>
      <c r="G97" t="s">
        <v>2917</v>
      </c>
      <c r="I97" s="3" t="str">
        <f>IF(_xlfn.XLOOKUP(F97,PgSqlRaw!B:B,PgSqlRaw!E:E,"") = "",_xlfn.XLOOKUP(G97,PgSqlRaw!B:B,PgSqlRaw!E:E,""),_xlfn.XLOOKUP(F97,PgSqlRaw!B:B,PgSqlRaw!E:E,""))</f>
        <v/>
      </c>
      <c r="J97" t="str">
        <f>IF(_xlfn.XLOOKUP(F97,PgSqlRaw!B:B,PgSqlRaw!F:F,"") = "", _xlfn.XLOOKUP(G97,PgSqlRaw!B:B,PgSqlRaw!F:F,""), _xlfn.XLOOKUP(F97,PgSqlRaw!B:B,PgSqlRaw!F:F,""))</f>
        <v/>
      </c>
      <c r="K97" t="str">
        <f t="shared" si="7"/>
        <v>BARE_LABEL</v>
      </c>
      <c r="L97" t="str">
        <f>IF(_xlfn.XLOOKUP(F97,PhpReserved!A:A,PhpReserved!B:B,"") = "", _xlfn.XLOOKUP(G97,PhpReserved!A:A,PhpReserved!B:B,""),_xlfn.XLOOKUP(F97,PhpReserved!A:A,PhpReserved!B:B,""))</f>
        <v>RESERVED</v>
      </c>
      <c r="M97" t="str">
        <f>IF(_xlfn.XLOOKUP(F97,PhpFunctions!A:A,PhpFunctions!B:B,"") =  "", _xlfn.XLOOKUP(G97,PhpFunctions!A:A,PhpFunctions!B:B,""), _xlfn.XLOOKUP(F97,PhpFunctions!A:A,PhpFunctions!B:B,""))</f>
        <v>FUNCTION</v>
      </c>
      <c r="N97" t="str">
        <f>IF(_xlfn.XLOOKUP(F97,PhpParamFunc!A:A,PhpParamFunc!B:B,"") = "", _xlfn.XLOOKUP(G97,PhpParamFunc!A:A,PhpParamFunc!B:B,""), _xlfn.XLOOKUP(F97,PhpParamFunc!A:A,PhpParamFunc!B:B,""))</f>
        <v>PARAM_FUNCTION</v>
      </c>
      <c r="O97" t="str">
        <f>IF(_xlfn.XLOOKUP(F97,PhpAggrFunc!A:A,PhpAggrFunc!B:B,"") = "", _xlfn.XLOOKUP(G97,PhpAggrFunc!A:A,PhpAggrFunc!B:B,""), _xlfn.XLOOKUP(F97,PhpAggrFunc!A:A,PhpAggrFunc!B:B,""))</f>
        <v/>
      </c>
      <c r="P97" t="str">
        <f t="shared" si="8"/>
        <v>PARAM_FUNCTION</v>
      </c>
      <c r="Q97" t="str">
        <f t="shared" si="9"/>
        <v>static const String^ TOK_COS = "COS";</v>
      </c>
      <c r="R97" t="str">
        <f t="shared" si="10"/>
        <v>static const int TOK_COS = 541;</v>
      </c>
      <c r="S97" t="str">
        <f t="shared" si="11"/>
        <v>_Tokens-&gt;Add((String^)GramVals::TOK_COS, gcnew Token(GramKeys::TOK_COS, EnumTokenCategory::PARAM_FUNCTION,BARE_LABEL, i++));</v>
      </c>
    </row>
    <row r="98" spans="1:19" x14ac:dyDescent="0.25">
      <c r="A98" s="3" t="s">
        <v>1476</v>
      </c>
      <c r="B98" s="5" t="s">
        <v>1062</v>
      </c>
      <c r="C98" s="3" t="s">
        <v>1989</v>
      </c>
      <c r="D98" s="3" t="s">
        <v>2423</v>
      </c>
      <c r="F98" t="str">
        <f t="shared" si="6"/>
        <v>COSH</v>
      </c>
      <c r="G98" t="s">
        <v>3665</v>
      </c>
      <c r="I98" s="3" t="str">
        <f>IF(_xlfn.XLOOKUP(F98,PgSqlRaw!B:B,PgSqlRaw!E:E,"") = "",_xlfn.XLOOKUP(G98,PgSqlRaw!B:B,PgSqlRaw!E:E,""),_xlfn.XLOOKUP(F98,PgSqlRaw!B:B,PgSqlRaw!E:E,""))</f>
        <v/>
      </c>
      <c r="J98" t="str">
        <f>IF(_xlfn.XLOOKUP(F98,PgSqlRaw!B:B,PgSqlRaw!F:F,"") = "", _xlfn.XLOOKUP(G98,PgSqlRaw!B:B,PgSqlRaw!F:F,""), _xlfn.XLOOKUP(F98,PgSqlRaw!B:B,PgSqlRaw!F:F,""))</f>
        <v/>
      </c>
      <c r="K98" t="str">
        <f t="shared" si="7"/>
        <v>BARE_LABEL</v>
      </c>
      <c r="L98" t="str">
        <f>IF(_xlfn.XLOOKUP(F98,PhpReserved!A:A,PhpReserved!B:B,"") = "", _xlfn.XLOOKUP(G98,PhpReserved!A:A,PhpReserved!B:B,""),_xlfn.XLOOKUP(F98,PhpReserved!A:A,PhpReserved!B:B,""))</f>
        <v/>
      </c>
      <c r="M98" t="str">
        <f>IF(_xlfn.XLOOKUP(F98,PhpFunctions!A:A,PhpFunctions!B:B,"") =  "", _xlfn.XLOOKUP(G98,PhpFunctions!A:A,PhpFunctions!B:B,""), _xlfn.XLOOKUP(F98,PhpFunctions!A:A,PhpFunctions!B:B,""))</f>
        <v/>
      </c>
      <c r="N98" t="str">
        <f>IF(_xlfn.XLOOKUP(F98,PhpParamFunc!A:A,PhpParamFunc!B:B,"") = "", _xlfn.XLOOKUP(G98,PhpParamFunc!A:A,PhpParamFunc!B:B,""), _xlfn.XLOOKUP(F98,PhpParamFunc!A:A,PhpParamFunc!B:B,""))</f>
        <v/>
      </c>
      <c r="O98" t="str">
        <f>IF(_xlfn.XLOOKUP(F98,PhpAggrFunc!A:A,PhpAggrFunc!B:B,"") = "", _xlfn.XLOOKUP(G98,PhpAggrFunc!A:A,PhpAggrFunc!B:B,""), _xlfn.XLOOKUP(F98,PhpAggrFunc!A:A,PhpAggrFunc!B:B,""))</f>
        <v/>
      </c>
      <c r="P98" t="str">
        <f t="shared" si="8"/>
        <v>UNRESERVED</v>
      </c>
      <c r="Q98" t="str">
        <f t="shared" si="9"/>
        <v>static const String^ TOK_COSH = "COSH";</v>
      </c>
      <c r="R98" t="str">
        <f t="shared" si="10"/>
        <v>static const int TOK_COSH = 542;</v>
      </c>
      <c r="S98" t="str">
        <f t="shared" si="11"/>
        <v>// _Tokens-&gt;Add((String^)GramVals::TOK_COSH, gcnew Token(GramKeys::TOK_COSH, EnumTokenCategory::UNRESERVED,BARE_LABEL, i++));</v>
      </c>
    </row>
    <row r="99" spans="1:19" x14ac:dyDescent="0.25">
      <c r="A99" s="3" t="s">
        <v>1477</v>
      </c>
      <c r="B99" s="5" t="s">
        <v>1063</v>
      </c>
      <c r="C99" s="3" t="s">
        <v>1990</v>
      </c>
      <c r="D99" s="3" t="s">
        <v>2423</v>
      </c>
      <c r="F99" t="str">
        <f t="shared" si="6"/>
        <v>COT</v>
      </c>
      <c r="G99" t="s">
        <v>2918</v>
      </c>
      <c r="I99" s="3" t="str">
        <f>IF(_xlfn.XLOOKUP(F99,PgSqlRaw!B:B,PgSqlRaw!E:E,"") = "",_xlfn.XLOOKUP(G99,PgSqlRaw!B:B,PgSqlRaw!E:E,""),_xlfn.XLOOKUP(F99,PgSqlRaw!B:B,PgSqlRaw!E:E,""))</f>
        <v/>
      </c>
      <c r="J99" t="str">
        <f>IF(_xlfn.XLOOKUP(F99,PgSqlRaw!B:B,PgSqlRaw!F:F,"") = "", _xlfn.XLOOKUP(G99,PgSqlRaw!B:B,PgSqlRaw!F:F,""), _xlfn.XLOOKUP(F99,PgSqlRaw!B:B,PgSqlRaw!F:F,""))</f>
        <v/>
      </c>
      <c r="K99" t="str">
        <f t="shared" si="7"/>
        <v>BARE_LABEL</v>
      </c>
      <c r="L99" t="str">
        <f>IF(_xlfn.XLOOKUP(F99,PhpReserved!A:A,PhpReserved!B:B,"") = "", _xlfn.XLOOKUP(G99,PhpReserved!A:A,PhpReserved!B:B,""),_xlfn.XLOOKUP(F99,PhpReserved!A:A,PhpReserved!B:B,""))</f>
        <v>RESERVED</v>
      </c>
      <c r="M99" t="str">
        <f>IF(_xlfn.XLOOKUP(F99,PhpFunctions!A:A,PhpFunctions!B:B,"") =  "", _xlfn.XLOOKUP(G99,PhpFunctions!A:A,PhpFunctions!B:B,""), _xlfn.XLOOKUP(F99,PhpFunctions!A:A,PhpFunctions!B:B,""))</f>
        <v>FUNCTION</v>
      </c>
      <c r="N99" t="str">
        <f>IF(_xlfn.XLOOKUP(F99,PhpParamFunc!A:A,PhpParamFunc!B:B,"") = "", _xlfn.XLOOKUP(G99,PhpParamFunc!A:A,PhpParamFunc!B:B,""), _xlfn.XLOOKUP(F99,PhpParamFunc!A:A,PhpParamFunc!B:B,""))</f>
        <v>PARAM_FUNCTION</v>
      </c>
      <c r="O99" t="str">
        <f>IF(_xlfn.XLOOKUP(F99,PhpAggrFunc!A:A,PhpAggrFunc!B:B,"") = "", _xlfn.XLOOKUP(G99,PhpAggrFunc!A:A,PhpAggrFunc!B:B,""), _xlfn.XLOOKUP(F99,PhpAggrFunc!A:A,PhpAggrFunc!B:B,""))</f>
        <v/>
      </c>
      <c r="P99" t="str">
        <f t="shared" si="8"/>
        <v>PARAM_FUNCTION</v>
      </c>
      <c r="Q99" t="str">
        <f t="shared" si="9"/>
        <v>static const String^ TOK_COT = "COT";</v>
      </c>
      <c r="R99" t="str">
        <f t="shared" si="10"/>
        <v>static const int TOK_COT = 543;</v>
      </c>
      <c r="S99" t="str">
        <f t="shared" si="11"/>
        <v>_Tokens-&gt;Add((String^)GramVals::TOK_COT, gcnew Token(GramKeys::TOK_COT, EnumTokenCategory::PARAM_FUNCTION,BARE_LABEL, i++));</v>
      </c>
    </row>
    <row r="100" spans="1:19" x14ac:dyDescent="0.25">
      <c r="A100" s="3" t="s">
        <v>1478</v>
      </c>
      <c r="B100" s="5" t="s">
        <v>1064</v>
      </c>
      <c r="C100" s="3" t="s">
        <v>1991</v>
      </c>
      <c r="D100" s="3" t="s">
        <v>881</v>
      </c>
      <c r="F100" t="str">
        <f t="shared" si="6"/>
        <v>COUNT</v>
      </c>
      <c r="G100" t="s">
        <v>2919</v>
      </c>
      <c r="I100" s="3" t="str">
        <f>IF(_xlfn.XLOOKUP(F100,PgSqlRaw!B:B,PgSqlRaw!E:E,"") = "",_xlfn.XLOOKUP(G100,PgSqlRaw!B:B,PgSqlRaw!E:E,""),_xlfn.XLOOKUP(F100,PgSqlRaw!B:B,PgSqlRaw!E:E,""))</f>
        <v/>
      </c>
      <c r="J100" t="str">
        <f>IF(_xlfn.XLOOKUP(F100,PgSqlRaw!B:B,PgSqlRaw!F:F,"") = "", _xlfn.XLOOKUP(G100,PgSqlRaw!B:B,PgSqlRaw!F:F,""), _xlfn.XLOOKUP(F100,PgSqlRaw!B:B,PgSqlRaw!F:F,""))</f>
        <v/>
      </c>
      <c r="K100" t="str">
        <f t="shared" si="7"/>
        <v>BARE_LABEL</v>
      </c>
      <c r="L100" t="str">
        <f>IF(_xlfn.XLOOKUP(F100,PhpReserved!A:A,PhpReserved!B:B,"") = "", _xlfn.XLOOKUP(G100,PhpReserved!A:A,PhpReserved!B:B,""),_xlfn.XLOOKUP(F100,PhpReserved!A:A,PhpReserved!B:B,""))</f>
        <v>RESERVED</v>
      </c>
      <c r="M100" t="str">
        <f>IF(_xlfn.XLOOKUP(F100,PhpFunctions!A:A,PhpFunctions!B:B,"") =  "", _xlfn.XLOOKUP(G100,PhpFunctions!A:A,PhpFunctions!B:B,""), _xlfn.XLOOKUP(F100,PhpFunctions!A:A,PhpFunctions!B:B,""))</f>
        <v>FUNCTION</v>
      </c>
      <c r="N100" t="str">
        <f>IF(_xlfn.XLOOKUP(F100,PhpParamFunc!A:A,PhpParamFunc!B:B,"") = "", _xlfn.XLOOKUP(G100,PhpParamFunc!A:A,PhpParamFunc!B:B,""), _xlfn.XLOOKUP(F100,PhpParamFunc!A:A,PhpParamFunc!B:B,""))</f>
        <v>PARAM_FUNCTION</v>
      </c>
      <c r="O100" t="str">
        <f>IF(_xlfn.XLOOKUP(F100,PhpAggrFunc!A:A,PhpAggrFunc!B:B,"") = "", _xlfn.XLOOKUP(G100,PhpAggrFunc!A:A,PhpAggrFunc!B:B,""), _xlfn.XLOOKUP(F100,PhpAggrFunc!A:A,PhpAggrFunc!B:B,""))</f>
        <v>AGGR_FUNCTION</v>
      </c>
      <c r="P100" t="str">
        <f t="shared" si="8"/>
        <v>AGGR_FUNCTION</v>
      </c>
      <c r="Q100" t="str">
        <f t="shared" si="9"/>
        <v>static const String^ TOK_COUNT = "COUNT";</v>
      </c>
      <c r="R100" t="str">
        <f t="shared" si="10"/>
        <v>static const int TOK_COUNT = 285;</v>
      </c>
      <c r="S100" t="str">
        <f t="shared" si="11"/>
        <v>_Tokens-&gt;Add((String^)GramVals::TOK_COUNT, gcnew Token(GramKeys::TOK_COUNT, EnumTokenCategory::AGGR_FUNCTION,BARE_LABEL, i++));</v>
      </c>
    </row>
    <row r="101" spans="1:19" x14ac:dyDescent="0.25">
      <c r="A101" s="3" t="s">
        <v>1479</v>
      </c>
      <c r="B101" s="5">
        <v>668</v>
      </c>
      <c r="C101" s="3" t="s">
        <v>1992</v>
      </c>
      <c r="D101" s="3" t="s">
        <v>2423</v>
      </c>
      <c r="F101" t="str">
        <f t="shared" si="6"/>
        <v>COUNTER</v>
      </c>
      <c r="G101" t="s">
        <v>3666</v>
      </c>
      <c r="I101" s="3" t="str">
        <f>IF(_xlfn.XLOOKUP(F101,PgSqlRaw!B:B,PgSqlRaw!E:E,"") = "",_xlfn.XLOOKUP(G101,PgSqlRaw!B:B,PgSqlRaw!E:E,""),_xlfn.XLOOKUP(F101,PgSqlRaw!B:B,PgSqlRaw!E:E,""))</f>
        <v/>
      </c>
      <c r="J101" t="str">
        <f>IF(_xlfn.XLOOKUP(F101,PgSqlRaw!B:B,PgSqlRaw!F:F,"") = "", _xlfn.XLOOKUP(G101,PgSqlRaw!B:B,PgSqlRaw!F:F,""), _xlfn.XLOOKUP(F101,PgSqlRaw!B:B,PgSqlRaw!F:F,""))</f>
        <v/>
      </c>
      <c r="K101" t="str">
        <f t="shared" si="7"/>
        <v>BARE_LABEL</v>
      </c>
      <c r="L101" t="str">
        <f>IF(_xlfn.XLOOKUP(F101,PhpReserved!A:A,PhpReserved!B:B,"") = "", _xlfn.XLOOKUP(G101,PhpReserved!A:A,PhpReserved!B:B,""),_xlfn.XLOOKUP(F101,PhpReserved!A:A,PhpReserved!B:B,""))</f>
        <v/>
      </c>
      <c r="M101" t="str">
        <f>IF(_xlfn.XLOOKUP(F101,PhpFunctions!A:A,PhpFunctions!B:B,"") =  "", _xlfn.XLOOKUP(G101,PhpFunctions!A:A,PhpFunctions!B:B,""), _xlfn.XLOOKUP(F101,PhpFunctions!A:A,PhpFunctions!B:B,""))</f>
        <v/>
      </c>
      <c r="N101" t="str">
        <f>IF(_xlfn.XLOOKUP(F101,PhpParamFunc!A:A,PhpParamFunc!B:B,"") = "", _xlfn.XLOOKUP(G101,PhpParamFunc!A:A,PhpParamFunc!B:B,""), _xlfn.XLOOKUP(F101,PhpParamFunc!A:A,PhpParamFunc!B:B,""))</f>
        <v/>
      </c>
      <c r="O101" t="str">
        <f>IF(_xlfn.XLOOKUP(F101,PhpAggrFunc!A:A,PhpAggrFunc!B:B,"") = "", _xlfn.XLOOKUP(G101,PhpAggrFunc!A:A,PhpAggrFunc!B:B,""), _xlfn.XLOOKUP(F101,PhpAggrFunc!A:A,PhpAggrFunc!B:B,""))</f>
        <v/>
      </c>
      <c r="P101" t="str">
        <f t="shared" si="8"/>
        <v>UNRESERVED</v>
      </c>
      <c r="Q101" t="str">
        <f t="shared" si="9"/>
        <v>static const String^ TOK_COUNTER = "COUNTER";</v>
      </c>
      <c r="R101" t="str">
        <f t="shared" si="10"/>
        <v>static const int TOK_COUNTER = 668;</v>
      </c>
      <c r="S101" t="str">
        <f t="shared" si="11"/>
        <v>// _Tokens-&gt;Add((String^)GramVals::TOK_COUNTER, gcnew Token(GramKeys::TOK_COUNTER, EnumTokenCategory::UNRESERVED,BARE_LABEL, i++));</v>
      </c>
    </row>
    <row r="102" spans="1:19" x14ac:dyDescent="0.25">
      <c r="A102" s="3" t="s">
        <v>1480</v>
      </c>
      <c r="B102" s="5">
        <v>669</v>
      </c>
      <c r="C102" s="3" t="s">
        <v>1993</v>
      </c>
      <c r="D102" s="3" t="s">
        <v>881</v>
      </c>
      <c r="F102" t="str">
        <f t="shared" si="6"/>
        <v>COVAR_POP</v>
      </c>
      <c r="G102" t="s">
        <v>3667</v>
      </c>
      <c r="I102" s="3" t="str">
        <f>IF(_xlfn.XLOOKUP(F102,PgSqlRaw!B:B,PgSqlRaw!E:E,"") = "",_xlfn.XLOOKUP(G102,PgSqlRaw!B:B,PgSqlRaw!E:E,""),_xlfn.XLOOKUP(F102,PgSqlRaw!B:B,PgSqlRaw!E:E,""))</f>
        <v/>
      </c>
      <c r="J102" t="str">
        <f>IF(_xlfn.XLOOKUP(F102,PgSqlRaw!B:B,PgSqlRaw!F:F,"") = "", _xlfn.XLOOKUP(G102,PgSqlRaw!B:B,PgSqlRaw!F:F,""), _xlfn.XLOOKUP(F102,PgSqlRaw!B:B,PgSqlRaw!F:F,""))</f>
        <v/>
      </c>
      <c r="K102" t="str">
        <f t="shared" si="7"/>
        <v>BARE_LABEL</v>
      </c>
      <c r="L102" t="str">
        <f>IF(_xlfn.XLOOKUP(F102,PhpReserved!A:A,PhpReserved!B:B,"") = "", _xlfn.XLOOKUP(G102,PhpReserved!A:A,PhpReserved!B:B,""),_xlfn.XLOOKUP(F102,PhpReserved!A:A,PhpReserved!B:B,""))</f>
        <v/>
      </c>
      <c r="M102" t="str">
        <f>IF(_xlfn.XLOOKUP(F102,PhpFunctions!A:A,PhpFunctions!B:B,"") =  "", _xlfn.XLOOKUP(G102,PhpFunctions!A:A,PhpFunctions!B:B,""), _xlfn.XLOOKUP(F102,PhpFunctions!A:A,PhpFunctions!B:B,""))</f>
        <v/>
      </c>
      <c r="N102" t="str">
        <f>IF(_xlfn.XLOOKUP(F102,PhpParamFunc!A:A,PhpParamFunc!B:B,"") = "", _xlfn.XLOOKUP(G102,PhpParamFunc!A:A,PhpParamFunc!B:B,""), _xlfn.XLOOKUP(F102,PhpParamFunc!A:A,PhpParamFunc!B:B,""))</f>
        <v/>
      </c>
      <c r="O102" t="str">
        <f>IF(_xlfn.XLOOKUP(F102,PhpAggrFunc!A:A,PhpAggrFunc!B:B,"") = "", _xlfn.XLOOKUP(G102,PhpAggrFunc!A:A,PhpAggrFunc!B:B,""), _xlfn.XLOOKUP(F102,PhpAggrFunc!A:A,PhpAggrFunc!B:B,""))</f>
        <v/>
      </c>
      <c r="P102" t="str">
        <f t="shared" si="8"/>
        <v>UNRESERVED</v>
      </c>
      <c r="Q102" t="str">
        <f t="shared" si="9"/>
        <v>static const String^ TOK_COVAR_POP = "COVAR_POP";</v>
      </c>
      <c r="R102" t="str">
        <f t="shared" si="10"/>
        <v>static const int TOK_COVAR_POP = 669;</v>
      </c>
      <c r="S102" t="str">
        <f t="shared" si="11"/>
        <v>// _Tokens-&gt;Add((String^)GramVals::TOK_COVAR_POP, gcnew Token(GramKeys::TOK_COVAR_POP, EnumTokenCategory::UNRESERVED,BARE_LABEL, i++));</v>
      </c>
    </row>
    <row r="103" spans="1:19" x14ac:dyDescent="0.25">
      <c r="A103" s="3" t="s">
        <v>1481</v>
      </c>
      <c r="B103" s="5">
        <v>670</v>
      </c>
      <c r="C103" s="3" t="s">
        <v>1994</v>
      </c>
      <c r="D103" s="3" t="s">
        <v>881</v>
      </c>
      <c r="F103" t="str">
        <f t="shared" si="6"/>
        <v>COVAR_SAMP</v>
      </c>
      <c r="G103" t="s">
        <v>3668</v>
      </c>
      <c r="I103" s="3" t="str">
        <f>IF(_xlfn.XLOOKUP(F103,PgSqlRaw!B:B,PgSqlRaw!E:E,"") = "",_xlfn.XLOOKUP(G103,PgSqlRaw!B:B,PgSqlRaw!E:E,""),_xlfn.XLOOKUP(F103,PgSqlRaw!B:B,PgSqlRaw!E:E,""))</f>
        <v/>
      </c>
      <c r="J103" t="str">
        <f>IF(_xlfn.XLOOKUP(F103,PgSqlRaw!B:B,PgSqlRaw!F:F,"") = "", _xlfn.XLOOKUP(G103,PgSqlRaw!B:B,PgSqlRaw!F:F,""), _xlfn.XLOOKUP(F103,PgSqlRaw!B:B,PgSqlRaw!F:F,""))</f>
        <v/>
      </c>
      <c r="K103" t="str">
        <f t="shared" si="7"/>
        <v>BARE_LABEL</v>
      </c>
      <c r="L103" t="str">
        <f>IF(_xlfn.XLOOKUP(F103,PhpReserved!A:A,PhpReserved!B:B,"") = "", _xlfn.XLOOKUP(G103,PhpReserved!A:A,PhpReserved!B:B,""),_xlfn.XLOOKUP(F103,PhpReserved!A:A,PhpReserved!B:B,""))</f>
        <v/>
      </c>
      <c r="M103" t="str">
        <f>IF(_xlfn.XLOOKUP(F103,PhpFunctions!A:A,PhpFunctions!B:B,"") =  "", _xlfn.XLOOKUP(G103,PhpFunctions!A:A,PhpFunctions!B:B,""), _xlfn.XLOOKUP(F103,PhpFunctions!A:A,PhpFunctions!B:B,""))</f>
        <v/>
      </c>
      <c r="N103" t="str">
        <f>IF(_xlfn.XLOOKUP(F103,PhpParamFunc!A:A,PhpParamFunc!B:B,"") = "", _xlfn.XLOOKUP(G103,PhpParamFunc!A:A,PhpParamFunc!B:B,""), _xlfn.XLOOKUP(F103,PhpParamFunc!A:A,PhpParamFunc!B:B,""))</f>
        <v/>
      </c>
      <c r="O103" t="str">
        <f>IF(_xlfn.XLOOKUP(F103,PhpAggrFunc!A:A,PhpAggrFunc!B:B,"") = "", _xlfn.XLOOKUP(G103,PhpAggrFunc!A:A,PhpAggrFunc!B:B,""), _xlfn.XLOOKUP(F103,PhpAggrFunc!A:A,PhpAggrFunc!B:B,""))</f>
        <v/>
      </c>
      <c r="P103" t="str">
        <f t="shared" si="8"/>
        <v>UNRESERVED</v>
      </c>
      <c r="Q103" t="str">
        <f t="shared" si="9"/>
        <v>static const String^ TOK_COVAR_SAMP = "COVAR_SAMP";</v>
      </c>
      <c r="R103" t="str">
        <f t="shared" si="10"/>
        <v>static const int TOK_COVAR_SAMP = 670;</v>
      </c>
      <c r="S103" t="str">
        <f t="shared" si="11"/>
        <v>// _Tokens-&gt;Add((String^)GramVals::TOK_COVAR_SAMP, gcnew Token(GramKeys::TOK_COVAR_SAMP, EnumTokenCategory::UNRESERVED,BARE_LABEL, i++));</v>
      </c>
    </row>
    <row r="104" spans="1:19" x14ac:dyDescent="0.25">
      <c r="A104" s="3" t="s">
        <v>1482</v>
      </c>
      <c r="B104" s="5" t="s">
        <v>1065</v>
      </c>
      <c r="C104" s="3" t="s">
        <v>1995</v>
      </c>
      <c r="D104" s="3" t="s">
        <v>881</v>
      </c>
      <c r="F104" t="str">
        <f t="shared" si="6"/>
        <v>CREATE</v>
      </c>
      <c r="G104" t="s">
        <v>3114</v>
      </c>
      <c r="I104" s="3" t="str">
        <f>IF(_xlfn.XLOOKUP(F104,PgSqlRaw!B:B,PgSqlRaw!E:E,"") = "",_xlfn.XLOOKUP(G104,PgSqlRaw!B:B,PgSqlRaw!E:E,""),_xlfn.XLOOKUP(F104,PgSqlRaw!B:B,PgSqlRaw!E:E,""))</f>
        <v>RESERVED</v>
      </c>
      <c r="J104" t="str">
        <f>IF(_xlfn.XLOOKUP(F104,PgSqlRaw!B:B,PgSqlRaw!F:F,"") = "", _xlfn.XLOOKUP(G104,PgSqlRaw!B:B,PgSqlRaw!F:F,""), _xlfn.XLOOKUP(F104,PgSqlRaw!B:B,PgSqlRaw!F:F,""))</f>
        <v>AS_LABEL</v>
      </c>
      <c r="K104" t="str">
        <f t="shared" si="7"/>
        <v>AS_LABEL</v>
      </c>
      <c r="L104" t="str">
        <f>IF(_xlfn.XLOOKUP(F104,PhpReserved!A:A,PhpReserved!B:B,"") = "", _xlfn.XLOOKUP(G104,PhpReserved!A:A,PhpReserved!B:B,""),_xlfn.XLOOKUP(F104,PhpReserved!A:A,PhpReserved!B:B,""))</f>
        <v>RESERVED</v>
      </c>
      <c r="M104" t="str">
        <f>IF(_xlfn.XLOOKUP(F104,PhpFunctions!A:A,PhpFunctions!B:B,"") =  "", _xlfn.XLOOKUP(G104,PhpFunctions!A:A,PhpFunctions!B:B,""), _xlfn.XLOOKUP(F104,PhpFunctions!A:A,PhpFunctions!B:B,""))</f>
        <v/>
      </c>
      <c r="N104" t="str">
        <f>IF(_xlfn.XLOOKUP(F104,PhpParamFunc!A:A,PhpParamFunc!B:B,"") = "", _xlfn.XLOOKUP(G104,PhpParamFunc!A:A,PhpParamFunc!B:B,""), _xlfn.XLOOKUP(F104,PhpParamFunc!A:A,PhpParamFunc!B:B,""))</f>
        <v/>
      </c>
      <c r="O104" t="str">
        <f>IF(_xlfn.XLOOKUP(F104,PhpAggrFunc!A:A,PhpAggrFunc!B:B,"") = "", _xlfn.XLOOKUP(G104,PhpAggrFunc!A:A,PhpAggrFunc!B:B,""), _xlfn.XLOOKUP(F104,PhpAggrFunc!A:A,PhpAggrFunc!B:B,""))</f>
        <v/>
      </c>
      <c r="P104" t="str">
        <f t="shared" si="8"/>
        <v>RESERVED</v>
      </c>
      <c r="Q104" t="str">
        <f t="shared" si="9"/>
        <v>static const String^ TOK_CREATE = "CREATE";</v>
      </c>
      <c r="R104" t="str">
        <f t="shared" si="10"/>
        <v>static const int TOK_CREATE = 286;</v>
      </c>
      <c r="S104" t="str">
        <f t="shared" si="11"/>
        <v>_Tokens-&gt;Add((String^)GramVals::TOK_CREATE, gcnew Token(GramKeys::TOK_CREATE, EnumTokenCategory::RESERVED,AS_LABEL, i++));</v>
      </c>
    </row>
    <row r="105" spans="1:19" x14ac:dyDescent="0.25">
      <c r="A105" s="3" t="s">
        <v>1483</v>
      </c>
      <c r="B105" s="5" t="s">
        <v>1066</v>
      </c>
      <c r="C105" s="3" t="s">
        <v>1996</v>
      </c>
      <c r="D105" s="3" t="s">
        <v>881</v>
      </c>
      <c r="F105" t="str">
        <f t="shared" si="6"/>
        <v>CROSS</v>
      </c>
      <c r="G105" t="s">
        <v>3115</v>
      </c>
      <c r="I105" s="3" t="str">
        <f>IF(_xlfn.XLOOKUP(F105,PgSqlRaw!B:B,PgSqlRaw!E:E,"") = "",_xlfn.XLOOKUP(G105,PgSqlRaw!B:B,PgSqlRaw!E:E,""),_xlfn.XLOOKUP(F105,PgSqlRaw!B:B,PgSqlRaw!E:E,""))</f>
        <v>FUNCTION</v>
      </c>
      <c r="J105" t="str">
        <f>IF(_xlfn.XLOOKUP(F105,PgSqlRaw!B:B,PgSqlRaw!F:F,"") = "", _xlfn.XLOOKUP(G105,PgSqlRaw!B:B,PgSqlRaw!F:F,""), _xlfn.XLOOKUP(F105,PgSqlRaw!B:B,PgSqlRaw!F:F,""))</f>
        <v>BARE_LABEL</v>
      </c>
      <c r="K105" t="str">
        <f t="shared" si="7"/>
        <v>BARE_LABEL</v>
      </c>
      <c r="L105" t="str">
        <f>IF(_xlfn.XLOOKUP(F105,PhpReserved!A:A,PhpReserved!B:B,"") = "", _xlfn.XLOOKUP(G105,PhpReserved!A:A,PhpReserved!B:B,""),_xlfn.XLOOKUP(F105,PhpReserved!A:A,PhpReserved!B:B,""))</f>
        <v>RESERVED</v>
      </c>
      <c r="M105" t="str">
        <f>IF(_xlfn.XLOOKUP(F105,PhpFunctions!A:A,PhpFunctions!B:B,"") =  "", _xlfn.XLOOKUP(G105,PhpFunctions!A:A,PhpFunctions!B:B,""), _xlfn.XLOOKUP(F105,PhpFunctions!A:A,PhpFunctions!B:B,""))</f>
        <v/>
      </c>
      <c r="N105" t="str">
        <f>IF(_xlfn.XLOOKUP(F105,PhpParamFunc!A:A,PhpParamFunc!B:B,"") = "", _xlfn.XLOOKUP(G105,PhpParamFunc!A:A,PhpParamFunc!B:B,""), _xlfn.XLOOKUP(F105,PhpParamFunc!A:A,PhpParamFunc!B:B,""))</f>
        <v/>
      </c>
      <c r="O105" t="str">
        <f>IF(_xlfn.XLOOKUP(F105,PhpAggrFunc!A:A,PhpAggrFunc!B:B,"") = "", _xlfn.XLOOKUP(G105,PhpAggrFunc!A:A,PhpAggrFunc!B:B,""), _xlfn.XLOOKUP(F105,PhpAggrFunc!A:A,PhpAggrFunc!B:B,""))</f>
        <v/>
      </c>
      <c r="P105" t="str">
        <f t="shared" si="8"/>
        <v>RESERVED</v>
      </c>
      <c r="Q105" t="str">
        <f t="shared" si="9"/>
        <v>static const String^ TOK_CROSS = "CROSS";</v>
      </c>
      <c r="R105" t="str">
        <f t="shared" si="10"/>
        <v>static const int TOK_CROSS = 504;</v>
      </c>
      <c r="S105" t="str">
        <f t="shared" si="11"/>
        <v>_Tokens-&gt;Add((String^)GramVals::TOK_CROSS, gcnew Token(GramKeys::TOK_CROSS, EnumTokenCategory::RESERVED,BARE_LABEL, i++));</v>
      </c>
    </row>
    <row r="106" spans="1:19" x14ac:dyDescent="0.25">
      <c r="A106" s="3" t="s">
        <v>1484</v>
      </c>
      <c r="B106" s="5">
        <v>671</v>
      </c>
      <c r="C106" s="3" t="s">
        <v>1997</v>
      </c>
      <c r="D106" s="3" t="s">
        <v>2423</v>
      </c>
      <c r="F106" t="str">
        <f t="shared" si="6"/>
        <v>CRYPT_HASH</v>
      </c>
      <c r="G106" t="s">
        <v>3669</v>
      </c>
      <c r="I106" s="3" t="str">
        <f>IF(_xlfn.XLOOKUP(F106,PgSqlRaw!B:B,PgSqlRaw!E:E,"") = "",_xlfn.XLOOKUP(G106,PgSqlRaw!B:B,PgSqlRaw!E:E,""),_xlfn.XLOOKUP(F106,PgSqlRaw!B:B,PgSqlRaw!E:E,""))</f>
        <v/>
      </c>
      <c r="J106" t="str">
        <f>IF(_xlfn.XLOOKUP(F106,PgSqlRaw!B:B,PgSqlRaw!F:F,"") = "", _xlfn.XLOOKUP(G106,PgSqlRaw!B:B,PgSqlRaw!F:F,""), _xlfn.XLOOKUP(F106,PgSqlRaw!B:B,PgSqlRaw!F:F,""))</f>
        <v/>
      </c>
      <c r="K106" t="str">
        <f t="shared" si="7"/>
        <v>BARE_LABEL</v>
      </c>
      <c r="L106" t="str">
        <f>IF(_xlfn.XLOOKUP(F106,PhpReserved!A:A,PhpReserved!B:B,"") = "", _xlfn.XLOOKUP(G106,PhpReserved!A:A,PhpReserved!B:B,""),_xlfn.XLOOKUP(F106,PhpReserved!A:A,PhpReserved!B:B,""))</f>
        <v/>
      </c>
      <c r="M106" t="str">
        <f>IF(_xlfn.XLOOKUP(F106,PhpFunctions!A:A,PhpFunctions!B:B,"") =  "", _xlfn.XLOOKUP(G106,PhpFunctions!A:A,PhpFunctions!B:B,""), _xlfn.XLOOKUP(F106,PhpFunctions!A:A,PhpFunctions!B:B,""))</f>
        <v/>
      </c>
      <c r="N106" t="str">
        <f>IF(_xlfn.XLOOKUP(F106,PhpParamFunc!A:A,PhpParamFunc!B:B,"") = "", _xlfn.XLOOKUP(G106,PhpParamFunc!A:A,PhpParamFunc!B:B,""), _xlfn.XLOOKUP(F106,PhpParamFunc!A:A,PhpParamFunc!B:B,""))</f>
        <v/>
      </c>
      <c r="O106" t="str">
        <f>IF(_xlfn.XLOOKUP(F106,PhpAggrFunc!A:A,PhpAggrFunc!B:B,"") = "", _xlfn.XLOOKUP(G106,PhpAggrFunc!A:A,PhpAggrFunc!B:B,""), _xlfn.XLOOKUP(F106,PhpAggrFunc!A:A,PhpAggrFunc!B:B,""))</f>
        <v/>
      </c>
      <c r="P106" t="str">
        <f t="shared" si="8"/>
        <v>UNRESERVED</v>
      </c>
      <c r="Q106" t="str">
        <f t="shared" si="9"/>
        <v>static const String^ TOK_CRYPT_HASH = "CRYPT_HASH";</v>
      </c>
      <c r="R106" t="str">
        <f t="shared" si="10"/>
        <v>static const int TOK_CRYPT_HASH = 671;</v>
      </c>
      <c r="S106" t="str">
        <f t="shared" si="11"/>
        <v>// _Tokens-&gt;Add((String^)GramVals::TOK_CRYPT_HASH, gcnew Token(GramKeys::TOK_CRYPT_HASH, EnumTokenCategory::UNRESERVED,BARE_LABEL, i++));</v>
      </c>
    </row>
    <row r="107" spans="1:19" x14ac:dyDescent="0.25">
      <c r="A107" s="3" t="s">
        <v>1485</v>
      </c>
      <c r="B107" s="5" t="s">
        <v>1067</v>
      </c>
      <c r="C107" s="3" t="s">
        <v>1998</v>
      </c>
      <c r="D107" s="3" t="s">
        <v>2423</v>
      </c>
      <c r="F107" t="str">
        <f t="shared" si="6"/>
        <v>CSTRING</v>
      </c>
      <c r="G107" t="s">
        <v>3670</v>
      </c>
      <c r="I107" s="3" t="str">
        <f>IF(_xlfn.XLOOKUP(F107,PgSqlRaw!B:B,PgSqlRaw!E:E,"") = "",_xlfn.XLOOKUP(G107,PgSqlRaw!B:B,PgSqlRaw!E:E,""),_xlfn.XLOOKUP(F107,PgSqlRaw!B:B,PgSqlRaw!E:E,""))</f>
        <v/>
      </c>
      <c r="J107" t="str">
        <f>IF(_xlfn.XLOOKUP(F107,PgSqlRaw!B:B,PgSqlRaw!F:F,"") = "", _xlfn.XLOOKUP(G107,PgSqlRaw!B:B,PgSqlRaw!F:F,""), _xlfn.XLOOKUP(F107,PgSqlRaw!B:B,PgSqlRaw!F:F,""))</f>
        <v/>
      </c>
      <c r="K107" t="str">
        <f t="shared" si="7"/>
        <v>BARE_LABEL</v>
      </c>
      <c r="L107" t="str">
        <f>IF(_xlfn.XLOOKUP(F107,PhpReserved!A:A,PhpReserved!B:B,"") = "", _xlfn.XLOOKUP(G107,PhpReserved!A:A,PhpReserved!B:B,""),_xlfn.XLOOKUP(F107,PhpReserved!A:A,PhpReserved!B:B,""))</f>
        <v/>
      </c>
      <c r="M107" t="str">
        <f>IF(_xlfn.XLOOKUP(F107,PhpFunctions!A:A,PhpFunctions!B:B,"") =  "", _xlfn.XLOOKUP(G107,PhpFunctions!A:A,PhpFunctions!B:B,""), _xlfn.XLOOKUP(F107,PhpFunctions!A:A,PhpFunctions!B:B,""))</f>
        <v/>
      </c>
      <c r="N107" t="str">
        <f>IF(_xlfn.XLOOKUP(F107,PhpParamFunc!A:A,PhpParamFunc!B:B,"") = "", _xlfn.XLOOKUP(G107,PhpParamFunc!A:A,PhpParamFunc!B:B,""), _xlfn.XLOOKUP(F107,PhpParamFunc!A:A,PhpParamFunc!B:B,""))</f>
        <v/>
      </c>
      <c r="O107" t="str">
        <f>IF(_xlfn.XLOOKUP(F107,PhpAggrFunc!A:A,PhpAggrFunc!B:B,"") = "", _xlfn.XLOOKUP(G107,PhpAggrFunc!A:A,PhpAggrFunc!B:B,""), _xlfn.XLOOKUP(F107,PhpAggrFunc!A:A,PhpAggrFunc!B:B,""))</f>
        <v/>
      </c>
      <c r="P107" t="str">
        <f t="shared" si="8"/>
        <v>UNRESERVED</v>
      </c>
      <c r="Q107" t="str">
        <f t="shared" si="9"/>
        <v>static const String^ TOK_CSTRING = "CSTRING";</v>
      </c>
      <c r="R107" t="str">
        <f t="shared" si="10"/>
        <v>static const int TOK_CSTRING = 287;</v>
      </c>
      <c r="S107" t="str">
        <f t="shared" si="11"/>
        <v>// _Tokens-&gt;Add((String^)GramVals::TOK_CSTRING, gcnew Token(GramKeys::TOK_CSTRING, EnumTokenCategory::UNRESERVED,BARE_LABEL, i++));</v>
      </c>
    </row>
    <row r="108" spans="1:19" x14ac:dyDescent="0.25">
      <c r="A108" s="3" t="s">
        <v>902</v>
      </c>
      <c r="B108" s="5">
        <v>672</v>
      </c>
      <c r="C108" s="3" t="s">
        <v>1999</v>
      </c>
      <c r="D108" s="3" t="s">
        <v>2423</v>
      </c>
      <c r="F108" t="str">
        <f t="shared" si="6"/>
        <v>CTR_BIG_ENDIAN</v>
      </c>
      <c r="G108" t="s">
        <v>3671</v>
      </c>
      <c r="I108" s="3" t="str">
        <f>IF(_xlfn.XLOOKUP(F108,PgSqlRaw!B:B,PgSqlRaw!E:E,"") = "",_xlfn.XLOOKUP(G108,PgSqlRaw!B:B,PgSqlRaw!E:E,""),_xlfn.XLOOKUP(F108,PgSqlRaw!B:B,PgSqlRaw!E:E,""))</f>
        <v/>
      </c>
      <c r="J108" t="str">
        <f>IF(_xlfn.XLOOKUP(F108,PgSqlRaw!B:B,PgSqlRaw!F:F,"") = "", _xlfn.XLOOKUP(G108,PgSqlRaw!B:B,PgSqlRaw!F:F,""), _xlfn.XLOOKUP(F108,PgSqlRaw!B:B,PgSqlRaw!F:F,""))</f>
        <v/>
      </c>
      <c r="K108" t="str">
        <f t="shared" si="7"/>
        <v>BARE_LABEL</v>
      </c>
      <c r="L108" t="str">
        <f>IF(_xlfn.XLOOKUP(F108,PhpReserved!A:A,PhpReserved!B:B,"") = "", _xlfn.XLOOKUP(G108,PhpReserved!A:A,PhpReserved!B:B,""),_xlfn.XLOOKUP(F108,PhpReserved!A:A,PhpReserved!B:B,""))</f>
        <v/>
      </c>
      <c r="M108" t="str">
        <f>IF(_xlfn.XLOOKUP(F108,PhpFunctions!A:A,PhpFunctions!B:B,"") =  "", _xlfn.XLOOKUP(G108,PhpFunctions!A:A,PhpFunctions!B:B,""), _xlfn.XLOOKUP(F108,PhpFunctions!A:A,PhpFunctions!B:B,""))</f>
        <v/>
      </c>
      <c r="N108" t="str">
        <f>IF(_xlfn.XLOOKUP(F108,PhpParamFunc!A:A,PhpParamFunc!B:B,"") = "", _xlfn.XLOOKUP(G108,PhpParamFunc!A:A,PhpParamFunc!B:B,""), _xlfn.XLOOKUP(F108,PhpParamFunc!A:A,PhpParamFunc!B:B,""))</f>
        <v/>
      </c>
      <c r="O108" t="str">
        <f>IF(_xlfn.XLOOKUP(F108,PhpAggrFunc!A:A,PhpAggrFunc!B:B,"") = "", _xlfn.XLOOKUP(G108,PhpAggrFunc!A:A,PhpAggrFunc!B:B,""), _xlfn.XLOOKUP(F108,PhpAggrFunc!A:A,PhpAggrFunc!B:B,""))</f>
        <v/>
      </c>
      <c r="P108" t="str">
        <f t="shared" si="8"/>
        <v>UNRESERVED</v>
      </c>
      <c r="Q108" t="str">
        <f t="shared" si="9"/>
        <v>static const String^ TOK_CTR_BIG_ENDIAN = "CTR_BIG_ENDIAN";</v>
      </c>
      <c r="R108" t="str">
        <f t="shared" si="10"/>
        <v>static const int TOK_CTR_BIG_ENDIAN = 672;</v>
      </c>
      <c r="S108" t="str">
        <f t="shared" si="11"/>
        <v>// _Tokens-&gt;Add((String^)GramVals::TOK_CTR_BIG_ENDIAN, gcnew Token(GramKeys::TOK_CTR_BIG_ENDIAN, EnumTokenCategory::UNRESERVED,BARE_LABEL, i++));</v>
      </c>
    </row>
    <row r="109" spans="1:19" x14ac:dyDescent="0.25">
      <c r="A109" s="3" t="s">
        <v>903</v>
      </c>
      <c r="B109" s="5">
        <v>673</v>
      </c>
      <c r="C109" s="3" t="s">
        <v>2000</v>
      </c>
      <c r="D109" s="3" t="s">
        <v>2423</v>
      </c>
      <c r="F109" t="str">
        <f t="shared" si="6"/>
        <v>CTR_LENGTH</v>
      </c>
      <c r="G109" t="s">
        <v>3672</v>
      </c>
      <c r="I109" s="3" t="str">
        <f>IF(_xlfn.XLOOKUP(F109,PgSqlRaw!B:B,PgSqlRaw!E:E,"") = "",_xlfn.XLOOKUP(G109,PgSqlRaw!B:B,PgSqlRaw!E:E,""),_xlfn.XLOOKUP(F109,PgSqlRaw!B:B,PgSqlRaw!E:E,""))</f>
        <v/>
      </c>
      <c r="J109" t="str">
        <f>IF(_xlfn.XLOOKUP(F109,PgSqlRaw!B:B,PgSqlRaw!F:F,"") = "", _xlfn.XLOOKUP(G109,PgSqlRaw!B:B,PgSqlRaw!F:F,""), _xlfn.XLOOKUP(F109,PgSqlRaw!B:B,PgSqlRaw!F:F,""))</f>
        <v/>
      </c>
      <c r="K109" t="str">
        <f t="shared" si="7"/>
        <v>BARE_LABEL</v>
      </c>
      <c r="L109" t="str">
        <f>IF(_xlfn.XLOOKUP(F109,PhpReserved!A:A,PhpReserved!B:B,"") = "", _xlfn.XLOOKUP(G109,PhpReserved!A:A,PhpReserved!B:B,""),_xlfn.XLOOKUP(F109,PhpReserved!A:A,PhpReserved!B:B,""))</f>
        <v/>
      </c>
      <c r="M109" t="str">
        <f>IF(_xlfn.XLOOKUP(F109,PhpFunctions!A:A,PhpFunctions!B:B,"") =  "", _xlfn.XLOOKUP(G109,PhpFunctions!A:A,PhpFunctions!B:B,""), _xlfn.XLOOKUP(F109,PhpFunctions!A:A,PhpFunctions!B:B,""))</f>
        <v/>
      </c>
      <c r="N109" t="str">
        <f>IF(_xlfn.XLOOKUP(F109,PhpParamFunc!A:A,PhpParamFunc!B:B,"") = "", _xlfn.XLOOKUP(G109,PhpParamFunc!A:A,PhpParamFunc!B:B,""), _xlfn.XLOOKUP(F109,PhpParamFunc!A:A,PhpParamFunc!B:B,""))</f>
        <v/>
      </c>
      <c r="O109" t="str">
        <f>IF(_xlfn.XLOOKUP(F109,PhpAggrFunc!A:A,PhpAggrFunc!B:B,"") = "", _xlfn.XLOOKUP(G109,PhpAggrFunc!A:A,PhpAggrFunc!B:B,""), _xlfn.XLOOKUP(F109,PhpAggrFunc!A:A,PhpAggrFunc!B:B,""))</f>
        <v/>
      </c>
      <c r="P109" t="str">
        <f t="shared" si="8"/>
        <v>UNRESERVED</v>
      </c>
      <c r="Q109" t="str">
        <f t="shared" si="9"/>
        <v>static const String^ TOK_CTR_LENGTH = "CTR_LENGTH";</v>
      </c>
      <c r="R109" t="str">
        <f t="shared" si="10"/>
        <v>static const int TOK_CTR_LENGTH = 673;</v>
      </c>
      <c r="S109" t="str">
        <f t="shared" si="11"/>
        <v>// _Tokens-&gt;Add((String^)GramVals::TOK_CTR_LENGTH, gcnew Token(GramKeys::TOK_CTR_LENGTH, EnumTokenCategory::UNRESERVED,BARE_LABEL, i++));</v>
      </c>
    </row>
    <row r="110" spans="1:19" x14ac:dyDescent="0.25">
      <c r="A110" s="3" t="s">
        <v>904</v>
      </c>
      <c r="B110" s="5">
        <v>674</v>
      </c>
      <c r="C110" s="3" t="s">
        <v>2001</v>
      </c>
      <c r="D110" s="3" t="s">
        <v>2423</v>
      </c>
      <c r="F110" t="str">
        <f t="shared" si="6"/>
        <v>CTR_LITTLE_ENDIAN</v>
      </c>
      <c r="G110" t="s">
        <v>3673</v>
      </c>
      <c r="I110" s="3" t="str">
        <f>IF(_xlfn.XLOOKUP(F110,PgSqlRaw!B:B,PgSqlRaw!E:E,"") = "",_xlfn.XLOOKUP(G110,PgSqlRaw!B:B,PgSqlRaw!E:E,""),_xlfn.XLOOKUP(F110,PgSqlRaw!B:B,PgSqlRaw!E:E,""))</f>
        <v/>
      </c>
      <c r="J110" t="str">
        <f>IF(_xlfn.XLOOKUP(F110,PgSqlRaw!B:B,PgSqlRaw!F:F,"") = "", _xlfn.XLOOKUP(G110,PgSqlRaw!B:B,PgSqlRaw!F:F,""), _xlfn.XLOOKUP(F110,PgSqlRaw!B:B,PgSqlRaw!F:F,""))</f>
        <v/>
      </c>
      <c r="K110" t="str">
        <f t="shared" si="7"/>
        <v>BARE_LABEL</v>
      </c>
      <c r="L110" t="str">
        <f>IF(_xlfn.XLOOKUP(F110,PhpReserved!A:A,PhpReserved!B:B,"") = "", _xlfn.XLOOKUP(G110,PhpReserved!A:A,PhpReserved!B:B,""),_xlfn.XLOOKUP(F110,PhpReserved!A:A,PhpReserved!B:B,""))</f>
        <v/>
      </c>
      <c r="M110" t="str">
        <f>IF(_xlfn.XLOOKUP(F110,PhpFunctions!A:A,PhpFunctions!B:B,"") =  "", _xlfn.XLOOKUP(G110,PhpFunctions!A:A,PhpFunctions!B:B,""), _xlfn.XLOOKUP(F110,PhpFunctions!A:A,PhpFunctions!B:B,""))</f>
        <v/>
      </c>
      <c r="N110" t="str">
        <f>IF(_xlfn.XLOOKUP(F110,PhpParamFunc!A:A,PhpParamFunc!B:B,"") = "", _xlfn.XLOOKUP(G110,PhpParamFunc!A:A,PhpParamFunc!B:B,""), _xlfn.XLOOKUP(F110,PhpParamFunc!A:A,PhpParamFunc!B:B,""))</f>
        <v/>
      </c>
      <c r="O110" t="str">
        <f>IF(_xlfn.XLOOKUP(F110,PhpAggrFunc!A:A,PhpAggrFunc!B:B,"") = "", _xlfn.XLOOKUP(G110,PhpAggrFunc!A:A,PhpAggrFunc!B:B,""), _xlfn.XLOOKUP(F110,PhpAggrFunc!A:A,PhpAggrFunc!B:B,""))</f>
        <v/>
      </c>
      <c r="P110" t="str">
        <f t="shared" si="8"/>
        <v>UNRESERVED</v>
      </c>
      <c r="Q110" t="str">
        <f t="shared" si="9"/>
        <v>static const String^ TOK_CTR_LITTLE_ENDIAN = "CTR_LITTLE_ENDIAN";</v>
      </c>
      <c r="R110" t="str">
        <f t="shared" si="10"/>
        <v>static const int TOK_CTR_LITTLE_ENDIAN = 674;</v>
      </c>
      <c r="S110" t="str">
        <f t="shared" si="11"/>
        <v>// _Tokens-&gt;Add((String^)GramVals::TOK_CTR_LITTLE_ENDIAN, gcnew Token(GramKeys::TOK_CTR_LITTLE_ENDIAN, EnumTokenCategory::UNRESERVED,BARE_LABEL, i++));</v>
      </c>
    </row>
    <row r="111" spans="1:19" x14ac:dyDescent="0.25">
      <c r="A111" s="3" t="s">
        <v>905</v>
      </c>
      <c r="B111" s="5">
        <v>675</v>
      </c>
      <c r="C111" s="3" t="s">
        <v>2002</v>
      </c>
      <c r="D111" s="3" t="s">
        <v>2423</v>
      </c>
      <c r="F111" t="str">
        <f t="shared" si="6"/>
        <v>CUME_DIST</v>
      </c>
      <c r="G111" t="s">
        <v>3674</v>
      </c>
      <c r="I111" s="3" t="str">
        <f>IF(_xlfn.XLOOKUP(F111,PgSqlRaw!B:B,PgSqlRaw!E:E,"") = "",_xlfn.XLOOKUP(G111,PgSqlRaw!B:B,PgSqlRaw!E:E,""),_xlfn.XLOOKUP(F111,PgSqlRaw!B:B,PgSqlRaw!E:E,""))</f>
        <v/>
      </c>
      <c r="J111" t="str">
        <f>IF(_xlfn.XLOOKUP(F111,PgSqlRaw!B:B,PgSqlRaw!F:F,"") = "", _xlfn.XLOOKUP(G111,PgSqlRaw!B:B,PgSqlRaw!F:F,""), _xlfn.XLOOKUP(F111,PgSqlRaw!B:B,PgSqlRaw!F:F,""))</f>
        <v/>
      </c>
      <c r="K111" t="str">
        <f t="shared" si="7"/>
        <v>BARE_LABEL</v>
      </c>
      <c r="L111" t="str">
        <f>IF(_xlfn.XLOOKUP(F111,PhpReserved!A:A,PhpReserved!B:B,"") = "", _xlfn.XLOOKUP(G111,PhpReserved!A:A,PhpReserved!B:B,""),_xlfn.XLOOKUP(F111,PhpReserved!A:A,PhpReserved!B:B,""))</f>
        <v/>
      </c>
      <c r="M111" t="str">
        <f>IF(_xlfn.XLOOKUP(F111,PhpFunctions!A:A,PhpFunctions!B:B,"") =  "", _xlfn.XLOOKUP(G111,PhpFunctions!A:A,PhpFunctions!B:B,""), _xlfn.XLOOKUP(F111,PhpFunctions!A:A,PhpFunctions!B:B,""))</f>
        <v/>
      </c>
      <c r="N111" t="str">
        <f>IF(_xlfn.XLOOKUP(F111,PhpParamFunc!A:A,PhpParamFunc!B:B,"") = "", _xlfn.XLOOKUP(G111,PhpParamFunc!A:A,PhpParamFunc!B:B,""), _xlfn.XLOOKUP(F111,PhpParamFunc!A:A,PhpParamFunc!B:B,""))</f>
        <v/>
      </c>
      <c r="O111" t="str">
        <f>IF(_xlfn.XLOOKUP(F111,PhpAggrFunc!A:A,PhpAggrFunc!B:B,"") = "", _xlfn.XLOOKUP(G111,PhpAggrFunc!A:A,PhpAggrFunc!B:B,""), _xlfn.XLOOKUP(F111,PhpAggrFunc!A:A,PhpAggrFunc!B:B,""))</f>
        <v/>
      </c>
      <c r="P111" t="str">
        <f t="shared" si="8"/>
        <v>UNRESERVED</v>
      </c>
      <c r="Q111" t="str">
        <f t="shared" si="9"/>
        <v>static const String^ TOK_CUME_DIST = "CUME_DIST";</v>
      </c>
      <c r="R111" t="str">
        <f t="shared" si="10"/>
        <v>static const int TOK_CUME_DIST = 675;</v>
      </c>
      <c r="S111" t="str">
        <f t="shared" si="11"/>
        <v>// _Tokens-&gt;Add((String^)GramVals::TOK_CUME_DIST, gcnew Token(GramKeys::TOK_CUME_DIST, EnumTokenCategory::UNRESERVED,BARE_LABEL, i++));</v>
      </c>
    </row>
    <row r="112" spans="1:19" x14ac:dyDescent="0.25">
      <c r="A112" s="3" t="s">
        <v>1486</v>
      </c>
      <c r="B112" s="5" t="s">
        <v>1068</v>
      </c>
      <c r="C112" s="3" t="s">
        <v>2003</v>
      </c>
      <c r="D112" s="3" t="s">
        <v>881</v>
      </c>
      <c r="F112" t="str">
        <f t="shared" si="6"/>
        <v>CURRENT</v>
      </c>
      <c r="G112" t="s">
        <v>3363</v>
      </c>
      <c r="I112" s="3" t="str">
        <f>IF(_xlfn.XLOOKUP(F112,PgSqlRaw!B:B,PgSqlRaw!E:E,"") = "",_xlfn.XLOOKUP(G112,PgSqlRaw!B:B,PgSqlRaw!E:E,""),_xlfn.XLOOKUP(F112,PgSqlRaw!B:B,PgSqlRaw!E:E,""))</f>
        <v/>
      </c>
      <c r="J112" t="str">
        <f>IF(_xlfn.XLOOKUP(F112,PgSqlRaw!B:B,PgSqlRaw!F:F,"") = "", _xlfn.XLOOKUP(G112,PgSqlRaw!B:B,PgSqlRaw!F:F,""), _xlfn.XLOOKUP(F112,PgSqlRaw!B:B,PgSqlRaw!F:F,""))</f>
        <v>BARE_LABEL</v>
      </c>
      <c r="K112" t="str">
        <f t="shared" si="7"/>
        <v>BARE_LABEL</v>
      </c>
      <c r="L112" t="str">
        <f>IF(_xlfn.XLOOKUP(F112,PhpReserved!A:A,PhpReserved!B:B,"") = "", _xlfn.XLOOKUP(G112,PhpReserved!A:A,PhpReserved!B:B,""),_xlfn.XLOOKUP(F112,PhpReserved!A:A,PhpReserved!B:B,""))</f>
        <v/>
      </c>
      <c r="M112" t="str">
        <f>IF(_xlfn.XLOOKUP(F112,PhpFunctions!A:A,PhpFunctions!B:B,"") =  "", _xlfn.XLOOKUP(G112,PhpFunctions!A:A,PhpFunctions!B:B,""), _xlfn.XLOOKUP(F112,PhpFunctions!A:A,PhpFunctions!B:B,""))</f>
        <v/>
      </c>
      <c r="N112" t="str">
        <f>IF(_xlfn.XLOOKUP(F112,PhpParamFunc!A:A,PhpParamFunc!B:B,"") = "", _xlfn.XLOOKUP(G112,PhpParamFunc!A:A,PhpParamFunc!B:B,""), _xlfn.XLOOKUP(F112,PhpParamFunc!A:A,PhpParamFunc!B:B,""))</f>
        <v/>
      </c>
      <c r="O112" t="str">
        <f>IF(_xlfn.XLOOKUP(F112,PhpAggrFunc!A:A,PhpAggrFunc!B:B,"") = "", _xlfn.XLOOKUP(G112,PhpAggrFunc!A:A,PhpAggrFunc!B:B,""), _xlfn.XLOOKUP(F112,PhpAggrFunc!A:A,PhpAggrFunc!B:B,""))</f>
        <v/>
      </c>
      <c r="P112" t="str">
        <f t="shared" si="8"/>
        <v>UNRESERVED</v>
      </c>
      <c r="Q112" t="str">
        <f t="shared" si="9"/>
        <v>static const String^ TOK_CURRENT = "CURRENT";</v>
      </c>
      <c r="R112" t="str">
        <f t="shared" si="10"/>
        <v>static const int TOK_CURRENT = 288;</v>
      </c>
      <c r="S112" t="str">
        <f t="shared" si="11"/>
        <v>// _Tokens-&gt;Add((String^)GramVals::TOK_CURRENT, gcnew Token(GramKeys::TOK_CURRENT, EnumTokenCategory::UNRESERVED,BARE_LABEL, i++));</v>
      </c>
    </row>
    <row r="113" spans="1:19" x14ac:dyDescent="0.25">
      <c r="A113" s="3" t="s">
        <v>1487</v>
      </c>
      <c r="B113" s="5" t="s">
        <v>1069</v>
      </c>
      <c r="C113" s="3" t="s">
        <v>2004</v>
      </c>
      <c r="D113" s="3" t="s">
        <v>881</v>
      </c>
      <c r="F113" t="str">
        <f t="shared" si="6"/>
        <v>CURRENT_CONNECTION</v>
      </c>
      <c r="G113" t="s">
        <v>3675</v>
      </c>
      <c r="I113" s="3" t="str">
        <f>IF(_xlfn.XLOOKUP(F113,PgSqlRaw!B:B,PgSqlRaw!E:E,"") = "",_xlfn.XLOOKUP(G113,PgSqlRaw!B:B,PgSqlRaw!E:E,""),_xlfn.XLOOKUP(F113,PgSqlRaw!B:B,PgSqlRaw!E:E,""))</f>
        <v/>
      </c>
      <c r="J113" t="str">
        <f>IF(_xlfn.XLOOKUP(F113,PgSqlRaw!B:B,PgSqlRaw!F:F,"") = "", _xlfn.XLOOKUP(G113,PgSqlRaw!B:B,PgSqlRaw!F:F,""), _xlfn.XLOOKUP(F113,PgSqlRaw!B:B,PgSqlRaw!F:F,""))</f>
        <v/>
      </c>
      <c r="K113" t="str">
        <f t="shared" si="7"/>
        <v>BARE_LABEL</v>
      </c>
      <c r="L113" t="str">
        <f>IF(_xlfn.XLOOKUP(F113,PhpReserved!A:A,PhpReserved!B:B,"") = "", _xlfn.XLOOKUP(G113,PhpReserved!A:A,PhpReserved!B:B,""),_xlfn.XLOOKUP(F113,PhpReserved!A:A,PhpReserved!B:B,""))</f>
        <v/>
      </c>
      <c r="M113" t="str">
        <f>IF(_xlfn.XLOOKUP(F113,PhpFunctions!A:A,PhpFunctions!B:B,"") =  "", _xlfn.XLOOKUP(G113,PhpFunctions!A:A,PhpFunctions!B:B,""), _xlfn.XLOOKUP(F113,PhpFunctions!A:A,PhpFunctions!B:B,""))</f>
        <v/>
      </c>
      <c r="N113" t="str">
        <f>IF(_xlfn.XLOOKUP(F113,PhpParamFunc!A:A,PhpParamFunc!B:B,"") = "", _xlfn.XLOOKUP(G113,PhpParamFunc!A:A,PhpParamFunc!B:B,""), _xlfn.XLOOKUP(F113,PhpParamFunc!A:A,PhpParamFunc!B:B,""))</f>
        <v/>
      </c>
      <c r="O113" t="str">
        <f>IF(_xlfn.XLOOKUP(F113,PhpAggrFunc!A:A,PhpAggrFunc!B:B,"") = "", _xlfn.XLOOKUP(G113,PhpAggrFunc!A:A,PhpAggrFunc!B:B,""), _xlfn.XLOOKUP(F113,PhpAggrFunc!A:A,PhpAggrFunc!B:B,""))</f>
        <v/>
      </c>
      <c r="P113" t="str">
        <f t="shared" si="8"/>
        <v>UNRESERVED</v>
      </c>
      <c r="Q113" t="str">
        <f t="shared" si="9"/>
        <v>static const String^ TOK_CURRENT_CONNECTION = "CURRENT_CONNECTION";</v>
      </c>
      <c r="R113" t="str">
        <f t="shared" si="10"/>
        <v>static const int TOK_CURRENT_CONNECTION = 477;</v>
      </c>
      <c r="S113" t="str">
        <f t="shared" si="11"/>
        <v>// _Tokens-&gt;Add((String^)GramVals::TOK_CURRENT_CONNECTION, gcnew Token(GramKeys::TOK_CURRENT_CONNECTION, EnumTokenCategory::UNRESERVED,BARE_LABEL, i++));</v>
      </c>
    </row>
    <row r="114" spans="1:19" x14ac:dyDescent="0.25">
      <c r="A114" s="3" t="s">
        <v>1488</v>
      </c>
      <c r="B114" s="5" t="s">
        <v>1070</v>
      </c>
      <c r="C114" s="3" t="s">
        <v>2005</v>
      </c>
      <c r="D114" s="3" t="s">
        <v>881</v>
      </c>
      <c r="F114" t="str">
        <f t="shared" si="6"/>
        <v>CURRENT_DATE</v>
      </c>
      <c r="G114" t="s">
        <v>3116</v>
      </c>
      <c r="I114" s="3" t="str">
        <f>IF(_xlfn.XLOOKUP(F114,PgSqlRaw!B:B,PgSqlRaw!E:E,"") = "",_xlfn.XLOOKUP(G114,PgSqlRaw!B:B,PgSqlRaw!E:E,""),_xlfn.XLOOKUP(F114,PgSqlRaw!B:B,PgSqlRaw!E:E,""))</f>
        <v>RESERVED</v>
      </c>
      <c r="J114" t="str">
        <f>IF(_xlfn.XLOOKUP(F114,PgSqlRaw!B:B,PgSqlRaw!F:F,"") = "", _xlfn.XLOOKUP(G114,PgSqlRaw!B:B,PgSqlRaw!F:F,""), _xlfn.XLOOKUP(F114,PgSqlRaw!B:B,PgSqlRaw!F:F,""))</f>
        <v>BARE_LABEL</v>
      </c>
      <c r="K114" t="str">
        <f t="shared" si="7"/>
        <v>BARE_LABEL</v>
      </c>
      <c r="L114" t="str">
        <f>IF(_xlfn.XLOOKUP(F114,PhpReserved!A:A,PhpReserved!B:B,"") = "", _xlfn.XLOOKUP(G114,PhpReserved!A:A,PhpReserved!B:B,""),_xlfn.XLOOKUP(F114,PhpReserved!A:A,PhpReserved!B:B,""))</f>
        <v>RESERVED</v>
      </c>
      <c r="M114" t="str">
        <f>IF(_xlfn.XLOOKUP(F114,PhpFunctions!A:A,PhpFunctions!B:B,"") =  "", _xlfn.XLOOKUP(G114,PhpFunctions!A:A,PhpFunctions!B:B,""), _xlfn.XLOOKUP(F114,PhpFunctions!A:A,PhpFunctions!B:B,""))</f>
        <v/>
      </c>
      <c r="N114" t="str">
        <f>IF(_xlfn.XLOOKUP(F114,PhpParamFunc!A:A,PhpParamFunc!B:B,"") = "", _xlfn.XLOOKUP(G114,PhpParamFunc!A:A,PhpParamFunc!B:B,""), _xlfn.XLOOKUP(F114,PhpParamFunc!A:A,PhpParamFunc!B:B,""))</f>
        <v/>
      </c>
      <c r="O114" t="str">
        <f>IF(_xlfn.XLOOKUP(F114,PhpAggrFunc!A:A,PhpAggrFunc!B:B,"") = "", _xlfn.XLOOKUP(G114,PhpAggrFunc!A:A,PhpAggrFunc!B:B,""), _xlfn.XLOOKUP(F114,PhpAggrFunc!A:A,PhpAggrFunc!B:B,""))</f>
        <v/>
      </c>
      <c r="P114" t="str">
        <f t="shared" si="8"/>
        <v>RESERVED</v>
      </c>
      <c r="Q114" t="str">
        <f t="shared" si="9"/>
        <v>static const String^ TOK_CURRENT_DATE = "CURRENT_DATE";</v>
      </c>
      <c r="R114" t="str">
        <f t="shared" si="10"/>
        <v>static const int TOK_CURRENT_DATE = 464;</v>
      </c>
      <c r="S114" t="str">
        <f t="shared" si="11"/>
        <v>_Tokens-&gt;Add((String^)GramVals::TOK_CURRENT_DATE, gcnew Token(GramKeys::TOK_CURRENT_DATE, EnumTokenCategory::RESERVED,BARE_LABEL, i++));</v>
      </c>
    </row>
    <row r="115" spans="1:19" x14ac:dyDescent="0.25">
      <c r="A115" s="3" t="s">
        <v>1489</v>
      </c>
      <c r="B115" s="5" t="s">
        <v>1071</v>
      </c>
      <c r="C115" s="3" t="s">
        <v>2006</v>
      </c>
      <c r="D115" s="3" t="s">
        <v>881</v>
      </c>
      <c r="F115" t="str">
        <f t="shared" si="6"/>
        <v>CURRENT_ROLE</v>
      </c>
      <c r="G115" t="s">
        <v>3364</v>
      </c>
      <c r="I115" s="3" t="str">
        <f>IF(_xlfn.XLOOKUP(F115,PgSqlRaw!B:B,PgSqlRaw!E:E,"") = "",_xlfn.XLOOKUP(G115,PgSqlRaw!B:B,PgSqlRaw!E:E,""),_xlfn.XLOOKUP(F115,PgSqlRaw!B:B,PgSqlRaw!E:E,""))</f>
        <v>RESERVED</v>
      </c>
      <c r="J115" t="str">
        <f>IF(_xlfn.XLOOKUP(F115,PgSqlRaw!B:B,PgSqlRaw!F:F,"") = "", _xlfn.XLOOKUP(G115,PgSqlRaw!B:B,PgSqlRaw!F:F,""), _xlfn.XLOOKUP(F115,PgSqlRaw!B:B,PgSqlRaw!F:F,""))</f>
        <v>BARE_LABEL</v>
      </c>
      <c r="K115" t="str">
        <f t="shared" si="7"/>
        <v>BARE_LABEL</v>
      </c>
      <c r="L115" t="str">
        <f>IF(_xlfn.XLOOKUP(F115,PhpReserved!A:A,PhpReserved!B:B,"") = "", _xlfn.XLOOKUP(G115,PhpReserved!A:A,PhpReserved!B:B,""),_xlfn.XLOOKUP(F115,PhpReserved!A:A,PhpReserved!B:B,""))</f>
        <v/>
      </c>
      <c r="M115" t="str">
        <f>IF(_xlfn.XLOOKUP(F115,PhpFunctions!A:A,PhpFunctions!B:B,"") =  "", _xlfn.XLOOKUP(G115,PhpFunctions!A:A,PhpFunctions!B:B,""), _xlfn.XLOOKUP(F115,PhpFunctions!A:A,PhpFunctions!B:B,""))</f>
        <v/>
      </c>
      <c r="N115" t="str">
        <f>IF(_xlfn.XLOOKUP(F115,PhpParamFunc!A:A,PhpParamFunc!B:B,"") = "", _xlfn.XLOOKUP(G115,PhpParamFunc!A:A,PhpParamFunc!B:B,""), _xlfn.XLOOKUP(F115,PhpParamFunc!A:A,PhpParamFunc!B:B,""))</f>
        <v/>
      </c>
      <c r="O115" t="str">
        <f>IF(_xlfn.XLOOKUP(F115,PhpAggrFunc!A:A,PhpAggrFunc!B:B,"") = "", _xlfn.XLOOKUP(G115,PhpAggrFunc!A:A,PhpAggrFunc!B:B,""), _xlfn.XLOOKUP(F115,PhpAggrFunc!A:A,PhpAggrFunc!B:B,""))</f>
        <v/>
      </c>
      <c r="P115" t="str">
        <f t="shared" si="8"/>
        <v>RESERVED</v>
      </c>
      <c r="Q115" t="str">
        <f t="shared" si="9"/>
        <v>static const String^ TOK_CURRENT_ROLE = "CURRENT_ROLE";</v>
      </c>
      <c r="R115" t="str">
        <f t="shared" si="10"/>
        <v>static const int TOK_CURRENT_ROLE = 470;</v>
      </c>
      <c r="S115" t="str">
        <f t="shared" si="11"/>
        <v>_Tokens-&gt;Add((String^)GramVals::TOK_CURRENT_ROLE, gcnew Token(GramKeys::TOK_CURRENT_ROLE, EnumTokenCategory::RESERVED,BARE_LABEL, i++));</v>
      </c>
    </row>
    <row r="116" spans="1:19" x14ac:dyDescent="0.25">
      <c r="A116" s="3" t="s">
        <v>1490</v>
      </c>
      <c r="B116" s="5" t="s">
        <v>1072</v>
      </c>
      <c r="C116" s="3" t="s">
        <v>2007</v>
      </c>
      <c r="D116" s="3" t="s">
        <v>881</v>
      </c>
      <c r="F116" t="str">
        <f t="shared" si="6"/>
        <v>CURRENT_TIME</v>
      </c>
      <c r="G116" t="s">
        <v>3117</v>
      </c>
      <c r="I116" s="3" t="str">
        <f>IF(_xlfn.XLOOKUP(F116,PgSqlRaw!B:B,PgSqlRaw!E:E,"") = "",_xlfn.XLOOKUP(G116,PgSqlRaw!B:B,PgSqlRaw!E:E,""),_xlfn.XLOOKUP(F116,PgSqlRaw!B:B,PgSqlRaw!E:E,""))</f>
        <v>RESERVED</v>
      </c>
      <c r="J116" t="str">
        <f>IF(_xlfn.XLOOKUP(F116,PgSqlRaw!B:B,PgSqlRaw!F:F,"") = "", _xlfn.XLOOKUP(G116,PgSqlRaw!B:B,PgSqlRaw!F:F,""), _xlfn.XLOOKUP(F116,PgSqlRaw!B:B,PgSqlRaw!F:F,""))</f>
        <v>BARE_LABEL</v>
      </c>
      <c r="K116" t="str">
        <f t="shared" si="7"/>
        <v>BARE_LABEL</v>
      </c>
      <c r="L116" t="str">
        <f>IF(_xlfn.XLOOKUP(F116,PhpReserved!A:A,PhpReserved!B:B,"") = "", _xlfn.XLOOKUP(G116,PhpReserved!A:A,PhpReserved!B:B,""),_xlfn.XLOOKUP(F116,PhpReserved!A:A,PhpReserved!B:B,""))</f>
        <v>RESERVED</v>
      </c>
      <c r="M116" t="str">
        <f>IF(_xlfn.XLOOKUP(F116,PhpFunctions!A:A,PhpFunctions!B:B,"") =  "", _xlfn.XLOOKUP(G116,PhpFunctions!A:A,PhpFunctions!B:B,""), _xlfn.XLOOKUP(F116,PhpFunctions!A:A,PhpFunctions!B:B,""))</f>
        <v/>
      </c>
      <c r="N116" t="str">
        <f>IF(_xlfn.XLOOKUP(F116,PhpParamFunc!A:A,PhpParamFunc!B:B,"") = "", _xlfn.XLOOKUP(G116,PhpParamFunc!A:A,PhpParamFunc!B:B,""), _xlfn.XLOOKUP(F116,PhpParamFunc!A:A,PhpParamFunc!B:B,""))</f>
        <v/>
      </c>
      <c r="O116" t="str">
        <f>IF(_xlfn.XLOOKUP(F116,PhpAggrFunc!A:A,PhpAggrFunc!B:B,"") = "", _xlfn.XLOOKUP(G116,PhpAggrFunc!A:A,PhpAggrFunc!B:B,""), _xlfn.XLOOKUP(F116,PhpAggrFunc!A:A,PhpAggrFunc!B:B,""))</f>
        <v/>
      </c>
      <c r="P116" t="str">
        <f t="shared" si="8"/>
        <v>RESERVED</v>
      </c>
      <c r="Q116" t="str">
        <f t="shared" si="9"/>
        <v>static const String^ TOK_CURRENT_TIME = "CURRENT_TIME";</v>
      </c>
      <c r="R116" t="str">
        <f t="shared" si="10"/>
        <v>static const int TOK_CURRENT_TIME = 465;</v>
      </c>
      <c r="S116" t="str">
        <f t="shared" si="11"/>
        <v>_Tokens-&gt;Add((String^)GramVals::TOK_CURRENT_TIME, gcnew Token(GramKeys::TOK_CURRENT_TIME, EnumTokenCategory::RESERVED,BARE_LABEL, i++));</v>
      </c>
    </row>
    <row r="117" spans="1:19" x14ac:dyDescent="0.25">
      <c r="A117" s="3" t="s">
        <v>1491</v>
      </c>
      <c r="B117" s="5" t="s">
        <v>1073</v>
      </c>
      <c r="C117" s="3" t="s">
        <v>2008</v>
      </c>
      <c r="D117" s="3" t="s">
        <v>881</v>
      </c>
      <c r="F117" t="str">
        <f t="shared" si="6"/>
        <v>CURRENT_TIMESTAMP</v>
      </c>
      <c r="G117" t="s">
        <v>3118</v>
      </c>
      <c r="I117" s="3" t="str">
        <f>IF(_xlfn.XLOOKUP(F117,PgSqlRaw!B:B,PgSqlRaw!E:E,"") = "",_xlfn.XLOOKUP(G117,PgSqlRaw!B:B,PgSqlRaw!E:E,""),_xlfn.XLOOKUP(F117,PgSqlRaw!B:B,PgSqlRaw!E:E,""))</f>
        <v>RESERVED</v>
      </c>
      <c r="J117" t="str">
        <f>IF(_xlfn.XLOOKUP(F117,PgSqlRaw!B:B,PgSqlRaw!F:F,"") = "", _xlfn.XLOOKUP(G117,PgSqlRaw!B:B,PgSqlRaw!F:F,""), _xlfn.XLOOKUP(F117,PgSqlRaw!B:B,PgSqlRaw!F:F,""))</f>
        <v>BARE_LABEL</v>
      </c>
      <c r="K117" t="str">
        <f t="shared" si="7"/>
        <v>BARE_LABEL</v>
      </c>
      <c r="L117" t="str">
        <f>IF(_xlfn.XLOOKUP(F117,PhpReserved!A:A,PhpReserved!B:B,"") = "", _xlfn.XLOOKUP(G117,PhpReserved!A:A,PhpReserved!B:B,""),_xlfn.XLOOKUP(F117,PhpReserved!A:A,PhpReserved!B:B,""))</f>
        <v>RESERVED</v>
      </c>
      <c r="M117" t="str">
        <f>IF(_xlfn.XLOOKUP(F117,PhpFunctions!A:A,PhpFunctions!B:B,"") =  "", _xlfn.XLOOKUP(G117,PhpFunctions!A:A,PhpFunctions!B:B,""), _xlfn.XLOOKUP(F117,PhpFunctions!A:A,PhpFunctions!B:B,""))</f>
        <v/>
      </c>
      <c r="N117" t="str">
        <f>IF(_xlfn.XLOOKUP(F117,PhpParamFunc!A:A,PhpParamFunc!B:B,"") = "", _xlfn.XLOOKUP(G117,PhpParamFunc!A:A,PhpParamFunc!B:B,""), _xlfn.XLOOKUP(F117,PhpParamFunc!A:A,PhpParamFunc!B:B,""))</f>
        <v/>
      </c>
      <c r="O117" t="str">
        <f>IF(_xlfn.XLOOKUP(F117,PhpAggrFunc!A:A,PhpAggrFunc!B:B,"") = "", _xlfn.XLOOKUP(G117,PhpAggrFunc!A:A,PhpAggrFunc!B:B,""), _xlfn.XLOOKUP(F117,PhpAggrFunc!A:A,PhpAggrFunc!B:B,""))</f>
        <v/>
      </c>
      <c r="P117" t="str">
        <f t="shared" si="8"/>
        <v>RESERVED</v>
      </c>
      <c r="Q117" t="str">
        <f t="shared" si="9"/>
        <v>static const String^ TOK_CURRENT_TIMESTAMP = "CURRENT_TIMESTAMP";</v>
      </c>
      <c r="R117" t="str">
        <f t="shared" si="10"/>
        <v>static const int TOK_CURRENT_TIMESTAMP = 466;</v>
      </c>
      <c r="S117" t="str">
        <f t="shared" si="11"/>
        <v>_Tokens-&gt;Add((String^)GramVals::TOK_CURRENT_TIMESTAMP, gcnew Token(GramKeys::TOK_CURRENT_TIMESTAMP, EnumTokenCategory::RESERVED,BARE_LABEL, i++));</v>
      </c>
    </row>
    <row r="118" spans="1:19" x14ac:dyDescent="0.25">
      <c r="A118" s="3" t="s">
        <v>1492</v>
      </c>
      <c r="B118" s="5" t="s">
        <v>1074</v>
      </c>
      <c r="C118" s="3" t="s">
        <v>2009</v>
      </c>
      <c r="D118" s="3" t="s">
        <v>881</v>
      </c>
      <c r="F118" t="str">
        <f t="shared" si="6"/>
        <v>CURRENT_TRANSACTION</v>
      </c>
      <c r="G118" t="s">
        <v>3676</v>
      </c>
      <c r="I118" s="3" t="str">
        <f>IF(_xlfn.XLOOKUP(F118,PgSqlRaw!B:B,PgSqlRaw!E:E,"") = "",_xlfn.XLOOKUP(G118,PgSqlRaw!B:B,PgSqlRaw!E:E,""),_xlfn.XLOOKUP(F118,PgSqlRaw!B:B,PgSqlRaw!E:E,""))</f>
        <v/>
      </c>
      <c r="J118" t="str">
        <f>IF(_xlfn.XLOOKUP(F118,PgSqlRaw!B:B,PgSqlRaw!F:F,"") = "", _xlfn.XLOOKUP(G118,PgSqlRaw!B:B,PgSqlRaw!F:F,""), _xlfn.XLOOKUP(F118,PgSqlRaw!B:B,PgSqlRaw!F:F,""))</f>
        <v/>
      </c>
      <c r="K118" t="str">
        <f t="shared" si="7"/>
        <v>BARE_LABEL</v>
      </c>
      <c r="L118" t="str">
        <f>IF(_xlfn.XLOOKUP(F118,PhpReserved!A:A,PhpReserved!B:B,"") = "", _xlfn.XLOOKUP(G118,PhpReserved!A:A,PhpReserved!B:B,""),_xlfn.XLOOKUP(F118,PhpReserved!A:A,PhpReserved!B:B,""))</f>
        <v/>
      </c>
      <c r="M118" t="str">
        <f>IF(_xlfn.XLOOKUP(F118,PhpFunctions!A:A,PhpFunctions!B:B,"") =  "", _xlfn.XLOOKUP(G118,PhpFunctions!A:A,PhpFunctions!B:B,""), _xlfn.XLOOKUP(F118,PhpFunctions!A:A,PhpFunctions!B:B,""))</f>
        <v/>
      </c>
      <c r="N118" t="str">
        <f>IF(_xlfn.XLOOKUP(F118,PhpParamFunc!A:A,PhpParamFunc!B:B,"") = "", _xlfn.XLOOKUP(G118,PhpParamFunc!A:A,PhpParamFunc!B:B,""), _xlfn.XLOOKUP(F118,PhpParamFunc!A:A,PhpParamFunc!B:B,""))</f>
        <v/>
      </c>
      <c r="O118" t="str">
        <f>IF(_xlfn.XLOOKUP(F118,PhpAggrFunc!A:A,PhpAggrFunc!B:B,"") = "", _xlfn.XLOOKUP(G118,PhpAggrFunc!A:A,PhpAggrFunc!B:B,""), _xlfn.XLOOKUP(F118,PhpAggrFunc!A:A,PhpAggrFunc!B:B,""))</f>
        <v/>
      </c>
      <c r="P118" t="str">
        <f t="shared" si="8"/>
        <v>UNRESERVED</v>
      </c>
      <c r="Q118" t="str">
        <f t="shared" si="9"/>
        <v>static const String^ TOK_CURRENT_TRANSACTION = "CURRENT_TRANSACTION";</v>
      </c>
      <c r="R118" t="str">
        <f t="shared" si="10"/>
        <v>static const int TOK_CURRENT_TRANSACTION = 478;</v>
      </c>
      <c r="S118" t="str">
        <f t="shared" si="11"/>
        <v>// _Tokens-&gt;Add((String^)GramVals::TOK_CURRENT_TRANSACTION, gcnew Token(GramKeys::TOK_CURRENT_TRANSACTION, EnumTokenCategory::UNRESERVED,BARE_LABEL, i++));</v>
      </c>
    </row>
    <row r="119" spans="1:19" x14ac:dyDescent="0.25">
      <c r="A119" s="3" t="s">
        <v>1493</v>
      </c>
      <c r="B119" s="5" t="s">
        <v>1075</v>
      </c>
      <c r="C119" s="3" t="s">
        <v>2010</v>
      </c>
      <c r="D119" s="3" t="s">
        <v>881</v>
      </c>
      <c r="F119" t="str">
        <f t="shared" si="6"/>
        <v>CURRENT_USER</v>
      </c>
      <c r="G119" t="s">
        <v>2922</v>
      </c>
      <c r="I119" s="3" t="str">
        <f>IF(_xlfn.XLOOKUP(F119,PgSqlRaw!B:B,PgSqlRaw!E:E,"") = "",_xlfn.XLOOKUP(G119,PgSqlRaw!B:B,PgSqlRaw!E:E,""),_xlfn.XLOOKUP(F119,PgSqlRaw!B:B,PgSqlRaw!E:E,""))</f>
        <v>RESERVED</v>
      </c>
      <c r="J119" t="str">
        <f>IF(_xlfn.XLOOKUP(F119,PgSqlRaw!B:B,PgSqlRaw!F:F,"") = "", _xlfn.XLOOKUP(G119,PgSqlRaw!B:B,PgSqlRaw!F:F,""), _xlfn.XLOOKUP(F119,PgSqlRaw!B:B,PgSqlRaw!F:F,""))</f>
        <v>BARE_LABEL</v>
      </c>
      <c r="K119" t="str">
        <f t="shared" si="7"/>
        <v>BARE_LABEL</v>
      </c>
      <c r="L119" t="str">
        <f>IF(_xlfn.XLOOKUP(F119,PhpReserved!A:A,PhpReserved!B:B,"") = "", _xlfn.XLOOKUP(G119,PhpReserved!A:A,PhpReserved!B:B,""),_xlfn.XLOOKUP(F119,PhpReserved!A:A,PhpReserved!B:B,""))</f>
        <v>RESERVED</v>
      </c>
      <c r="M119" t="str">
        <f>IF(_xlfn.XLOOKUP(F119,PhpFunctions!A:A,PhpFunctions!B:B,"") =  "", _xlfn.XLOOKUP(G119,PhpFunctions!A:A,PhpFunctions!B:B,""), _xlfn.XLOOKUP(F119,PhpFunctions!A:A,PhpFunctions!B:B,""))</f>
        <v>FUNCTION</v>
      </c>
      <c r="N119" t="str">
        <f>IF(_xlfn.XLOOKUP(F119,PhpParamFunc!A:A,PhpParamFunc!B:B,"") = "", _xlfn.XLOOKUP(G119,PhpParamFunc!A:A,PhpParamFunc!B:B,""), _xlfn.XLOOKUP(F119,PhpParamFunc!A:A,PhpParamFunc!B:B,""))</f>
        <v/>
      </c>
      <c r="O119" t="str">
        <f>IF(_xlfn.XLOOKUP(F119,PhpAggrFunc!A:A,PhpAggrFunc!B:B,"") = "", _xlfn.XLOOKUP(G119,PhpAggrFunc!A:A,PhpAggrFunc!B:B,""), _xlfn.XLOOKUP(F119,PhpAggrFunc!A:A,PhpAggrFunc!B:B,""))</f>
        <v/>
      </c>
      <c r="P119" t="str">
        <f t="shared" si="8"/>
        <v>FUNCTION</v>
      </c>
      <c r="Q119" t="str">
        <f t="shared" si="9"/>
        <v>static const String^ TOK_CURRENT_USER = "CURRENT_USER";</v>
      </c>
      <c r="R119" t="str">
        <f t="shared" si="10"/>
        <v>static const int TOK_CURRENT_USER = 469;</v>
      </c>
      <c r="S119" t="str">
        <f t="shared" si="11"/>
        <v>_Tokens-&gt;Add((String^)GramVals::TOK_CURRENT_USER, gcnew Token(GramKeys::TOK_CURRENT_USER, EnumTokenCategory::FUNCTION,BARE_LABEL, i++));</v>
      </c>
    </row>
    <row r="120" spans="1:19" x14ac:dyDescent="0.25">
      <c r="A120" s="3" t="s">
        <v>1494</v>
      </c>
      <c r="B120" s="5" t="s">
        <v>1076</v>
      </c>
      <c r="C120" s="3" t="s">
        <v>2011</v>
      </c>
      <c r="D120" s="3" t="s">
        <v>881</v>
      </c>
      <c r="F120" t="str">
        <f t="shared" si="6"/>
        <v>CURSOR</v>
      </c>
      <c r="G120" t="s">
        <v>3119</v>
      </c>
      <c r="I120" s="3" t="str">
        <f>IF(_xlfn.XLOOKUP(F120,PgSqlRaw!B:B,PgSqlRaw!E:E,"") = "",_xlfn.XLOOKUP(G120,PgSqlRaw!B:B,PgSqlRaw!E:E,""),_xlfn.XLOOKUP(F120,PgSqlRaw!B:B,PgSqlRaw!E:E,""))</f>
        <v/>
      </c>
      <c r="J120" t="str">
        <f>IF(_xlfn.XLOOKUP(F120,PgSqlRaw!B:B,PgSqlRaw!F:F,"") = "", _xlfn.XLOOKUP(G120,PgSqlRaw!B:B,PgSqlRaw!F:F,""), _xlfn.XLOOKUP(F120,PgSqlRaw!B:B,PgSqlRaw!F:F,""))</f>
        <v>BARE_LABEL</v>
      </c>
      <c r="K120" t="str">
        <f t="shared" si="7"/>
        <v>BARE_LABEL</v>
      </c>
      <c r="L120" t="str">
        <f>IF(_xlfn.XLOOKUP(F120,PhpReserved!A:A,PhpReserved!B:B,"") = "", _xlfn.XLOOKUP(G120,PhpReserved!A:A,PhpReserved!B:B,""),_xlfn.XLOOKUP(F120,PhpReserved!A:A,PhpReserved!B:B,""))</f>
        <v>RESERVED</v>
      </c>
      <c r="M120" t="str">
        <f>IF(_xlfn.XLOOKUP(F120,PhpFunctions!A:A,PhpFunctions!B:B,"") =  "", _xlfn.XLOOKUP(G120,PhpFunctions!A:A,PhpFunctions!B:B,""), _xlfn.XLOOKUP(F120,PhpFunctions!A:A,PhpFunctions!B:B,""))</f>
        <v/>
      </c>
      <c r="N120" t="str">
        <f>IF(_xlfn.XLOOKUP(F120,PhpParamFunc!A:A,PhpParamFunc!B:B,"") = "", _xlfn.XLOOKUP(G120,PhpParamFunc!A:A,PhpParamFunc!B:B,""), _xlfn.XLOOKUP(F120,PhpParamFunc!A:A,PhpParamFunc!B:B,""))</f>
        <v/>
      </c>
      <c r="O120" t="str">
        <f>IF(_xlfn.XLOOKUP(F120,PhpAggrFunc!A:A,PhpAggrFunc!B:B,"") = "", _xlfn.XLOOKUP(G120,PhpAggrFunc!A:A,PhpAggrFunc!B:B,""), _xlfn.XLOOKUP(F120,PhpAggrFunc!A:A,PhpAggrFunc!B:B,""))</f>
        <v/>
      </c>
      <c r="P120" t="str">
        <f t="shared" si="8"/>
        <v>RESERVED</v>
      </c>
      <c r="Q120" t="str">
        <f t="shared" si="9"/>
        <v>static const String^ TOK_CURSOR = "CURSOR";</v>
      </c>
      <c r="R120" t="str">
        <f t="shared" si="10"/>
        <v>static const int TOK_CURSOR = 289;</v>
      </c>
      <c r="S120" t="str">
        <f t="shared" si="11"/>
        <v>_Tokens-&gt;Add((String^)GramVals::TOK_CURSOR, gcnew Token(GramKeys::TOK_CURSOR, EnumTokenCategory::RESERVED,BARE_LABEL, i++));</v>
      </c>
    </row>
    <row r="121" spans="1:19" x14ac:dyDescent="0.25">
      <c r="A121" s="3" t="s">
        <v>1495</v>
      </c>
      <c r="B121" s="5" t="s">
        <v>1077</v>
      </c>
      <c r="C121" s="3" t="s">
        <v>2012</v>
      </c>
      <c r="D121" s="3" t="s">
        <v>2423</v>
      </c>
      <c r="F121" t="str">
        <f t="shared" si="6"/>
        <v>DATA</v>
      </c>
      <c r="G121" t="s">
        <v>3367</v>
      </c>
      <c r="I121" s="3" t="str">
        <f>IF(_xlfn.XLOOKUP(F121,PgSqlRaw!B:B,PgSqlRaw!E:E,"") = "",_xlfn.XLOOKUP(G121,PgSqlRaw!B:B,PgSqlRaw!E:E,""),_xlfn.XLOOKUP(F121,PgSqlRaw!B:B,PgSqlRaw!E:E,""))</f>
        <v/>
      </c>
      <c r="J121" t="str">
        <f>IF(_xlfn.XLOOKUP(F121,PgSqlRaw!B:B,PgSqlRaw!F:F,"") = "", _xlfn.XLOOKUP(G121,PgSqlRaw!B:B,PgSqlRaw!F:F,""), _xlfn.XLOOKUP(F121,PgSqlRaw!B:B,PgSqlRaw!F:F,""))</f>
        <v>BARE_LABEL</v>
      </c>
      <c r="K121" t="str">
        <f t="shared" si="7"/>
        <v>BARE_LABEL</v>
      </c>
      <c r="L121" t="str">
        <f>IF(_xlfn.XLOOKUP(F121,PhpReserved!A:A,PhpReserved!B:B,"") = "", _xlfn.XLOOKUP(G121,PhpReserved!A:A,PhpReserved!B:B,""),_xlfn.XLOOKUP(F121,PhpReserved!A:A,PhpReserved!B:B,""))</f>
        <v/>
      </c>
      <c r="M121" t="str">
        <f>IF(_xlfn.XLOOKUP(F121,PhpFunctions!A:A,PhpFunctions!B:B,"") =  "", _xlfn.XLOOKUP(G121,PhpFunctions!A:A,PhpFunctions!B:B,""), _xlfn.XLOOKUP(F121,PhpFunctions!A:A,PhpFunctions!B:B,""))</f>
        <v/>
      </c>
      <c r="N121" t="str">
        <f>IF(_xlfn.XLOOKUP(F121,PhpParamFunc!A:A,PhpParamFunc!B:B,"") = "", _xlfn.XLOOKUP(G121,PhpParamFunc!A:A,PhpParamFunc!B:B,""), _xlfn.XLOOKUP(F121,PhpParamFunc!A:A,PhpParamFunc!B:B,""))</f>
        <v/>
      </c>
      <c r="O121" t="str">
        <f>IF(_xlfn.XLOOKUP(F121,PhpAggrFunc!A:A,PhpAggrFunc!B:B,"") = "", _xlfn.XLOOKUP(G121,PhpAggrFunc!A:A,PhpAggrFunc!B:B,""), _xlfn.XLOOKUP(F121,PhpAggrFunc!A:A,PhpAggrFunc!B:B,""))</f>
        <v/>
      </c>
      <c r="P121" t="str">
        <f t="shared" si="8"/>
        <v>UNRESERVED</v>
      </c>
      <c r="Q121" t="str">
        <f t="shared" si="9"/>
        <v>static const String^ TOK_DATA = "DATA";</v>
      </c>
      <c r="R121" t="str">
        <f t="shared" si="10"/>
        <v>static const int TOK_DATA = 602;</v>
      </c>
      <c r="S121" t="str">
        <f t="shared" si="11"/>
        <v>// _Tokens-&gt;Add((String^)GramVals::TOK_DATA, gcnew Token(GramKeys::TOK_DATA, EnumTokenCategory::UNRESERVED,BARE_LABEL, i++));</v>
      </c>
    </row>
    <row r="122" spans="1:19" x14ac:dyDescent="0.25">
      <c r="A122" s="3" t="s">
        <v>1496</v>
      </c>
      <c r="B122" s="5" t="s">
        <v>1078</v>
      </c>
      <c r="C122" s="3" t="s">
        <v>2013</v>
      </c>
      <c r="D122" s="3" t="s">
        <v>2423</v>
      </c>
      <c r="F122" t="str">
        <f t="shared" si="6"/>
        <v>DATABASE</v>
      </c>
      <c r="G122" t="s">
        <v>2925</v>
      </c>
      <c r="I122" s="3" t="str">
        <f>IF(_xlfn.XLOOKUP(F122,PgSqlRaw!B:B,PgSqlRaw!E:E,"") = "",_xlfn.XLOOKUP(G122,PgSqlRaw!B:B,PgSqlRaw!E:E,""),_xlfn.XLOOKUP(F122,PgSqlRaw!B:B,PgSqlRaw!E:E,""))</f>
        <v/>
      </c>
      <c r="J122" t="str">
        <f>IF(_xlfn.XLOOKUP(F122,PgSqlRaw!B:B,PgSqlRaw!F:F,"") = "", _xlfn.XLOOKUP(G122,PgSqlRaw!B:B,PgSqlRaw!F:F,""), _xlfn.XLOOKUP(F122,PgSqlRaw!B:B,PgSqlRaw!F:F,""))</f>
        <v>BARE_LABEL</v>
      </c>
      <c r="K122" t="str">
        <f t="shared" si="7"/>
        <v>BARE_LABEL</v>
      </c>
      <c r="L122" t="str">
        <f>IF(_xlfn.XLOOKUP(F122,PhpReserved!A:A,PhpReserved!B:B,"") = "", _xlfn.XLOOKUP(G122,PhpReserved!A:A,PhpReserved!B:B,""),_xlfn.XLOOKUP(F122,PhpReserved!A:A,PhpReserved!B:B,""))</f>
        <v>RESERVED</v>
      </c>
      <c r="M122" t="str">
        <f>IF(_xlfn.XLOOKUP(F122,PhpFunctions!A:A,PhpFunctions!B:B,"") =  "", _xlfn.XLOOKUP(G122,PhpFunctions!A:A,PhpFunctions!B:B,""), _xlfn.XLOOKUP(F122,PhpFunctions!A:A,PhpFunctions!B:B,""))</f>
        <v>FUNCTION</v>
      </c>
      <c r="N122" t="str">
        <f>IF(_xlfn.XLOOKUP(F122,PhpParamFunc!A:A,PhpParamFunc!B:B,"") = "", _xlfn.XLOOKUP(G122,PhpParamFunc!A:A,PhpParamFunc!B:B,""), _xlfn.XLOOKUP(F122,PhpParamFunc!A:A,PhpParamFunc!B:B,""))</f>
        <v/>
      </c>
      <c r="O122" t="str">
        <f>IF(_xlfn.XLOOKUP(F122,PhpAggrFunc!A:A,PhpAggrFunc!B:B,"") = "", _xlfn.XLOOKUP(G122,PhpAggrFunc!A:A,PhpAggrFunc!B:B,""), _xlfn.XLOOKUP(F122,PhpAggrFunc!A:A,PhpAggrFunc!B:B,""))</f>
        <v/>
      </c>
      <c r="P122" t="str">
        <f t="shared" si="8"/>
        <v>FUNCTION</v>
      </c>
      <c r="Q122" t="str">
        <f t="shared" si="9"/>
        <v>static const String^ TOK_DATABASE = "DATABASE";</v>
      </c>
      <c r="R122" t="str">
        <f t="shared" si="10"/>
        <v>static const int TOK_DATABASE = 290;</v>
      </c>
      <c r="S122" t="str">
        <f t="shared" si="11"/>
        <v>_Tokens-&gt;Add((String^)GramVals::TOK_DATABASE, gcnew Token(GramKeys::TOK_DATABASE, EnumTokenCategory::FUNCTION,BARE_LABEL, i++));</v>
      </c>
    </row>
    <row r="123" spans="1:19" x14ac:dyDescent="0.25">
      <c r="A123" s="3" t="s">
        <v>1497</v>
      </c>
      <c r="B123" s="5" t="s">
        <v>1079</v>
      </c>
      <c r="C123" s="3" t="s">
        <v>2014</v>
      </c>
      <c r="D123" s="3" t="s">
        <v>881</v>
      </c>
      <c r="F123" t="str">
        <f t="shared" si="6"/>
        <v>DATE</v>
      </c>
      <c r="G123" t="s">
        <v>3677</v>
      </c>
      <c r="I123" s="3" t="str">
        <f>IF(_xlfn.XLOOKUP(F123,PgSqlRaw!B:B,PgSqlRaw!E:E,"") = "",_xlfn.XLOOKUP(G123,PgSqlRaw!B:B,PgSqlRaw!E:E,""),_xlfn.XLOOKUP(F123,PgSqlRaw!B:B,PgSqlRaw!E:E,""))</f>
        <v/>
      </c>
      <c r="J123" t="str">
        <f>IF(_xlfn.XLOOKUP(F123,PgSqlRaw!B:B,PgSqlRaw!F:F,"") = "", _xlfn.XLOOKUP(G123,PgSqlRaw!B:B,PgSqlRaw!F:F,""), _xlfn.XLOOKUP(F123,PgSqlRaw!B:B,PgSqlRaw!F:F,""))</f>
        <v/>
      </c>
      <c r="K123" t="str">
        <f t="shared" si="7"/>
        <v>BARE_LABEL</v>
      </c>
      <c r="L123" t="str">
        <f>IF(_xlfn.XLOOKUP(F123,PhpReserved!A:A,PhpReserved!B:B,"") = "", _xlfn.XLOOKUP(G123,PhpReserved!A:A,PhpReserved!B:B,""),_xlfn.XLOOKUP(F123,PhpReserved!A:A,PhpReserved!B:B,""))</f>
        <v/>
      </c>
      <c r="M123" t="str">
        <f>IF(_xlfn.XLOOKUP(F123,PhpFunctions!A:A,PhpFunctions!B:B,"") =  "", _xlfn.XLOOKUP(G123,PhpFunctions!A:A,PhpFunctions!B:B,""), _xlfn.XLOOKUP(F123,PhpFunctions!A:A,PhpFunctions!B:B,""))</f>
        <v/>
      </c>
      <c r="N123" t="str">
        <f>IF(_xlfn.XLOOKUP(F123,PhpParamFunc!A:A,PhpParamFunc!B:B,"") = "", _xlfn.XLOOKUP(G123,PhpParamFunc!A:A,PhpParamFunc!B:B,""), _xlfn.XLOOKUP(F123,PhpParamFunc!A:A,PhpParamFunc!B:B,""))</f>
        <v/>
      </c>
      <c r="O123" t="str">
        <f>IF(_xlfn.XLOOKUP(F123,PhpAggrFunc!A:A,PhpAggrFunc!B:B,"") = "", _xlfn.XLOOKUP(G123,PhpAggrFunc!A:A,PhpAggrFunc!B:B,""), _xlfn.XLOOKUP(F123,PhpAggrFunc!A:A,PhpAggrFunc!B:B,""))</f>
        <v/>
      </c>
      <c r="P123" t="str">
        <f t="shared" si="8"/>
        <v>UNRESERVED</v>
      </c>
      <c r="Q123" t="str">
        <f t="shared" si="9"/>
        <v>static const String^ TOK_DATE = "DATE";</v>
      </c>
      <c r="R123" t="str">
        <f t="shared" si="10"/>
        <v>static const int TOK_DATE = 291;</v>
      </c>
      <c r="S123" t="str">
        <f t="shared" si="11"/>
        <v>// _Tokens-&gt;Add((String^)GramVals::TOK_DATE, gcnew Token(GramKeys::TOK_DATE, EnumTokenCategory::UNRESERVED,BARE_LABEL, i++));</v>
      </c>
    </row>
    <row r="124" spans="1:19" x14ac:dyDescent="0.25">
      <c r="A124" s="3" t="s">
        <v>1498</v>
      </c>
      <c r="B124" s="5" t="s">
        <v>1080</v>
      </c>
      <c r="C124" s="3" t="s">
        <v>2015</v>
      </c>
      <c r="D124" s="3" t="s">
        <v>2423</v>
      </c>
      <c r="F124" t="str">
        <f t="shared" si="6"/>
        <v>DATEADD</v>
      </c>
      <c r="G124" t="s">
        <v>3678</v>
      </c>
      <c r="I124" s="3" t="str">
        <f>IF(_xlfn.XLOOKUP(F124,PgSqlRaw!B:B,PgSqlRaw!E:E,"") = "",_xlfn.XLOOKUP(G124,PgSqlRaw!B:B,PgSqlRaw!E:E,""),_xlfn.XLOOKUP(F124,PgSqlRaw!B:B,PgSqlRaw!E:E,""))</f>
        <v/>
      </c>
      <c r="J124" t="str">
        <f>IF(_xlfn.XLOOKUP(F124,PgSqlRaw!B:B,PgSqlRaw!F:F,"") = "", _xlfn.XLOOKUP(G124,PgSqlRaw!B:B,PgSqlRaw!F:F,""), _xlfn.XLOOKUP(F124,PgSqlRaw!B:B,PgSqlRaw!F:F,""))</f>
        <v/>
      </c>
      <c r="K124" t="str">
        <f t="shared" si="7"/>
        <v>BARE_LABEL</v>
      </c>
      <c r="L124" t="str">
        <f>IF(_xlfn.XLOOKUP(F124,PhpReserved!A:A,PhpReserved!B:B,"") = "", _xlfn.XLOOKUP(G124,PhpReserved!A:A,PhpReserved!B:B,""),_xlfn.XLOOKUP(F124,PhpReserved!A:A,PhpReserved!B:B,""))</f>
        <v/>
      </c>
      <c r="M124" t="str">
        <f>IF(_xlfn.XLOOKUP(F124,PhpFunctions!A:A,PhpFunctions!B:B,"") =  "", _xlfn.XLOOKUP(G124,PhpFunctions!A:A,PhpFunctions!B:B,""), _xlfn.XLOOKUP(F124,PhpFunctions!A:A,PhpFunctions!B:B,""))</f>
        <v/>
      </c>
      <c r="N124" t="str">
        <f>IF(_xlfn.XLOOKUP(F124,PhpParamFunc!A:A,PhpParamFunc!B:B,"") = "", _xlfn.XLOOKUP(G124,PhpParamFunc!A:A,PhpParamFunc!B:B,""), _xlfn.XLOOKUP(F124,PhpParamFunc!A:A,PhpParamFunc!B:B,""))</f>
        <v/>
      </c>
      <c r="O124" t="str">
        <f>IF(_xlfn.XLOOKUP(F124,PhpAggrFunc!A:A,PhpAggrFunc!B:B,"") = "", _xlfn.XLOOKUP(G124,PhpAggrFunc!A:A,PhpAggrFunc!B:B,""), _xlfn.XLOOKUP(F124,PhpAggrFunc!A:A,PhpAggrFunc!B:B,""))</f>
        <v/>
      </c>
      <c r="P124" t="str">
        <f t="shared" si="8"/>
        <v>UNRESERVED</v>
      </c>
      <c r="Q124" t="str">
        <f t="shared" si="9"/>
        <v>static const String^ TOK_DATEADD = "DATEADD";</v>
      </c>
      <c r="R124" t="str">
        <f t="shared" si="10"/>
        <v>static const int TOK_DATEADD = 544;</v>
      </c>
      <c r="S124" t="str">
        <f t="shared" si="11"/>
        <v>// _Tokens-&gt;Add((String^)GramVals::TOK_DATEADD, gcnew Token(GramKeys::TOK_DATEADD, EnumTokenCategory::UNRESERVED,BARE_LABEL, i++));</v>
      </c>
    </row>
    <row r="125" spans="1:19" x14ac:dyDescent="0.25">
      <c r="A125" s="3" t="s">
        <v>1499</v>
      </c>
      <c r="B125" s="5" t="s">
        <v>1081</v>
      </c>
      <c r="C125" s="3" t="s">
        <v>2016</v>
      </c>
      <c r="D125" s="3" t="s">
        <v>2423</v>
      </c>
      <c r="F125" t="str">
        <f t="shared" si="6"/>
        <v>DATEDIFF</v>
      </c>
      <c r="G125" t="s">
        <v>3679</v>
      </c>
      <c r="I125" s="3" t="str">
        <f>IF(_xlfn.XLOOKUP(F125,PgSqlRaw!B:B,PgSqlRaw!E:E,"") = "",_xlfn.XLOOKUP(G125,PgSqlRaw!B:B,PgSqlRaw!E:E,""),_xlfn.XLOOKUP(F125,PgSqlRaw!B:B,PgSqlRaw!E:E,""))</f>
        <v/>
      </c>
      <c r="J125" t="str">
        <f>IF(_xlfn.XLOOKUP(F125,PgSqlRaw!B:B,PgSqlRaw!F:F,"") = "", _xlfn.XLOOKUP(G125,PgSqlRaw!B:B,PgSqlRaw!F:F,""), _xlfn.XLOOKUP(F125,PgSqlRaw!B:B,PgSqlRaw!F:F,""))</f>
        <v/>
      </c>
      <c r="K125" t="str">
        <f t="shared" si="7"/>
        <v>BARE_LABEL</v>
      </c>
      <c r="L125" t="str">
        <f>IF(_xlfn.XLOOKUP(F125,PhpReserved!A:A,PhpReserved!B:B,"") = "", _xlfn.XLOOKUP(G125,PhpReserved!A:A,PhpReserved!B:B,""),_xlfn.XLOOKUP(F125,PhpReserved!A:A,PhpReserved!B:B,""))</f>
        <v/>
      </c>
      <c r="M125" t="str">
        <f>IF(_xlfn.XLOOKUP(F125,PhpFunctions!A:A,PhpFunctions!B:B,"") =  "", _xlfn.XLOOKUP(G125,PhpFunctions!A:A,PhpFunctions!B:B,""), _xlfn.XLOOKUP(F125,PhpFunctions!A:A,PhpFunctions!B:B,""))</f>
        <v/>
      </c>
      <c r="N125" t="str">
        <f>IF(_xlfn.XLOOKUP(F125,PhpParamFunc!A:A,PhpParamFunc!B:B,"") = "", _xlfn.XLOOKUP(G125,PhpParamFunc!A:A,PhpParamFunc!B:B,""), _xlfn.XLOOKUP(F125,PhpParamFunc!A:A,PhpParamFunc!B:B,""))</f>
        <v/>
      </c>
      <c r="O125" t="str">
        <f>IF(_xlfn.XLOOKUP(F125,PhpAggrFunc!A:A,PhpAggrFunc!B:B,"") = "", _xlfn.XLOOKUP(G125,PhpAggrFunc!A:A,PhpAggrFunc!B:B,""), _xlfn.XLOOKUP(F125,PhpAggrFunc!A:A,PhpAggrFunc!B:B,""))</f>
        <v/>
      </c>
      <c r="P125" t="str">
        <f t="shared" si="8"/>
        <v>UNRESERVED</v>
      </c>
      <c r="Q125" t="str">
        <f t="shared" si="9"/>
        <v>static const String^ TOK_DATEDIFF = "DATEDIFF";</v>
      </c>
      <c r="R125" t="str">
        <f t="shared" si="10"/>
        <v>static const int TOK_DATEDIFF = 545;</v>
      </c>
      <c r="S125" t="str">
        <f t="shared" si="11"/>
        <v>// _Tokens-&gt;Add((String^)GramVals::TOK_DATEDIFF, gcnew Token(GramKeys::TOK_DATEDIFF, EnumTokenCategory::UNRESERVED,BARE_LABEL, i++));</v>
      </c>
    </row>
    <row r="126" spans="1:19" x14ac:dyDescent="0.25">
      <c r="A126" s="3" t="s">
        <v>1500</v>
      </c>
      <c r="B126" s="5" t="s">
        <v>1082</v>
      </c>
      <c r="C126" s="3" t="s">
        <v>2017</v>
      </c>
      <c r="D126" s="3" t="s">
        <v>881</v>
      </c>
      <c r="F126" t="str">
        <f t="shared" si="6"/>
        <v>DAY</v>
      </c>
      <c r="G126" t="s">
        <v>2932</v>
      </c>
      <c r="I126" s="3" t="str">
        <f>IF(_xlfn.XLOOKUP(F126,PgSqlRaw!B:B,PgSqlRaw!E:E,"") = "",_xlfn.XLOOKUP(G126,PgSqlRaw!B:B,PgSqlRaw!E:E,""),_xlfn.XLOOKUP(F126,PgSqlRaw!B:B,PgSqlRaw!E:E,""))</f>
        <v/>
      </c>
      <c r="J126" t="str">
        <f>IF(_xlfn.XLOOKUP(F126,PgSqlRaw!B:B,PgSqlRaw!F:F,"") = "", _xlfn.XLOOKUP(G126,PgSqlRaw!B:B,PgSqlRaw!F:F,""), _xlfn.XLOOKUP(F126,PgSqlRaw!B:B,PgSqlRaw!F:F,""))</f>
        <v>AS_LABEL</v>
      </c>
      <c r="K126" t="str">
        <f t="shared" si="7"/>
        <v>AS_LABEL</v>
      </c>
      <c r="L126" t="str">
        <f>IF(_xlfn.XLOOKUP(F126,PhpReserved!A:A,PhpReserved!B:B,"") = "", _xlfn.XLOOKUP(G126,PhpReserved!A:A,PhpReserved!B:B,""),_xlfn.XLOOKUP(F126,PhpReserved!A:A,PhpReserved!B:B,""))</f>
        <v>RESERVED</v>
      </c>
      <c r="M126" t="str">
        <f>IF(_xlfn.XLOOKUP(F126,PhpFunctions!A:A,PhpFunctions!B:B,"") =  "", _xlfn.XLOOKUP(G126,PhpFunctions!A:A,PhpFunctions!B:B,""), _xlfn.XLOOKUP(F126,PhpFunctions!A:A,PhpFunctions!B:B,""))</f>
        <v>FUNCTION</v>
      </c>
      <c r="N126" t="str">
        <f>IF(_xlfn.XLOOKUP(F126,PhpParamFunc!A:A,PhpParamFunc!B:B,"") = "", _xlfn.XLOOKUP(G126,PhpParamFunc!A:A,PhpParamFunc!B:B,""), _xlfn.XLOOKUP(F126,PhpParamFunc!A:A,PhpParamFunc!B:B,""))</f>
        <v>PARAM_FUNCTION</v>
      </c>
      <c r="O126" t="str">
        <f>IF(_xlfn.XLOOKUP(F126,PhpAggrFunc!A:A,PhpAggrFunc!B:B,"") = "", _xlfn.XLOOKUP(G126,PhpAggrFunc!A:A,PhpAggrFunc!B:B,""), _xlfn.XLOOKUP(F126,PhpAggrFunc!A:A,PhpAggrFunc!B:B,""))</f>
        <v/>
      </c>
      <c r="P126" t="str">
        <f t="shared" si="8"/>
        <v>PARAM_FUNCTION</v>
      </c>
      <c r="Q126" t="str">
        <f t="shared" si="9"/>
        <v>static const String^ TOK_DAY = "DAY";</v>
      </c>
      <c r="R126" t="str">
        <f t="shared" si="10"/>
        <v>static const int TOK_DAY = 456;</v>
      </c>
      <c r="S126" t="str">
        <f t="shared" si="11"/>
        <v>_Tokens-&gt;Add((String^)GramVals::TOK_DAY, gcnew Token(GramKeys::TOK_DAY, EnumTokenCategory::PARAM_FUNCTION,AS_LABEL, i++));</v>
      </c>
    </row>
    <row r="127" spans="1:19" x14ac:dyDescent="0.25">
      <c r="A127" s="3" t="s">
        <v>1501</v>
      </c>
      <c r="B127" s="5" t="s">
        <v>1083</v>
      </c>
      <c r="C127" s="3" t="s">
        <v>2018</v>
      </c>
      <c r="D127" s="3" t="s">
        <v>881</v>
      </c>
      <c r="F127" t="str">
        <f t="shared" si="6"/>
        <v>DB_KEY</v>
      </c>
      <c r="G127" t="s">
        <v>3680</v>
      </c>
      <c r="I127" s="3" t="str">
        <f>IF(_xlfn.XLOOKUP(F127,PgSqlRaw!B:B,PgSqlRaw!E:E,"") = "",_xlfn.XLOOKUP(G127,PgSqlRaw!B:B,PgSqlRaw!E:E,""),_xlfn.XLOOKUP(F127,PgSqlRaw!B:B,PgSqlRaw!E:E,""))</f>
        <v/>
      </c>
      <c r="J127" t="str">
        <f>IF(_xlfn.XLOOKUP(F127,PgSqlRaw!B:B,PgSqlRaw!F:F,"") = "", _xlfn.XLOOKUP(G127,PgSqlRaw!B:B,PgSqlRaw!F:F,""), _xlfn.XLOOKUP(F127,PgSqlRaw!B:B,PgSqlRaw!F:F,""))</f>
        <v/>
      </c>
      <c r="K127" t="str">
        <f t="shared" si="7"/>
        <v>BARE_LABEL</v>
      </c>
      <c r="L127" t="str">
        <f>IF(_xlfn.XLOOKUP(F127,PhpReserved!A:A,PhpReserved!B:B,"") = "", _xlfn.XLOOKUP(G127,PhpReserved!A:A,PhpReserved!B:B,""),_xlfn.XLOOKUP(F127,PhpReserved!A:A,PhpReserved!B:B,""))</f>
        <v/>
      </c>
      <c r="M127" t="str">
        <f>IF(_xlfn.XLOOKUP(F127,PhpFunctions!A:A,PhpFunctions!B:B,"") =  "", _xlfn.XLOOKUP(G127,PhpFunctions!A:A,PhpFunctions!B:B,""), _xlfn.XLOOKUP(F127,PhpFunctions!A:A,PhpFunctions!B:B,""))</f>
        <v/>
      </c>
      <c r="N127" t="str">
        <f>IF(_xlfn.XLOOKUP(F127,PhpParamFunc!A:A,PhpParamFunc!B:B,"") = "", _xlfn.XLOOKUP(G127,PhpParamFunc!A:A,PhpParamFunc!B:B,""), _xlfn.XLOOKUP(F127,PhpParamFunc!A:A,PhpParamFunc!B:B,""))</f>
        <v/>
      </c>
      <c r="O127" t="str">
        <f>IF(_xlfn.XLOOKUP(F127,PhpAggrFunc!A:A,PhpAggrFunc!B:B,"") = "", _xlfn.XLOOKUP(G127,PhpAggrFunc!A:A,PhpAggrFunc!B:B,""), _xlfn.XLOOKUP(F127,PhpAggrFunc!A:A,PhpAggrFunc!B:B,""))</f>
        <v/>
      </c>
      <c r="P127" t="str">
        <f t="shared" si="8"/>
        <v>UNRESERVED</v>
      </c>
      <c r="Q127" t="str">
        <f t="shared" si="9"/>
        <v>static const String^ TOK_DB_KEY = "RDB$DB_KEY";</v>
      </c>
      <c r="R127" t="str">
        <f t="shared" si="10"/>
        <v>static const int TOK_DB_KEY = 292;</v>
      </c>
      <c r="S127" t="str">
        <f t="shared" si="11"/>
        <v>// _Tokens-&gt;Add((String^)GramVals::TOK_DB_KEY, gcnew Token(GramKeys::TOK_DB_KEY, EnumTokenCategory::UNRESERVED,BARE_LABEL, i++));</v>
      </c>
    </row>
    <row r="128" spans="1:19" x14ac:dyDescent="0.25">
      <c r="A128" s="3" t="s">
        <v>1502</v>
      </c>
      <c r="B128" s="5" t="s">
        <v>1084</v>
      </c>
      <c r="C128" s="3" t="s">
        <v>2019</v>
      </c>
      <c r="D128" s="3" t="s">
        <v>2423</v>
      </c>
      <c r="F128" t="str">
        <f t="shared" si="6"/>
        <v>DDL</v>
      </c>
      <c r="G128" t="s">
        <v>3681</v>
      </c>
      <c r="I128" s="3" t="str">
        <f>IF(_xlfn.XLOOKUP(F128,PgSqlRaw!B:B,PgSqlRaw!E:E,"") = "",_xlfn.XLOOKUP(G128,PgSqlRaw!B:B,PgSqlRaw!E:E,""),_xlfn.XLOOKUP(F128,PgSqlRaw!B:B,PgSqlRaw!E:E,""))</f>
        <v/>
      </c>
      <c r="J128" t="str">
        <f>IF(_xlfn.XLOOKUP(F128,PgSqlRaw!B:B,PgSqlRaw!F:F,"") = "", _xlfn.XLOOKUP(G128,PgSqlRaw!B:B,PgSqlRaw!F:F,""), _xlfn.XLOOKUP(F128,PgSqlRaw!B:B,PgSqlRaw!F:F,""))</f>
        <v/>
      </c>
      <c r="K128" t="str">
        <f t="shared" si="7"/>
        <v>BARE_LABEL</v>
      </c>
      <c r="L128" t="str">
        <f>IF(_xlfn.XLOOKUP(F128,PhpReserved!A:A,PhpReserved!B:B,"") = "", _xlfn.XLOOKUP(G128,PhpReserved!A:A,PhpReserved!B:B,""),_xlfn.XLOOKUP(F128,PhpReserved!A:A,PhpReserved!B:B,""))</f>
        <v/>
      </c>
      <c r="M128" t="str">
        <f>IF(_xlfn.XLOOKUP(F128,PhpFunctions!A:A,PhpFunctions!B:B,"") =  "", _xlfn.XLOOKUP(G128,PhpFunctions!A:A,PhpFunctions!B:B,""), _xlfn.XLOOKUP(F128,PhpFunctions!A:A,PhpFunctions!B:B,""))</f>
        <v/>
      </c>
      <c r="N128" t="str">
        <f>IF(_xlfn.XLOOKUP(F128,PhpParamFunc!A:A,PhpParamFunc!B:B,"") = "", _xlfn.XLOOKUP(G128,PhpParamFunc!A:A,PhpParamFunc!B:B,""), _xlfn.XLOOKUP(F128,PhpParamFunc!A:A,PhpParamFunc!B:B,""))</f>
        <v/>
      </c>
      <c r="O128" t="str">
        <f>IF(_xlfn.XLOOKUP(F128,PhpAggrFunc!A:A,PhpAggrFunc!B:B,"") = "", _xlfn.XLOOKUP(G128,PhpAggrFunc!A:A,PhpAggrFunc!B:B,""), _xlfn.XLOOKUP(F128,PhpAggrFunc!A:A,PhpAggrFunc!B:B,""))</f>
        <v/>
      </c>
      <c r="P128" t="str">
        <f t="shared" si="8"/>
        <v>UNRESERVED</v>
      </c>
      <c r="Q128" t="str">
        <f t="shared" si="9"/>
        <v>static const String^ TOK_DDL = "DDL";</v>
      </c>
      <c r="R128" t="str">
        <f t="shared" si="10"/>
        <v>static const int TOK_DDL = 609;</v>
      </c>
      <c r="S128" t="str">
        <f t="shared" si="11"/>
        <v>// _Tokens-&gt;Add((String^)GramVals::TOK_DDL, gcnew Token(GramKeys::TOK_DDL, EnumTokenCategory::UNRESERVED,BARE_LABEL, i++));</v>
      </c>
    </row>
    <row r="129" spans="1:19" x14ac:dyDescent="0.25">
      <c r="A129" s="3" t="s">
        <v>1503</v>
      </c>
      <c r="B129" s="5">
        <v>676</v>
      </c>
      <c r="C129" s="3" t="s">
        <v>2020</v>
      </c>
      <c r="D129" s="3" t="s">
        <v>2423</v>
      </c>
      <c r="F129" t="str">
        <f t="shared" si="6"/>
        <v>DEBUG</v>
      </c>
      <c r="G129" t="s">
        <v>3682</v>
      </c>
      <c r="I129" s="3" t="str">
        <f>IF(_xlfn.XLOOKUP(F129,PgSqlRaw!B:B,PgSqlRaw!E:E,"") = "",_xlfn.XLOOKUP(G129,PgSqlRaw!B:B,PgSqlRaw!E:E,""),_xlfn.XLOOKUP(F129,PgSqlRaw!B:B,PgSqlRaw!E:E,""))</f>
        <v/>
      </c>
      <c r="J129" t="str">
        <f>IF(_xlfn.XLOOKUP(F129,PgSqlRaw!B:B,PgSqlRaw!F:F,"") = "", _xlfn.XLOOKUP(G129,PgSqlRaw!B:B,PgSqlRaw!F:F,""), _xlfn.XLOOKUP(F129,PgSqlRaw!B:B,PgSqlRaw!F:F,""))</f>
        <v/>
      </c>
      <c r="K129" t="str">
        <f t="shared" si="7"/>
        <v>BARE_LABEL</v>
      </c>
      <c r="L129" t="str">
        <f>IF(_xlfn.XLOOKUP(F129,PhpReserved!A:A,PhpReserved!B:B,"") = "", _xlfn.XLOOKUP(G129,PhpReserved!A:A,PhpReserved!B:B,""),_xlfn.XLOOKUP(F129,PhpReserved!A:A,PhpReserved!B:B,""))</f>
        <v/>
      </c>
      <c r="M129" t="str">
        <f>IF(_xlfn.XLOOKUP(F129,PhpFunctions!A:A,PhpFunctions!B:B,"") =  "", _xlfn.XLOOKUP(G129,PhpFunctions!A:A,PhpFunctions!B:B,""), _xlfn.XLOOKUP(F129,PhpFunctions!A:A,PhpFunctions!B:B,""))</f>
        <v/>
      </c>
      <c r="N129" t="str">
        <f>IF(_xlfn.XLOOKUP(F129,PhpParamFunc!A:A,PhpParamFunc!B:B,"") = "", _xlfn.XLOOKUP(G129,PhpParamFunc!A:A,PhpParamFunc!B:B,""), _xlfn.XLOOKUP(F129,PhpParamFunc!A:A,PhpParamFunc!B:B,""))</f>
        <v/>
      </c>
      <c r="O129" t="str">
        <f>IF(_xlfn.XLOOKUP(F129,PhpAggrFunc!A:A,PhpAggrFunc!B:B,"") = "", _xlfn.XLOOKUP(G129,PhpAggrFunc!A:A,PhpAggrFunc!B:B,""), _xlfn.XLOOKUP(F129,PhpAggrFunc!A:A,PhpAggrFunc!B:B,""))</f>
        <v/>
      </c>
      <c r="P129" t="str">
        <f t="shared" si="8"/>
        <v>UNRESERVED</v>
      </c>
      <c r="Q129" t="str">
        <f t="shared" si="9"/>
        <v>static const String^ TOK_DEBUG = "DEBUG";</v>
      </c>
      <c r="R129" t="str">
        <f t="shared" si="10"/>
        <v>static const int TOK_DEBUG = 676;</v>
      </c>
      <c r="S129" t="str">
        <f t="shared" si="11"/>
        <v>// _Tokens-&gt;Add((String^)GramVals::TOK_DEBUG, gcnew Token(GramKeys::TOK_DEBUG, EnumTokenCategory::UNRESERVED,BARE_LABEL, i++));</v>
      </c>
    </row>
    <row r="130" spans="1:19" x14ac:dyDescent="0.25">
      <c r="A130" s="3" t="s">
        <v>1504</v>
      </c>
      <c r="B130" s="5" t="s">
        <v>1085</v>
      </c>
      <c r="C130" s="3" t="s">
        <v>2021</v>
      </c>
      <c r="D130" s="3" t="s">
        <v>881</v>
      </c>
      <c r="F130" t="str">
        <f t="shared" si="6"/>
        <v>DEC</v>
      </c>
      <c r="G130" t="s">
        <v>3126</v>
      </c>
      <c r="I130" s="3" t="str">
        <f>IF(_xlfn.XLOOKUP(F130,PgSqlRaw!B:B,PgSqlRaw!E:E,"") = "",_xlfn.XLOOKUP(G130,PgSqlRaw!B:B,PgSqlRaw!E:E,""),_xlfn.XLOOKUP(F130,PgSqlRaw!B:B,PgSqlRaw!E:E,""))</f>
        <v>COLNAME_KEYWORD</v>
      </c>
      <c r="J130" t="str">
        <f>IF(_xlfn.XLOOKUP(F130,PgSqlRaw!B:B,PgSqlRaw!F:F,"") = "", _xlfn.XLOOKUP(G130,PgSqlRaw!B:B,PgSqlRaw!F:F,""), _xlfn.XLOOKUP(F130,PgSqlRaw!B:B,PgSqlRaw!F:F,""))</f>
        <v>BARE_LABEL</v>
      </c>
      <c r="K130" t="str">
        <f t="shared" si="7"/>
        <v>BARE_LABEL</v>
      </c>
      <c r="L130" t="str">
        <f>IF(_xlfn.XLOOKUP(F130,PhpReserved!A:A,PhpReserved!B:B,"") = "", _xlfn.XLOOKUP(G130,PhpReserved!A:A,PhpReserved!B:B,""),_xlfn.XLOOKUP(F130,PhpReserved!A:A,PhpReserved!B:B,""))</f>
        <v>RESERVED</v>
      </c>
      <c r="M130" t="str">
        <f>IF(_xlfn.XLOOKUP(F130,PhpFunctions!A:A,PhpFunctions!B:B,"") =  "", _xlfn.XLOOKUP(G130,PhpFunctions!A:A,PhpFunctions!B:B,""), _xlfn.XLOOKUP(F130,PhpFunctions!A:A,PhpFunctions!B:B,""))</f>
        <v/>
      </c>
      <c r="N130" t="str">
        <f>IF(_xlfn.XLOOKUP(F130,PhpParamFunc!A:A,PhpParamFunc!B:B,"") = "", _xlfn.XLOOKUP(G130,PhpParamFunc!A:A,PhpParamFunc!B:B,""), _xlfn.XLOOKUP(F130,PhpParamFunc!A:A,PhpParamFunc!B:B,""))</f>
        <v/>
      </c>
      <c r="O130" t="str">
        <f>IF(_xlfn.XLOOKUP(F130,PhpAggrFunc!A:A,PhpAggrFunc!B:B,"") = "", _xlfn.XLOOKUP(G130,PhpAggrFunc!A:A,PhpAggrFunc!B:B,""), _xlfn.XLOOKUP(F130,PhpAggrFunc!A:A,PhpAggrFunc!B:B,""))</f>
        <v/>
      </c>
      <c r="P130" t="str">
        <f t="shared" si="8"/>
        <v>RESERVED</v>
      </c>
      <c r="Q130" t="str">
        <f t="shared" si="9"/>
        <v>static const String^ TOK_DEC = "DEC";</v>
      </c>
      <c r="R130" t="str">
        <f t="shared" si="10"/>
        <v>static const int TOK_DEC = 338;</v>
      </c>
      <c r="S130" t="str">
        <f t="shared" si="11"/>
        <v>_Tokens-&gt;Add((String^)GramVals::TOK_DEC, gcnew Token(GramKeys::TOK_DEC, EnumTokenCategory::RESERVED,BARE_LABEL, i++));</v>
      </c>
    </row>
    <row r="131" spans="1:19" x14ac:dyDescent="0.25">
      <c r="A131" s="3" t="s">
        <v>1505</v>
      </c>
      <c r="B131" s="5">
        <v>677</v>
      </c>
      <c r="C131" s="3" t="s">
        <v>2022</v>
      </c>
      <c r="D131" s="3" t="s">
        <v>881</v>
      </c>
      <c r="F131" t="str">
        <f t="shared" si="6"/>
        <v>DECFLOAT</v>
      </c>
      <c r="G131" t="s">
        <v>3683</v>
      </c>
      <c r="I131" s="3" t="str">
        <f>IF(_xlfn.XLOOKUP(F131,PgSqlRaw!B:B,PgSqlRaw!E:E,"") = "",_xlfn.XLOOKUP(G131,PgSqlRaw!B:B,PgSqlRaw!E:E,""),_xlfn.XLOOKUP(F131,PgSqlRaw!B:B,PgSqlRaw!E:E,""))</f>
        <v/>
      </c>
      <c r="J131" t="str">
        <f>IF(_xlfn.XLOOKUP(F131,PgSqlRaw!B:B,PgSqlRaw!F:F,"") = "", _xlfn.XLOOKUP(G131,PgSqlRaw!B:B,PgSqlRaw!F:F,""), _xlfn.XLOOKUP(F131,PgSqlRaw!B:B,PgSqlRaw!F:F,""))</f>
        <v/>
      </c>
      <c r="K131" t="str">
        <f t="shared" si="7"/>
        <v>BARE_LABEL</v>
      </c>
      <c r="L131" t="str">
        <f>IF(_xlfn.XLOOKUP(F131,PhpReserved!A:A,PhpReserved!B:B,"") = "", _xlfn.XLOOKUP(G131,PhpReserved!A:A,PhpReserved!B:B,""),_xlfn.XLOOKUP(F131,PhpReserved!A:A,PhpReserved!B:B,""))</f>
        <v/>
      </c>
      <c r="M131" t="str">
        <f>IF(_xlfn.XLOOKUP(F131,PhpFunctions!A:A,PhpFunctions!B:B,"") =  "", _xlfn.XLOOKUP(G131,PhpFunctions!A:A,PhpFunctions!B:B,""), _xlfn.XLOOKUP(F131,PhpFunctions!A:A,PhpFunctions!B:B,""))</f>
        <v/>
      </c>
      <c r="N131" t="str">
        <f>IF(_xlfn.XLOOKUP(F131,PhpParamFunc!A:A,PhpParamFunc!B:B,"") = "", _xlfn.XLOOKUP(G131,PhpParamFunc!A:A,PhpParamFunc!B:B,""), _xlfn.XLOOKUP(F131,PhpParamFunc!A:A,PhpParamFunc!B:B,""))</f>
        <v/>
      </c>
      <c r="O131" t="str">
        <f>IF(_xlfn.XLOOKUP(F131,PhpAggrFunc!A:A,PhpAggrFunc!B:B,"") = "", _xlfn.XLOOKUP(G131,PhpAggrFunc!A:A,PhpAggrFunc!B:B,""), _xlfn.XLOOKUP(F131,PhpAggrFunc!A:A,PhpAggrFunc!B:B,""))</f>
        <v/>
      </c>
      <c r="P131" t="str">
        <f t="shared" si="8"/>
        <v>UNRESERVED</v>
      </c>
      <c r="Q131" t="str">
        <f t="shared" si="9"/>
        <v>static const String^ TOK_DECFLOAT = "DECFLOAT";</v>
      </c>
      <c r="R131" t="str">
        <f t="shared" si="10"/>
        <v>static const int TOK_DECFLOAT = 677;</v>
      </c>
      <c r="S131" t="str">
        <f t="shared" si="11"/>
        <v>// _Tokens-&gt;Add((String^)GramVals::TOK_DECFLOAT, gcnew Token(GramKeys::TOK_DECFLOAT, EnumTokenCategory::UNRESERVED,BARE_LABEL, i++));</v>
      </c>
    </row>
    <row r="132" spans="1:19" x14ac:dyDescent="0.25">
      <c r="A132" s="3" t="s">
        <v>1506</v>
      </c>
      <c r="B132" s="5" t="s">
        <v>1086</v>
      </c>
      <c r="C132" s="3" t="s">
        <v>2023</v>
      </c>
      <c r="D132" s="3" t="s">
        <v>881</v>
      </c>
      <c r="F132" t="str">
        <f t="shared" ref="F132:F195" si="12">MID(A132,5,99)</f>
        <v>DECIMAL</v>
      </c>
      <c r="G132" t="s">
        <v>3127</v>
      </c>
      <c r="I132" s="3" t="str">
        <f>IF(_xlfn.XLOOKUP(F132,PgSqlRaw!B:B,PgSqlRaw!E:E,"") = "",_xlfn.XLOOKUP(G132,PgSqlRaw!B:B,PgSqlRaw!E:E,""),_xlfn.XLOOKUP(F132,PgSqlRaw!B:B,PgSqlRaw!E:E,""))</f>
        <v>COLNAME_KEYWORD</v>
      </c>
      <c r="J132" t="str">
        <f>IF(_xlfn.XLOOKUP(F132,PgSqlRaw!B:B,PgSqlRaw!F:F,"") = "", _xlfn.XLOOKUP(G132,PgSqlRaw!B:B,PgSqlRaw!F:F,""), _xlfn.XLOOKUP(F132,PgSqlRaw!B:B,PgSqlRaw!F:F,""))</f>
        <v>BARE_LABEL</v>
      </c>
      <c r="K132" t="str">
        <f t="shared" ref="K132:K195" si="13">IF(J132 = "", "BARE_LABEL", J132)</f>
        <v>BARE_LABEL</v>
      </c>
      <c r="L132" t="str">
        <f>IF(_xlfn.XLOOKUP(F132,PhpReserved!A:A,PhpReserved!B:B,"") = "", _xlfn.XLOOKUP(G132,PhpReserved!A:A,PhpReserved!B:B,""),_xlfn.XLOOKUP(F132,PhpReserved!A:A,PhpReserved!B:B,""))</f>
        <v>RESERVED</v>
      </c>
      <c r="M132" t="str">
        <f>IF(_xlfn.XLOOKUP(F132,PhpFunctions!A:A,PhpFunctions!B:B,"") =  "", _xlfn.XLOOKUP(G132,PhpFunctions!A:A,PhpFunctions!B:B,""), _xlfn.XLOOKUP(F132,PhpFunctions!A:A,PhpFunctions!B:B,""))</f>
        <v/>
      </c>
      <c r="N132" t="str">
        <f>IF(_xlfn.XLOOKUP(F132,PhpParamFunc!A:A,PhpParamFunc!B:B,"") = "", _xlfn.XLOOKUP(G132,PhpParamFunc!A:A,PhpParamFunc!B:B,""), _xlfn.XLOOKUP(F132,PhpParamFunc!A:A,PhpParamFunc!B:B,""))</f>
        <v/>
      </c>
      <c r="O132" t="str">
        <f>IF(_xlfn.XLOOKUP(F132,PhpAggrFunc!A:A,PhpAggrFunc!B:B,"") = "", _xlfn.XLOOKUP(G132,PhpAggrFunc!A:A,PhpAggrFunc!B:B,""), _xlfn.XLOOKUP(F132,PhpAggrFunc!A:A,PhpAggrFunc!B:B,""))</f>
        <v/>
      </c>
      <c r="P132" t="str">
        <f t="shared" ref="P132:P195" si="14">IF(O132 = "",IF(N132 = "", IF(M132 = "", IF(L132 = "", IF(I132 = "",IF(E132 = "","UNRESERVED",E132),I132),L132),M132),N132),O132)</f>
        <v>RESERVED</v>
      </c>
      <c r="Q132" t="str">
        <f t="shared" ref="Q132:Q195" si="15">_xlfn.CONCAT("static const String^ ", A132, " = ", C132, ";")</f>
        <v>static const String^ TOK_DECIMAL = "DECIMAL";</v>
      </c>
      <c r="R132" t="str">
        <f t="shared" ref="R132:R195" si="16">_xlfn.CONCAT("static const int ", A132, " = ", B132, ";")</f>
        <v>static const int TOK_DECIMAL = 293;</v>
      </c>
      <c r="S132" t="str">
        <f t="shared" ref="S132:S195" si="17">_xlfn.CONCAT(IF(P132 = "UNRESERVED", "// ", ""),"_Tokens-&gt;Add((String^)GramVals::", A132, ", gcnew Token(GramKeys::", A132, ", EnumTokenCategory::", P132, ",",K132, ", i++));")</f>
        <v>_Tokens-&gt;Add((String^)GramVals::TOK_DECIMAL, gcnew Token(GramKeys::TOK_DECIMAL, EnumTokenCategory::RESERVED,BARE_LABEL, i++));</v>
      </c>
    </row>
    <row r="133" spans="1:19" x14ac:dyDescent="0.25">
      <c r="A133" s="3" t="s">
        <v>1507</v>
      </c>
      <c r="B133" s="5" t="s">
        <v>1087</v>
      </c>
      <c r="C133" s="3" t="s">
        <v>2024</v>
      </c>
      <c r="D133" s="3" t="s">
        <v>881</v>
      </c>
      <c r="F133" t="str">
        <f t="shared" si="12"/>
        <v>DECIMAL_NUMBER</v>
      </c>
      <c r="G133" t="s">
        <v>3684</v>
      </c>
      <c r="I133" s="3" t="str">
        <f>IF(_xlfn.XLOOKUP(F133,PgSqlRaw!B:B,PgSqlRaw!E:E,"") = "",_xlfn.XLOOKUP(G133,PgSqlRaw!B:B,PgSqlRaw!E:E,""),_xlfn.XLOOKUP(F133,PgSqlRaw!B:B,PgSqlRaw!E:E,""))</f>
        <v/>
      </c>
      <c r="J133" t="str">
        <f>IF(_xlfn.XLOOKUP(F133,PgSqlRaw!B:B,PgSqlRaw!F:F,"") = "", _xlfn.XLOOKUP(G133,PgSqlRaw!B:B,PgSqlRaw!F:F,""), _xlfn.XLOOKUP(F133,PgSqlRaw!B:B,PgSqlRaw!F:F,""))</f>
        <v/>
      </c>
      <c r="K133" t="str">
        <f t="shared" si="13"/>
        <v>BARE_LABEL</v>
      </c>
      <c r="L133" t="str">
        <f>IF(_xlfn.XLOOKUP(F133,PhpReserved!A:A,PhpReserved!B:B,"") = "", _xlfn.XLOOKUP(G133,PhpReserved!A:A,PhpReserved!B:B,""),_xlfn.XLOOKUP(F133,PhpReserved!A:A,PhpReserved!B:B,""))</f>
        <v/>
      </c>
      <c r="M133" t="str">
        <f>IF(_xlfn.XLOOKUP(F133,PhpFunctions!A:A,PhpFunctions!B:B,"") =  "", _xlfn.XLOOKUP(G133,PhpFunctions!A:A,PhpFunctions!B:B,""), _xlfn.XLOOKUP(F133,PhpFunctions!A:A,PhpFunctions!B:B,""))</f>
        <v/>
      </c>
      <c r="N133" t="str">
        <f>IF(_xlfn.XLOOKUP(F133,PhpParamFunc!A:A,PhpParamFunc!B:B,"") = "", _xlfn.XLOOKUP(G133,PhpParamFunc!A:A,PhpParamFunc!B:B,""), _xlfn.XLOOKUP(F133,PhpParamFunc!A:A,PhpParamFunc!B:B,""))</f>
        <v/>
      </c>
      <c r="O133" t="str">
        <f>IF(_xlfn.XLOOKUP(F133,PhpAggrFunc!A:A,PhpAggrFunc!B:B,"") = "", _xlfn.XLOOKUP(G133,PhpAggrFunc!A:A,PhpAggrFunc!B:B,""), _xlfn.XLOOKUP(F133,PhpAggrFunc!A:A,PhpAggrFunc!B:B,""))</f>
        <v/>
      </c>
      <c r="P133" t="str">
        <f t="shared" si="14"/>
        <v>UNRESERVED</v>
      </c>
      <c r="Q133" t="str">
        <f t="shared" si="15"/>
        <v>static const String^ TOK_DECIMAL_NUMBER = "DECIMAL_NUMBER";</v>
      </c>
      <c r="R133" t="str">
        <f t="shared" si="16"/>
        <v>static const int TOK_DECIMAL_NUMBER = 648;</v>
      </c>
      <c r="S133" t="str">
        <f t="shared" si="17"/>
        <v>// _Tokens-&gt;Add((String^)GramVals::TOK_DECIMAL_NUMBER, gcnew Token(GramKeys::TOK_DECIMAL_NUMBER, EnumTokenCategory::UNRESERVED,BARE_LABEL, i++));</v>
      </c>
    </row>
    <row r="134" spans="1:19" x14ac:dyDescent="0.25">
      <c r="A134" s="3" t="s">
        <v>1508</v>
      </c>
      <c r="B134" s="5" t="s">
        <v>1088</v>
      </c>
      <c r="C134" s="3" t="s">
        <v>2025</v>
      </c>
      <c r="D134" s="3" t="s">
        <v>881</v>
      </c>
      <c r="F134" t="str">
        <f t="shared" si="12"/>
        <v>DECLARE</v>
      </c>
      <c r="G134" t="s">
        <v>3128</v>
      </c>
      <c r="I134" s="3" t="str">
        <f>IF(_xlfn.XLOOKUP(F134,PgSqlRaw!B:B,PgSqlRaw!E:E,"") = "",_xlfn.XLOOKUP(G134,PgSqlRaw!B:B,PgSqlRaw!E:E,""),_xlfn.XLOOKUP(F134,PgSqlRaw!B:B,PgSqlRaw!E:E,""))</f>
        <v/>
      </c>
      <c r="J134" t="str">
        <f>IF(_xlfn.XLOOKUP(F134,PgSqlRaw!B:B,PgSqlRaw!F:F,"") = "", _xlfn.XLOOKUP(G134,PgSqlRaw!B:B,PgSqlRaw!F:F,""), _xlfn.XLOOKUP(F134,PgSqlRaw!B:B,PgSqlRaw!F:F,""))</f>
        <v>BARE_LABEL</v>
      </c>
      <c r="K134" t="str">
        <f t="shared" si="13"/>
        <v>BARE_LABEL</v>
      </c>
      <c r="L134" t="str">
        <f>IF(_xlfn.XLOOKUP(F134,PhpReserved!A:A,PhpReserved!B:B,"") = "", _xlfn.XLOOKUP(G134,PhpReserved!A:A,PhpReserved!B:B,""),_xlfn.XLOOKUP(F134,PhpReserved!A:A,PhpReserved!B:B,""))</f>
        <v>RESERVED</v>
      </c>
      <c r="M134" t="str">
        <f>IF(_xlfn.XLOOKUP(F134,PhpFunctions!A:A,PhpFunctions!B:B,"") =  "", _xlfn.XLOOKUP(G134,PhpFunctions!A:A,PhpFunctions!B:B,""), _xlfn.XLOOKUP(F134,PhpFunctions!A:A,PhpFunctions!B:B,""))</f>
        <v/>
      </c>
      <c r="N134" t="str">
        <f>IF(_xlfn.XLOOKUP(F134,PhpParamFunc!A:A,PhpParamFunc!B:B,"") = "", _xlfn.XLOOKUP(G134,PhpParamFunc!A:A,PhpParamFunc!B:B,""), _xlfn.XLOOKUP(F134,PhpParamFunc!A:A,PhpParamFunc!B:B,""))</f>
        <v/>
      </c>
      <c r="O134" t="str">
        <f>IF(_xlfn.XLOOKUP(F134,PhpAggrFunc!A:A,PhpAggrFunc!B:B,"") = "", _xlfn.XLOOKUP(G134,PhpAggrFunc!A:A,PhpAggrFunc!B:B,""), _xlfn.XLOOKUP(F134,PhpAggrFunc!A:A,PhpAggrFunc!B:B,""))</f>
        <v/>
      </c>
      <c r="P134" t="str">
        <f t="shared" si="14"/>
        <v>RESERVED</v>
      </c>
      <c r="Q134" t="str">
        <f t="shared" si="15"/>
        <v>static const String^ TOK_DECLARE = "DECLARE";</v>
      </c>
      <c r="R134" t="str">
        <f t="shared" si="16"/>
        <v>static const int TOK_DECLARE = 294;</v>
      </c>
      <c r="S134" t="str">
        <f t="shared" si="17"/>
        <v>_Tokens-&gt;Add((String^)GramVals::TOK_DECLARE, gcnew Token(GramKeys::TOK_DECLARE, EnumTokenCategory::RESERVED,BARE_LABEL, i++));</v>
      </c>
    </row>
    <row r="135" spans="1:19" x14ac:dyDescent="0.25">
      <c r="A135" s="3" t="s">
        <v>1509</v>
      </c>
      <c r="B135" s="5" t="s">
        <v>1089</v>
      </c>
      <c r="C135" s="3" t="s">
        <v>2026</v>
      </c>
      <c r="D135" s="3" t="s">
        <v>2423</v>
      </c>
      <c r="F135" t="str">
        <f t="shared" si="12"/>
        <v>DECODE</v>
      </c>
      <c r="G135" t="s">
        <v>2937</v>
      </c>
      <c r="I135" s="3" t="str">
        <f>IF(_xlfn.XLOOKUP(F135,PgSqlRaw!B:B,PgSqlRaw!E:E,"") = "",_xlfn.XLOOKUP(G135,PgSqlRaw!B:B,PgSqlRaw!E:E,""),_xlfn.XLOOKUP(F135,PgSqlRaw!B:B,PgSqlRaw!E:E,""))</f>
        <v/>
      </c>
      <c r="J135" t="str">
        <f>IF(_xlfn.XLOOKUP(F135,PgSqlRaw!B:B,PgSqlRaw!F:F,"") = "", _xlfn.XLOOKUP(G135,PgSqlRaw!B:B,PgSqlRaw!F:F,""), _xlfn.XLOOKUP(F135,PgSqlRaw!B:B,PgSqlRaw!F:F,""))</f>
        <v/>
      </c>
      <c r="K135" t="str">
        <f t="shared" si="13"/>
        <v>BARE_LABEL</v>
      </c>
      <c r="L135" t="str">
        <f>IF(_xlfn.XLOOKUP(F135,PhpReserved!A:A,PhpReserved!B:B,"") = "", _xlfn.XLOOKUP(G135,PhpReserved!A:A,PhpReserved!B:B,""),_xlfn.XLOOKUP(F135,PhpReserved!A:A,PhpReserved!B:B,""))</f>
        <v>RESERVED</v>
      </c>
      <c r="M135" t="str">
        <f>IF(_xlfn.XLOOKUP(F135,PhpFunctions!A:A,PhpFunctions!B:B,"") =  "", _xlfn.XLOOKUP(G135,PhpFunctions!A:A,PhpFunctions!B:B,""), _xlfn.XLOOKUP(F135,PhpFunctions!A:A,PhpFunctions!B:B,""))</f>
        <v>FUNCTION</v>
      </c>
      <c r="N135" t="str">
        <f>IF(_xlfn.XLOOKUP(F135,PhpParamFunc!A:A,PhpParamFunc!B:B,"") = "", _xlfn.XLOOKUP(G135,PhpParamFunc!A:A,PhpParamFunc!B:B,""), _xlfn.XLOOKUP(F135,PhpParamFunc!A:A,PhpParamFunc!B:B,""))</f>
        <v>PARAM_FUNCTION</v>
      </c>
      <c r="O135" t="str">
        <f>IF(_xlfn.XLOOKUP(F135,PhpAggrFunc!A:A,PhpAggrFunc!B:B,"") = "", _xlfn.XLOOKUP(G135,PhpAggrFunc!A:A,PhpAggrFunc!B:B,""), _xlfn.XLOOKUP(F135,PhpAggrFunc!A:A,PhpAggrFunc!B:B,""))</f>
        <v/>
      </c>
      <c r="P135" t="str">
        <f t="shared" si="14"/>
        <v>PARAM_FUNCTION</v>
      </c>
      <c r="Q135" t="str">
        <f t="shared" si="15"/>
        <v>static const String^ TOK_DECODE = "DECODE";</v>
      </c>
      <c r="R135" t="str">
        <f t="shared" si="16"/>
        <v>static const int TOK_DECODE = 546;</v>
      </c>
      <c r="S135" t="str">
        <f t="shared" si="17"/>
        <v>_Tokens-&gt;Add((String^)GramVals::TOK_DECODE, gcnew Token(GramKeys::TOK_DECODE, EnumTokenCategory::PARAM_FUNCTION,BARE_LABEL, i++));</v>
      </c>
    </row>
    <row r="136" spans="1:19" x14ac:dyDescent="0.25">
      <c r="A136" s="3" t="s">
        <v>1510</v>
      </c>
      <c r="B136" s="5" t="s">
        <v>1090</v>
      </c>
      <c r="C136" s="3" t="s">
        <v>2027</v>
      </c>
      <c r="D136" s="3" t="s">
        <v>2423</v>
      </c>
      <c r="F136" t="str">
        <f t="shared" si="12"/>
        <v>DECRYPT</v>
      </c>
      <c r="G136" t="s">
        <v>3685</v>
      </c>
      <c r="I136" s="3" t="str">
        <f>IF(_xlfn.XLOOKUP(F136,PgSqlRaw!B:B,PgSqlRaw!E:E,"") = "",_xlfn.XLOOKUP(G136,PgSqlRaw!B:B,PgSqlRaw!E:E,""),_xlfn.XLOOKUP(F136,PgSqlRaw!B:B,PgSqlRaw!E:E,""))</f>
        <v/>
      </c>
      <c r="J136" t="str">
        <f>IF(_xlfn.XLOOKUP(F136,PgSqlRaw!B:B,PgSqlRaw!F:F,"") = "", _xlfn.XLOOKUP(G136,PgSqlRaw!B:B,PgSqlRaw!F:F,""), _xlfn.XLOOKUP(F136,PgSqlRaw!B:B,PgSqlRaw!F:F,""))</f>
        <v/>
      </c>
      <c r="K136" t="str">
        <f t="shared" si="13"/>
        <v>BARE_LABEL</v>
      </c>
      <c r="L136" t="str">
        <f>IF(_xlfn.XLOOKUP(F136,PhpReserved!A:A,PhpReserved!B:B,"") = "", _xlfn.XLOOKUP(G136,PhpReserved!A:A,PhpReserved!B:B,""),_xlfn.XLOOKUP(F136,PhpReserved!A:A,PhpReserved!B:B,""))</f>
        <v/>
      </c>
      <c r="M136" t="str">
        <f>IF(_xlfn.XLOOKUP(F136,PhpFunctions!A:A,PhpFunctions!B:B,"") =  "", _xlfn.XLOOKUP(G136,PhpFunctions!A:A,PhpFunctions!B:B,""), _xlfn.XLOOKUP(F136,PhpFunctions!A:A,PhpFunctions!B:B,""))</f>
        <v/>
      </c>
      <c r="N136" t="str">
        <f>IF(_xlfn.XLOOKUP(F136,PhpParamFunc!A:A,PhpParamFunc!B:B,"") = "", _xlfn.XLOOKUP(G136,PhpParamFunc!A:A,PhpParamFunc!B:B,""), _xlfn.XLOOKUP(F136,PhpParamFunc!A:A,PhpParamFunc!B:B,""))</f>
        <v/>
      </c>
      <c r="O136" t="str">
        <f>IF(_xlfn.XLOOKUP(F136,PhpAggrFunc!A:A,PhpAggrFunc!B:B,"") = "", _xlfn.XLOOKUP(G136,PhpAggrFunc!A:A,PhpAggrFunc!B:B,""), _xlfn.XLOOKUP(F136,PhpAggrFunc!A:A,PhpAggrFunc!B:B,""))</f>
        <v/>
      </c>
      <c r="P136" t="str">
        <f t="shared" si="14"/>
        <v>UNRESERVED</v>
      </c>
      <c r="Q136" t="str">
        <f t="shared" si="15"/>
        <v>static const String^ TOK_DECRYPT = "DECRYPT";</v>
      </c>
      <c r="R136" t="str">
        <f t="shared" si="16"/>
        <v>static const int TOK_DECRYPT = 610;</v>
      </c>
      <c r="S136" t="str">
        <f t="shared" si="17"/>
        <v>// _Tokens-&gt;Add((String^)GramVals::TOK_DECRYPT, gcnew Token(GramKeys::TOK_DECRYPT, EnumTokenCategory::UNRESERVED,BARE_LABEL, i++));</v>
      </c>
    </row>
    <row r="137" spans="1:19" x14ac:dyDescent="0.25">
      <c r="A137" s="3" t="s">
        <v>1511</v>
      </c>
      <c r="B137" s="5" t="s">
        <v>1091</v>
      </c>
      <c r="C137" s="3" t="s">
        <v>2028</v>
      </c>
      <c r="D137" s="3" t="s">
        <v>881</v>
      </c>
      <c r="F137" t="str">
        <f t="shared" si="12"/>
        <v>DEFAULT</v>
      </c>
      <c r="G137" t="s">
        <v>2938</v>
      </c>
      <c r="I137" s="3" t="str">
        <f>IF(_xlfn.XLOOKUP(F137,PgSqlRaw!B:B,PgSqlRaw!E:E,"") = "",_xlfn.XLOOKUP(G137,PgSqlRaw!B:B,PgSqlRaw!E:E,""),_xlfn.XLOOKUP(F137,PgSqlRaw!B:B,PgSqlRaw!E:E,""))</f>
        <v>RESERVED</v>
      </c>
      <c r="J137" t="str">
        <f>IF(_xlfn.XLOOKUP(F137,PgSqlRaw!B:B,PgSqlRaw!F:F,"") = "", _xlfn.XLOOKUP(G137,PgSqlRaw!B:B,PgSqlRaw!F:F,""), _xlfn.XLOOKUP(F137,PgSqlRaw!B:B,PgSqlRaw!F:F,""))</f>
        <v>BARE_LABEL</v>
      </c>
      <c r="K137" t="str">
        <f t="shared" si="13"/>
        <v>BARE_LABEL</v>
      </c>
      <c r="L137" t="str">
        <f>IF(_xlfn.XLOOKUP(F137,PhpReserved!A:A,PhpReserved!B:B,"") = "", _xlfn.XLOOKUP(G137,PhpReserved!A:A,PhpReserved!B:B,""),_xlfn.XLOOKUP(F137,PhpReserved!A:A,PhpReserved!B:B,""))</f>
        <v>RESERVED</v>
      </c>
      <c r="M137" t="str">
        <f>IF(_xlfn.XLOOKUP(F137,PhpFunctions!A:A,PhpFunctions!B:B,"") =  "", _xlfn.XLOOKUP(G137,PhpFunctions!A:A,PhpFunctions!B:B,""), _xlfn.XLOOKUP(F137,PhpFunctions!A:A,PhpFunctions!B:B,""))</f>
        <v>FUNCTION</v>
      </c>
      <c r="N137" t="str">
        <f>IF(_xlfn.XLOOKUP(F137,PhpParamFunc!A:A,PhpParamFunc!B:B,"") = "", _xlfn.XLOOKUP(G137,PhpParamFunc!A:A,PhpParamFunc!B:B,""), _xlfn.XLOOKUP(F137,PhpParamFunc!A:A,PhpParamFunc!B:B,""))</f>
        <v>PARAM_FUNCTION</v>
      </c>
      <c r="O137" t="str">
        <f>IF(_xlfn.XLOOKUP(F137,PhpAggrFunc!A:A,PhpAggrFunc!B:B,"") = "", _xlfn.XLOOKUP(G137,PhpAggrFunc!A:A,PhpAggrFunc!B:B,""), _xlfn.XLOOKUP(F137,PhpAggrFunc!A:A,PhpAggrFunc!B:B,""))</f>
        <v/>
      </c>
      <c r="P137" t="str">
        <f t="shared" si="14"/>
        <v>PARAM_FUNCTION</v>
      </c>
      <c r="Q137" t="str">
        <f t="shared" si="15"/>
        <v>static const String^ TOK_DEFAULT = "DEFAULT";</v>
      </c>
      <c r="R137" t="str">
        <f t="shared" si="16"/>
        <v>static const int TOK_DEFAULT = 295;</v>
      </c>
      <c r="S137" t="str">
        <f t="shared" si="17"/>
        <v>_Tokens-&gt;Add((String^)GramVals::TOK_DEFAULT, gcnew Token(GramKeys::TOK_DEFAULT, EnumTokenCategory::PARAM_FUNCTION,BARE_LABEL, i++));</v>
      </c>
    </row>
    <row r="138" spans="1:19" x14ac:dyDescent="0.25">
      <c r="A138" s="3" t="s">
        <v>1512</v>
      </c>
      <c r="B138" s="5">
        <v>678</v>
      </c>
      <c r="C138" s="3" t="s">
        <v>2029</v>
      </c>
      <c r="D138" s="3" t="s">
        <v>2423</v>
      </c>
      <c r="F138" t="str">
        <f t="shared" si="12"/>
        <v>DEFINER</v>
      </c>
      <c r="G138" t="s">
        <v>3372</v>
      </c>
      <c r="I138" s="3" t="str">
        <f>IF(_xlfn.XLOOKUP(F138,PgSqlRaw!B:B,PgSqlRaw!E:E,"") = "",_xlfn.XLOOKUP(G138,PgSqlRaw!B:B,PgSqlRaw!E:E,""),_xlfn.XLOOKUP(F138,PgSqlRaw!B:B,PgSqlRaw!E:E,""))</f>
        <v/>
      </c>
      <c r="J138" t="str">
        <f>IF(_xlfn.XLOOKUP(F138,PgSqlRaw!B:B,PgSqlRaw!F:F,"") = "", _xlfn.XLOOKUP(G138,PgSqlRaw!B:B,PgSqlRaw!F:F,""), _xlfn.XLOOKUP(F138,PgSqlRaw!B:B,PgSqlRaw!F:F,""))</f>
        <v>BARE_LABEL</v>
      </c>
      <c r="K138" t="str">
        <f t="shared" si="13"/>
        <v>BARE_LABEL</v>
      </c>
      <c r="L138" t="str">
        <f>IF(_xlfn.XLOOKUP(F138,PhpReserved!A:A,PhpReserved!B:B,"") = "", _xlfn.XLOOKUP(G138,PhpReserved!A:A,PhpReserved!B:B,""),_xlfn.XLOOKUP(F138,PhpReserved!A:A,PhpReserved!B:B,""))</f>
        <v/>
      </c>
      <c r="M138" t="str">
        <f>IF(_xlfn.XLOOKUP(F138,PhpFunctions!A:A,PhpFunctions!B:B,"") =  "", _xlfn.XLOOKUP(G138,PhpFunctions!A:A,PhpFunctions!B:B,""), _xlfn.XLOOKUP(F138,PhpFunctions!A:A,PhpFunctions!B:B,""))</f>
        <v/>
      </c>
      <c r="N138" t="str">
        <f>IF(_xlfn.XLOOKUP(F138,PhpParamFunc!A:A,PhpParamFunc!B:B,"") = "", _xlfn.XLOOKUP(G138,PhpParamFunc!A:A,PhpParamFunc!B:B,""), _xlfn.XLOOKUP(F138,PhpParamFunc!A:A,PhpParamFunc!B:B,""))</f>
        <v/>
      </c>
      <c r="O138" t="str">
        <f>IF(_xlfn.XLOOKUP(F138,PhpAggrFunc!A:A,PhpAggrFunc!B:B,"") = "", _xlfn.XLOOKUP(G138,PhpAggrFunc!A:A,PhpAggrFunc!B:B,""), _xlfn.XLOOKUP(F138,PhpAggrFunc!A:A,PhpAggrFunc!B:B,""))</f>
        <v/>
      </c>
      <c r="P138" t="str">
        <f t="shared" si="14"/>
        <v>UNRESERVED</v>
      </c>
      <c r="Q138" t="str">
        <f t="shared" si="15"/>
        <v>static const String^ TOK_DEFINER = "DEFINER";</v>
      </c>
      <c r="R138" t="str">
        <f t="shared" si="16"/>
        <v>static const int TOK_DEFINER = 678;</v>
      </c>
      <c r="S138" t="str">
        <f t="shared" si="17"/>
        <v>// _Tokens-&gt;Add((String^)GramVals::TOK_DEFINER, gcnew Token(GramKeys::TOK_DEFINER, EnumTokenCategory::UNRESERVED,BARE_LABEL, i++));</v>
      </c>
    </row>
    <row r="139" spans="1:19" x14ac:dyDescent="0.25">
      <c r="A139" s="3" t="s">
        <v>1513</v>
      </c>
      <c r="B139" s="5" t="s">
        <v>1092</v>
      </c>
      <c r="C139" s="3" t="s">
        <v>2030</v>
      </c>
      <c r="D139" s="3" t="s">
        <v>881</v>
      </c>
      <c r="F139" t="str">
        <f t="shared" si="12"/>
        <v>DELETE</v>
      </c>
      <c r="G139" t="s">
        <v>3130</v>
      </c>
      <c r="I139" s="3" t="str">
        <f>IF(_xlfn.XLOOKUP(F139,PgSqlRaw!B:B,PgSqlRaw!E:E,"") = "",_xlfn.XLOOKUP(G139,PgSqlRaw!B:B,PgSqlRaw!E:E,""),_xlfn.XLOOKUP(F139,PgSqlRaw!B:B,PgSqlRaw!E:E,""))</f>
        <v/>
      </c>
      <c r="J139" t="str">
        <f>IF(_xlfn.XLOOKUP(F139,PgSqlRaw!B:B,PgSqlRaw!F:F,"") = "", _xlfn.XLOOKUP(G139,PgSqlRaw!B:B,PgSqlRaw!F:F,""), _xlfn.XLOOKUP(F139,PgSqlRaw!B:B,PgSqlRaw!F:F,""))</f>
        <v>BARE_LABEL</v>
      </c>
      <c r="K139" t="str">
        <f t="shared" si="13"/>
        <v>BARE_LABEL</v>
      </c>
      <c r="L139" t="str">
        <f>IF(_xlfn.XLOOKUP(F139,PhpReserved!A:A,PhpReserved!B:B,"") = "", _xlfn.XLOOKUP(G139,PhpReserved!A:A,PhpReserved!B:B,""),_xlfn.XLOOKUP(F139,PhpReserved!A:A,PhpReserved!B:B,""))</f>
        <v>RESERVED</v>
      </c>
      <c r="M139" t="str">
        <f>IF(_xlfn.XLOOKUP(F139,PhpFunctions!A:A,PhpFunctions!B:B,"") =  "", _xlfn.XLOOKUP(G139,PhpFunctions!A:A,PhpFunctions!B:B,""), _xlfn.XLOOKUP(F139,PhpFunctions!A:A,PhpFunctions!B:B,""))</f>
        <v/>
      </c>
      <c r="N139" t="str">
        <f>IF(_xlfn.XLOOKUP(F139,PhpParamFunc!A:A,PhpParamFunc!B:B,"") = "", _xlfn.XLOOKUP(G139,PhpParamFunc!A:A,PhpParamFunc!B:B,""), _xlfn.XLOOKUP(F139,PhpParamFunc!A:A,PhpParamFunc!B:B,""))</f>
        <v/>
      </c>
      <c r="O139" t="str">
        <f>IF(_xlfn.XLOOKUP(F139,PhpAggrFunc!A:A,PhpAggrFunc!B:B,"") = "", _xlfn.XLOOKUP(G139,PhpAggrFunc!A:A,PhpAggrFunc!B:B,""), _xlfn.XLOOKUP(F139,PhpAggrFunc!A:A,PhpAggrFunc!B:B,""))</f>
        <v/>
      </c>
      <c r="P139" t="str">
        <f t="shared" si="14"/>
        <v>RESERVED</v>
      </c>
      <c r="Q139" t="str">
        <f t="shared" si="15"/>
        <v>static const String^ TOK_DELETE = "DELETE";</v>
      </c>
      <c r="R139" t="str">
        <f t="shared" si="16"/>
        <v>static const int TOK_DELETE = 296;</v>
      </c>
      <c r="S139" t="str">
        <f t="shared" si="17"/>
        <v>_Tokens-&gt;Add((String^)GramVals::TOK_DELETE, gcnew Token(GramKeys::TOK_DELETE, EnumTokenCategory::RESERVED,BARE_LABEL, i++));</v>
      </c>
    </row>
    <row r="140" spans="1:19" x14ac:dyDescent="0.25">
      <c r="A140" s="3" t="s">
        <v>1514</v>
      </c>
      <c r="B140" s="5" t="s">
        <v>1093</v>
      </c>
      <c r="C140" s="3" t="s">
        <v>2031</v>
      </c>
      <c r="D140" s="3" t="s">
        <v>881</v>
      </c>
      <c r="F140" t="str">
        <f t="shared" si="12"/>
        <v>DELETING</v>
      </c>
      <c r="G140" t="s">
        <v>3686</v>
      </c>
      <c r="I140" s="3" t="str">
        <f>IF(_xlfn.XLOOKUP(F140,PgSqlRaw!B:B,PgSqlRaw!E:E,"") = "",_xlfn.XLOOKUP(G140,PgSqlRaw!B:B,PgSqlRaw!E:E,""),_xlfn.XLOOKUP(F140,PgSqlRaw!B:B,PgSqlRaw!E:E,""))</f>
        <v/>
      </c>
      <c r="J140" t="str">
        <f>IF(_xlfn.XLOOKUP(F140,PgSqlRaw!B:B,PgSqlRaw!F:F,"") = "", _xlfn.XLOOKUP(G140,PgSqlRaw!B:B,PgSqlRaw!F:F,""), _xlfn.XLOOKUP(F140,PgSqlRaw!B:B,PgSqlRaw!F:F,""))</f>
        <v/>
      </c>
      <c r="K140" t="str">
        <f t="shared" si="13"/>
        <v>BARE_LABEL</v>
      </c>
      <c r="L140" t="str">
        <f>IF(_xlfn.XLOOKUP(F140,PhpReserved!A:A,PhpReserved!B:B,"") = "", _xlfn.XLOOKUP(G140,PhpReserved!A:A,PhpReserved!B:B,""),_xlfn.XLOOKUP(F140,PhpReserved!A:A,PhpReserved!B:B,""))</f>
        <v/>
      </c>
      <c r="M140" t="str">
        <f>IF(_xlfn.XLOOKUP(F140,PhpFunctions!A:A,PhpFunctions!B:B,"") =  "", _xlfn.XLOOKUP(G140,PhpFunctions!A:A,PhpFunctions!B:B,""), _xlfn.XLOOKUP(F140,PhpFunctions!A:A,PhpFunctions!B:B,""))</f>
        <v/>
      </c>
      <c r="N140" t="str">
        <f>IF(_xlfn.XLOOKUP(F140,PhpParamFunc!A:A,PhpParamFunc!B:B,"") = "", _xlfn.XLOOKUP(G140,PhpParamFunc!A:A,PhpParamFunc!B:B,""), _xlfn.XLOOKUP(F140,PhpParamFunc!A:A,PhpParamFunc!B:B,""))</f>
        <v/>
      </c>
      <c r="O140" t="str">
        <f>IF(_xlfn.XLOOKUP(F140,PhpAggrFunc!A:A,PhpAggrFunc!B:B,"") = "", _xlfn.XLOOKUP(G140,PhpAggrFunc!A:A,PhpAggrFunc!B:B,""), _xlfn.XLOOKUP(F140,PhpAggrFunc!A:A,PhpAggrFunc!B:B,""))</f>
        <v/>
      </c>
      <c r="P140" t="str">
        <f t="shared" si="14"/>
        <v>UNRESERVED</v>
      </c>
      <c r="Q140" t="str">
        <f t="shared" si="15"/>
        <v>static const String^ TOK_DELETING = "DELETING";</v>
      </c>
      <c r="R140" t="str">
        <f t="shared" si="16"/>
        <v>static const int TOK_DELETING = 494;</v>
      </c>
      <c r="S140" t="str">
        <f t="shared" si="17"/>
        <v>// _Tokens-&gt;Add((String^)GramVals::TOK_DELETING, gcnew Token(GramKeys::TOK_DELETING, EnumTokenCategory::UNRESERVED,BARE_LABEL, i++));</v>
      </c>
    </row>
    <row r="141" spans="1:19" x14ac:dyDescent="0.25">
      <c r="A141" s="3" t="s">
        <v>1515</v>
      </c>
      <c r="B141" s="5" t="s">
        <v>1094</v>
      </c>
      <c r="C141" s="3" t="s">
        <v>2032</v>
      </c>
      <c r="D141" s="3" t="s">
        <v>2423</v>
      </c>
      <c r="F141" t="str">
        <f t="shared" si="12"/>
        <v>DENSE_RANK</v>
      </c>
      <c r="G141" t="s">
        <v>3687</v>
      </c>
      <c r="I141" s="3" t="str">
        <f>IF(_xlfn.XLOOKUP(F141,PgSqlRaw!B:B,PgSqlRaw!E:E,"") = "",_xlfn.XLOOKUP(G141,PgSqlRaw!B:B,PgSqlRaw!E:E,""),_xlfn.XLOOKUP(F141,PgSqlRaw!B:B,PgSqlRaw!E:E,""))</f>
        <v/>
      </c>
      <c r="J141" t="str">
        <f>IF(_xlfn.XLOOKUP(F141,PgSqlRaw!B:B,PgSqlRaw!F:F,"") = "", _xlfn.XLOOKUP(G141,PgSqlRaw!B:B,PgSqlRaw!F:F,""), _xlfn.XLOOKUP(F141,PgSqlRaw!B:B,PgSqlRaw!F:F,""))</f>
        <v/>
      </c>
      <c r="K141" t="str">
        <f t="shared" si="13"/>
        <v>BARE_LABEL</v>
      </c>
      <c r="L141" t="str">
        <f>IF(_xlfn.XLOOKUP(F141,PhpReserved!A:A,PhpReserved!B:B,"") = "", _xlfn.XLOOKUP(G141,PhpReserved!A:A,PhpReserved!B:B,""),_xlfn.XLOOKUP(F141,PhpReserved!A:A,PhpReserved!B:B,""))</f>
        <v/>
      </c>
      <c r="M141" t="str">
        <f>IF(_xlfn.XLOOKUP(F141,PhpFunctions!A:A,PhpFunctions!B:B,"") =  "", _xlfn.XLOOKUP(G141,PhpFunctions!A:A,PhpFunctions!B:B,""), _xlfn.XLOOKUP(F141,PhpFunctions!A:A,PhpFunctions!B:B,""))</f>
        <v/>
      </c>
      <c r="N141" t="str">
        <f>IF(_xlfn.XLOOKUP(F141,PhpParamFunc!A:A,PhpParamFunc!B:B,"") = "", _xlfn.XLOOKUP(G141,PhpParamFunc!A:A,PhpParamFunc!B:B,""), _xlfn.XLOOKUP(F141,PhpParamFunc!A:A,PhpParamFunc!B:B,""))</f>
        <v/>
      </c>
      <c r="O141" t="str">
        <f>IF(_xlfn.XLOOKUP(F141,PhpAggrFunc!A:A,PhpAggrFunc!B:B,"") = "", _xlfn.XLOOKUP(G141,PhpAggrFunc!A:A,PhpAggrFunc!B:B,""), _xlfn.XLOOKUP(F141,PhpAggrFunc!A:A,PhpAggrFunc!B:B,""))</f>
        <v/>
      </c>
      <c r="P141" t="str">
        <f t="shared" si="14"/>
        <v>UNRESERVED</v>
      </c>
      <c r="Q141" t="str">
        <f t="shared" si="15"/>
        <v>static const String^ TOK_DENSE_RANK = "DENSE_RANK";</v>
      </c>
      <c r="R141" t="str">
        <f t="shared" si="16"/>
        <v>static const int TOK_DENSE_RANK = 629;</v>
      </c>
      <c r="S141" t="str">
        <f t="shared" si="17"/>
        <v>// _Tokens-&gt;Add((String^)GramVals::TOK_DENSE_RANK, gcnew Token(GramKeys::TOK_DENSE_RANK, EnumTokenCategory::UNRESERVED,BARE_LABEL, i++));</v>
      </c>
    </row>
    <row r="142" spans="1:19" x14ac:dyDescent="0.25">
      <c r="A142" s="3" t="s">
        <v>1516</v>
      </c>
      <c r="B142" s="5" t="s">
        <v>1095</v>
      </c>
      <c r="C142" s="3" t="s">
        <v>2033</v>
      </c>
      <c r="D142" s="3" t="s">
        <v>2423</v>
      </c>
      <c r="F142" t="str">
        <f t="shared" si="12"/>
        <v>DESC</v>
      </c>
      <c r="G142" t="s">
        <v>3131</v>
      </c>
      <c r="I142" s="3" t="str">
        <f>IF(_xlfn.XLOOKUP(F142,PgSqlRaw!B:B,PgSqlRaw!E:E,"") = "",_xlfn.XLOOKUP(G142,PgSqlRaw!B:B,PgSqlRaw!E:E,""),_xlfn.XLOOKUP(F142,PgSqlRaw!B:B,PgSqlRaw!E:E,""))</f>
        <v>RESERVED</v>
      </c>
      <c r="J142" t="str">
        <f>IF(_xlfn.XLOOKUP(F142,PgSqlRaw!B:B,PgSqlRaw!F:F,"") = "", _xlfn.XLOOKUP(G142,PgSqlRaw!B:B,PgSqlRaw!F:F,""), _xlfn.XLOOKUP(F142,PgSqlRaw!B:B,PgSqlRaw!F:F,""))</f>
        <v>BARE_LABEL</v>
      </c>
      <c r="K142" t="str">
        <f t="shared" si="13"/>
        <v>BARE_LABEL</v>
      </c>
      <c r="L142" t="str">
        <f>IF(_xlfn.XLOOKUP(F142,PhpReserved!A:A,PhpReserved!B:B,"") = "", _xlfn.XLOOKUP(G142,PhpReserved!A:A,PhpReserved!B:B,""),_xlfn.XLOOKUP(F142,PhpReserved!A:A,PhpReserved!B:B,""))</f>
        <v>RESERVED</v>
      </c>
      <c r="M142" t="str">
        <f>IF(_xlfn.XLOOKUP(F142,PhpFunctions!A:A,PhpFunctions!B:B,"") =  "", _xlfn.XLOOKUP(G142,PhpFunctions!A:A,PhpFunctions!B:B,""), _xlfn.XLOOKUP(F142,PhpFunctions!A:A,PhpFunctions!B:B,""))</f>
        <v/>
      </c>
      <c r="N142" t="str">
        <f>IF(_xlfn.XLOOKUP(F142,PhpParamFunc!A:A,PhpParamFunc!B:B,"") = "", _xlfn.XLOOKUP(G142,PhpParamFunc!A:A,PhpParamFunc!B:B,""), _xlfn.XLOOKUP(F142,PhpParamFunc!A:A,PhpParamFunc!B:B,""))</f>
        <v/>
      </c>
      <c r="O142" t="str">
        <f>IF(_xlfn.XLOOKUP(F142,PhpAggrFunc!A:A,PhpAggrFunc!B:B,"") = "", _xlfn.XLOOKUP(G142,PhpAggrFunc!A:A,PhpAggrFunc!B:B,""), _xlfn.XLOOKUP(F142,PhpAggrFunc!A:A,PhpAggrFunc!B:B,""))</f>
        <v/>
      </c>
      <c r="P142" t="str">
        <f t="shared" si="14"/>
        <v>RESERVED</v>
      </c>
      <c r="Q142" t="str">
        <f t="shared" si="15"/>
        <v>static const String^ TOK_DESC = "DESC";</v>
      </c>
      <c r="R142" t="str">
        <f t="shared" si="16"/>
        <v>static const int TOK_DESC = 297;</v>
      </c>
      <c r="S142" t="str">
        <f t="shared" si="17"/>
        <v>_Tokens-&gt;Add((String^)GramVals::TOK_DESC, gcnew Token(GramKeys::TOK_DESC, EnumTokenCategory::RESERVED,BARE_LABEL, i++));</v>
      </c>
    </row>
    <row r="143" spans="1:19" x14ac:dyDescent="0.25">
      <c r="A143" s="3" t="s">
        <v>1517</v>
      </c>
      <c r="B143" s="5" t="s">
        <v>1095</v>
      </c>
      <c r="C143" s="3" t="s">
        <v>2034</v>
      </c>
      <c r="D143" s="3" t="s">
        <v>2423</v>
      </c>
      <c r="F143" t="str">
        <f t="shared" si="12"/>
        <v>DESCENDING</v>
      </c>
      <c r="G143" t="s">
        <v>3688</v>
      </c>
      <c r="I143" s="3" t="str">
        <f>IF(_xlfn.XLOOKUP(F143,PgSqlRaw!B:B,PgSqlRaw!E:E,"") = "",_xlfn.XLOOKUP(G143,PgSqlRaw!B:B,PgSqlRaw!E:E,""),_xlfn.XLOOKUP(F143,PgSqlRaw!B:B,PgSqlRaw!E:E,""))</f>
        <v/>
      </c>
      <c r="J143" t="str">
        <f>IF(_xlfn.XLOOKUP(F143,PgSqlRaw!B:B,PgSqlRaw!F:F,"") = "", _xlfn.XLOOKUP(G143,PgSqlRaw!B:B,PgSqlRaw!F:F,""), _xlfn.XLOOKUP(F143,PgSqlRaw!B:B,PgSqlRaw!F:F,""))</f>
        <v/>
      </c>
      <c r="K143" t="str">
        <f t="shared" si="13"/>
        <v>BARE_LABEL</v>
      </c>
      <c r="L143" t="str">
        <f>IF(_xlfn.XLOOKUP(F143,PhpReserved!A:A,PhpReserved!B:B,"") = "", _xlfn.XLOOKUP(G143,PhpReserved!A:A,PhpReserved!B:B,""),_xlfn.XLOOKUP(F143,PhpReserved!A:A,PhpReserved!B:B,""))</f>
        <v/>
      </c>
      <c r="M143" t="str">
        <f>IF(_xlfn.XLOOKUP(F143,PhpFunctions!A:A,PhpFunctions!B:B,"") =  "", _xlfn.XLOOKUP(G143,PhpFunctions!A:A,PhpFunctions!B:B,""), _xlfn.XLOOKUP(F143,PhpFunctions!A:A,PhpFunctions!B:B,""))</f>
        <v/>
      </c>
      <c r="N143" t="str">
        <f>IF(_xlfn.XLOOKUP(F143,PhpParamFunc!A:A,PhpParamFunc!B:B,"") = "", _xlfn.XLOOKUP(G143,PhpParamFunc!A:A,PhpParamFunc!B:B,""), _xlfn.XLOOKUP(F143,PhpParamFunc!A:A,PhpParamFunc!B:B,""))</f>
        <v/>
      </c>
      <c r="O143" t="str">
        <f>IF(_xlfn.XLOOKUP(F143,PhpAggrFunc!A:A,PhpAggrFunc!B:B,"") = "", _xlfn.XLOOKUP(G143,PhpAggrFunc!A:A,PhpAggrFunc!B:B,""), _xlfn.XLOOKUP(F143,PhpAggrFunc!A:A,PhpAggrFunc!B:B,""))</f>
        <v/>
      </c>
      <c r="P143" t="str">
        <f t="shared" si="14"/>
        <v>UNRESERVED</v>
      </c>
      <c r="Q143" t="str">
        <f t="shared" si="15"/>
        <v>static const String^ TOK_DESCENDING = "DESCENDING";</v>
      </c>
      <c r="R143" t="str">
        <f t="shared" si="16"/>
        <v>static const int TOK_DESCENDING = 297;</v>
      </c>
      <c r="S143" t="str">
        <f t="shared" si="17"/>
        <v>// _Tokens-&gt;Add((String^)GramVals::TOK_DESCENDING, gcnew Token(GramKeys::TOK_DESCENDING, EnumTokenCategory::UNRESERVED,BARE_LABEL, i++));</v>
      </c>
    </row>
    <row r="144" spans="1:19" x14ac:dyDescent="0.25">
      <c r="A144" s="3" t="s">
        <v>1518</v>
      </c>
      <c r="B144" s="5" t="s">
        <v>1096</v>
      </c>
      <c r="C144" s="3" t="s">
        <v>2035</v>
      </c>
      <c r="D144" s="3" t="s">
        <v>2423</v>
      </c>
      <c r="F144" t="str">
        <f t="shared" si="12"/>
        <v>DESCRIPTOR</v>
      </c>
      <c r="G144" t="s">
        <v>3689</v>
      </c>
      <c r="I144" s="3" t="str">
        <f>IF(_xlfn.XLOOKUP(F144,PgSqlRaw!B:B,PgSqlRaw!E:E,"") = "",_xlfn.XLOOKUP(G144,PgSqlRaw!B:B,PgSqlRaw!E:E,""),_xlfn.XLOOKUP(F144,PgSqlRaw!B:B,PgSqlRaw!E:E,""))</f>
        <v/>
      </c>
      <c r="J144" t="str">
        <f>IF(_xlfn.XLOOKUP(F144,PgSqlRaw!B:B,PgSqlRaw!F:F,"") = "", _xlfn.XLOOKUP(G144,PgSqlRaw!B:B,PgSqlRaw!F:F,""), _xlfn.XLOOKUP(F144,PgSqlRaw!B:B,PgSqlRaw!F:F,""))</f>
        <v/>
      </c>
      <c r="K144" t="str">
        <f t="shared" si="13"/>
        <v>BARE_LABEL</v>
      </c>
      <c r="L144" t="str">
        <f>IF(_xlfn.XLOOKUP(F144,PhpReserved!A:A,PhpReserved!B:B,"") = "", _xlfn.XLOOKUP(G144,PhpReserved!A:A,PhpReserved!B:B,""),_xlfn.XLOOKUP(F144,PhpReserved!A:A,PhpReserved!B:B,""))</f>
        <v/>
      </c>
      <c r="M144" t="str">
        <f>IF(_xlfn.XLOOKUP(F144,PhpFunctions!A:A,PhpFunctions!B:B,"") =  "", _xlfn.XLOOKUP(G144,PhpFunctions!A:A,PhpFunctions!B:B,""), _xlfn.XLOOKUP(F144,PhpFunctions!A:A,PhpFunctions!B:B,""))</f>
        <v/>
      </c>
      <c r="N144" t="str">
        <f>IF(_xlfn.XLOOKUP(F144,PhpParamFunc!A:A,PhpParamFunc!B:B,"") = "", _xlfn.XLOOKUP(G144,PhpParamFunc!A:A,PhpParamFunc!B:B,""), _xlfn.XLOOKUP(F144,PhpParamFunc!A:A,PhpParamFunc!B:B,""))</f>
        <v/>
      </c>
      <c r="O144" t="str">
        <f>IF(_xlfn.XLOOKUP(F144,PhpAggrFunc!A:A,PhpAggrFunc!B:B,"") = "", _xlfn.XLOOKUP(G144,PhpAggrFunc!A:A,PhpAggrFunc!B:B,""), _xlfn.XLOOKUP(F144,PhpAggrFunc!A:A,PhpAggrFunc!B:B,""))</f>
        <v/>
      </c>
      <c r="P144" t="str">
        <f t="shared" si="14"/>
        <v>UNRESERVED</v>
      </c>
      <c r="Q144" t="str">
        <f t="shared" si="15"/>
        <v>static const String^ TOK_DESCRIPTOR = "DESCRIPTOR";</v>
      </c>
      <c r="R144" t="str">
        <f t="shared" si="16"/>
        <v>static const int TOK_DESCRIPTOR = 474;</v>
      </c>
      <c r="S144" t="str">
        <f t="shared" si="17"/>
        <v>// _Tokens-&gt;Add((String^)GramVals::TOK_DESCRIPTOR, gcnew Token(GramKeys::TOK_DESCRIPTOR, EnumTokenCategory::UNRESERVED,BARE_LABEL, i++));</v>
      </c>
    </row>
    <row r="145" spans="1:19" x14ac:dyDescent="0.25">
      <c r="A145" s="3" t="s">
        <v>1519</v>
      </c>
      <c r="B145" s="5" t="s">
        <v>1097</v>
      </c>
      <c r="C145" s="3" t="s">
        <v>2036</v>
      </c>
      <c r="D145" s="3" t="s">
        <v>881</v>
      </c>
      <c r="F145" t="str">
        <f t="shared" si="12"/>
        <v>DETERMINISTIC</v>
      </c>
      <c r="G145" t="s">
        <v>3133</v>
      </c>
      <c r="I145" s="3" t="str">
        <f>IF(_xlfn.XLOOKUP(F145,PgSqlRaw!B:B,PgSqlRaw!E:E,"") = "",_xlfn.XLOOKUP(G145,PgSqlRaw!B:B,PgSqlRaw!E:E,""),_xlfn.XLOOKUP(F145,PgSqlRaw!B:B,PgSqlRaw!E:E,""))</f>
        <v/>
      </c>
      <c r="J145" t="str">
        <f>IF(_xlfn.XLOOKUP(F145,PgSqlRaw!B:B,PgSqlRaw!F:F,"") = "", _xlfn.XLOOKUP(G145,PgSqlRaw!B:B,PgSqlRaw!F:F,""), _xlfn.XLOOKUP(F145,PgSqlRaw!B:B,PgSqlRaw!F:F,""))</f>
        <v/>
      </c>
      <c r="K145" t="str">
        <f t="shared" si="13"/>
        <v>BARE_LABEL</v>
      </c>
      <c r="L145" t="str">
        <f>IF(_xlfn.XLOOKUP(F145,PhpReserved!A:A,PhpReserved!B:B,"") = "", _xlfn.XLOOKUP(G145,PhpReserved!A:A,PhpReserved!B:B,""),_xlfn.XLOOKUP(F145,PhpReserved!A:A,PhpReserved!B:B,""))</f>
        <v>RESERVED</v>
      </c>
      <c r="M145" t="str">
        <f>IF(_xlfn.XLOOKUP(F145,PhpFunctions!A:A,PhpFunctions!B:B,"") =  "", _xlfn.XLOOKUP(G145,PhpFunctions!A:A,PhpFunctions!B:B,""), _xlfn.XLOOKUP(F145,PhpFunctions!A:A,PhpFunctions!B:B,""))</f>
        <v/>
      </c>
      <c r="N145" t="str">
        <f>IF(_xlfn.XLOOKUP(F145,PhpParamFunc!A:A,PhpParamFunc!B:B,"") = "", _xlfn.XLOOKUP(G145,PhpParamFunc!A:A,PhpParamFunc!B:B,""), _xlfn.XLOOKUP(F145,PhpParamFunc!A:A,PhpParamFunc!B:B,""))</f>
        <v/>
      </c>
      <c r="O145" t="str">
        <f>IF(_xlfn.XLOOKUP(F145,PhpAggrFunc!A:A,PhpAggrFunc!B:B,"") = "", _xlfn.XLOOKUP(G145,PhpAggrFunc!A:A,PhpAggrFunc!B:B,""), _xlfn.XLOOKUP(F145,PhpAggrFunc!A:A,PhpAggrFunc!B:B,""))</f>
        <v/>
      </c>
      <c r="P145" t="str">
        <f t="shared" si="14"/>
        <v>RESERVED</v>
      </c>
      <c r="Q145" t="str">
        <f t="shared" si="15"/>
        <v>static const String^ TOK_DETERMINISTIC = "DETERMINISTIC";</v>
      </c>
      <c r="R145" t="str">
        <f t="shared" si="16"/>
        <v>static const int TOK_DETERMINISTIC = 627;</v>
      </c>
      <c r="S145" t="str">
        <f t="shared" si="17"/>
        <v>_Tokens-&gt;Add((String^)GramVals::TOK_DETERMINISTIC, gcnew Token(GramKeys::TOK_DETERMINISTIC, EnumTokenCategory::RESERVED,BARE_LABEL, i++));</v>
      </c>
    </row>
    <row r="146" spans="1:19" x14ac:dyDescent="0.25">
      <c r="A146" s="3" t="s">
        <v>917</v>
      </c>
      <c r="B146" s="5" t="s">
        <v>1098</v>
      </c>
      <c r="C146" s="3" t="s">
        <v>2037</v>
      </c>
      <c r="D146" s="3" t="s">
        <v>2423</v>
      </c>
      <c r="F146" t="str">
        <f t="shared" si="12"/>
        <v>DIFFERENCE</v>
      </c>
      <c r="G146" t="s">
        <v>3690</v>
      </c>
      <c r="I146" s="3" t="str">
        <f>IF(_xlfn.XLOOKUP(F146,PgSqlRaw!B:B,PgSqlRaw!E:E,"") = "",_xlfn.XLOOKUP(G146,PgSqlRaw!B:B,PgSqlRaw!E:E,""),_xlfn.XLOOKUP(F146,PgSqlRaw!B:B,PgSqlRaw!E:E,""))</f>
        <v/>
      </c>
      <c r="J146" t="str">
        <f>IF(_xlfn.XLOOKUP(F146,PgSqlRaw!B:B,PgSqlRaw!F:F,"") = "", _xlfn.XLOOKUP(G146,PgSqlRaw!B:B,PgSqlRaw!F:F,""), _xlfn.XLOOKUP(F146,PgSqlRaw!B:B,PgSqlRaw!F:F,""))</f>
        <v/>
      </c>
      <c r="K146" t="str">
        <f t="shared" si="13"/>
        <v>BARE_LABEL</v>
      </c>
      <c r="L146" t="str">
        <f>IF(_xlfn.XLOOKUP(F146,PhpReserved!A:A,PhpReserved!B:B,"") = "", _xlfn.XLOOKUP(G146,PhpReserved!A:A,PhpReserved!B:B,""),_xlfn.XLOOKUP(F146,PhpReserved!A:A,PhpReserved!B:B,""))</f>
        <v/>
      </c>
      <c r="M146" t="str">
        <f>IF(_xlfn.XLOOKUP(F146,PhpFunctions!A:A,PhpFunctions!B:B,"") =  "", _xlfn.XLOOKUP(G146,PhpFunctions!A:A,PhpFunctions!B:B,""), _xlfn.XLOOKUP(F146,PhpFunctions!A:A,PhpFunctions!B:B,""))</f>
        <v/>
      </c>
      <c r="N146" t="str">
        <f>IF(_xlfn.XLOOKUP(F146,PhpParamFunc!A:A,PhpParamFunc!B:B,"") = "", _xlfn.XLOOKUP(G146,PhpParamFunc!A:A,PhpParamFunc!B:B,""), _xlfn.XLOOKUP(F146,PhpParamFunc!A:A,PhpParamFunc!B:B,""))</f>
        <v/>
      </c>
      <c r="O146" t="str">
        <f>IF(_xlfn.XLOOKUP(F146,PhpAggrFunc!A:A,PhpAggrFunc!B:B,"") = "", _xlfn.XLOOKUP(G146,PhpAggrFunc!A:A,PhpAggrFunc!B:B,""), _xlfn.XLOOKUP(F146,PhpAggrFunc!A:A,PhpAggrFunc!B:B,""))</f>
        <v/>
      </c>
      <c r="P146" t="str">
        <f t="shared" si="14"/>
        <v>UNRESERVED</v>
      </c>
      <c r="Q146" t="str">
        <f t="shared" si="15"/>
        <v>static const String^ TOK_DIFFERENCE = "DIFFERENCE";</v>
      </c>
      <c r="R146" t="str">
        <f t="shared" si="16"/>
        <v>static const int TOK_DIFFERENCE = 496;</v>
      </c>
      <c r="S146" t="str">
        <f t="shared" si="17"/>
        <v>// _Tokens-&gt;Add((String^)GramVals::TOK_DIFFERENCE, gcnew Token(GramKeys::TOK_DIFFERENCE, EnumTokenCategory::UNRESERVED,BARE_LABEL, i++));</v>
      </c>
    </row>
    <row r="147" spans="1:19" x14ac:dyDescent="0.25">
      <c r="A147" s="3" t="s">
        <v>918</v>
      </c>
      <c r="B147" s="5">
        <v>679</v>
      </c>
      <c r="C147" s="3" t="s">
        <v>2038</v>
      </c>
      <c r="D147" s="3" t="s">
        <v>2423</v>
      </c>
      <c r="F147" t="str">
        <f t="shared" si="12"/>
        <v>DISABLE</v>
      </c>
      <c r="G147" t="s">
        <v>3379</v>
      </c>
      <c r="I147" s="3" t="str">
        <f>IF(_xlfn.XLOOKUP(F147,PgSqlRaw!B:B,PgSqlRaw!E:E,"") = "",_xlfn.XLOOKUP(G147,PgSqlRaw!B:B,PgSqlRaw!E:E,""),_xlfn.XLOOKUP(F147,PgSqlRaw!B:B,PgSqlRaw!E:E,""))</f>
        <v/>
      </c>
      <c r="J147" t="str">
        <f>IF(_xlfn.XLOOKUP(F147,PgSqlRaw!B:B,PgSqlRaw!F:F,"") = "", _xlfn.XLOOKUP(G147,PgSqlRaw!B:B,PgSqlRaw!F:F,""), _xlfn.XLOOKUP(F147,PgSqlRaw!B:B,PgSqlRaw!F:F,""))</f>
        <v>BARE_LABEL</v>
      </c>
      <c r="K147" t="str">
        <f t="shared" si="13"/>
        <v>BARE_LABEL</v>
      </c>
      <c r="L147" t="str">
        <f>IF(_xlfn.XLOOKUP(F147,PhpReserved!A:A,PhpReserved!B:B,"") = "", _xlfn.XLOOKUP(G147,PhpReserved!A:A,PhpReserved!B:B,""),_xlfn.XLOOKUP(F147,PhpReserved!A:A,PhpReserved!B:B,""))</f>
        <v/>
      </c>
      <c r="M147" t="str">
        <f>IF(_xlfn.XLOOKUP(F147,PhpFunctions!A:A,PhpFunctions!B:B,"") =  "", _xlfn.XLOOKUP(G147,PhpFunctions!A:A,PhpFunctions!B:B,""), _xlfn.XLOOKUP(F147,PhpFunctions!A:A,PhpFunctions!B:B,""))</f>
        <v/>
      </c>
      <c r="N147" t="str">
        <f>IF(_xlfn.XLOOKUP(F147,PhpParamFunc!A:A,PhpParamFunc!B:B,"") = "", _xlfn.XLOOKUP(G147,PhpParamFunc!A:A,PhpParamFunc!B:B,""), _xlfn.XLOOKUP(F147,PhpParamFunc!A:A,PhpParamFunc!B:B,""))</f>
        <v/>
      </c>
      <c r="O147" t="str">
        <f>IF(_xlfn.XLOOKUP(F147,PhpAggrFunc!A:A,PhpAggrFunc!B:B,"") = "", _xlfn.XLOOKUP(G147,PhpAggrFunc!A:A,PhpAggrFunc!B:B,""), _xlfn.XLOOKUP(F147,PhpAggrFunc!A:A,PhpAggrFunc!B:B,""))</f>
        <v/>
      </c>
      <c r="P147" t="str">
        <f t="shared" si="14"/>
        <v>UNRESERVED</v>
      </c>
      <c r="Q147" t="str">
        <f t="shared" si="15"/>
        <v>static const String^ TOK_DISABLE = "DISABLE";</v>
      </c>
      <c r="R147" t="str">
        <f t="shared" si="16"/>
        <v>static const int TOK_DISABLE = 679;</v>
      </c>
      <c r="S147" t="str">
        <f t="shared" si="17"/>
        <v>// _Tokens-&gt;Add((String^)GramVals::TOK_DISABLE, gcnew Token(GramKeys::TOK_DISABLE, EnumTokenCategory::UNRESERVED,BARE_LABEL, i++));</v>
      </c>
    </row>
    <row r="148" spans="1:19" x14ac:dyDescent="0.25">
      <c r="A148" s="3" t="s">
        <v>1520</v>
      </c>
      <c r="B148" s="5" t="s">
        <v>1099</v>
      </c>
      <c r="C148" s="3" t="s">
        <v>2039</v>
      </c>
      <c r="D148" s="3" t="s">
        <v>881</v>
      </c>
      <c r="F148" t="str">
        <f t="shared" si="12"/>
        <v>DISCONNECT</v>
      </c>
      <c r="G148" t="s">
        <v>3691</v>
      </c>
      <c r="I148" s="3" t="str">
        <f>IF(_xlfn.XLOOKUP(F148,PgSqlRaw!B:B,PgSqlRaw!E:E,"") = "",_xlfn.XLOOKUP(G148,PgSqlRaw!B:B,PgSqlRaw!E:E,""),_xlfn.XLOOKUP(F148,PgSqlRaw!B:B,PgSqlRaw!E:E,""))</f>
        <v/>
      </c>
      <c r="J148" t="str">
        <f>IF(_xlfn.XLOOKUP(F148,PgSqlRaw!B:B,PgSqlRaw!F:F,"") = "", _xlfn.XLOOKUP(G148,PgSqlRaw!B:B,PgSqlRaw!F:F,""), _xlfn.XLOOKUP(F148,PgSqlRaw!B:B,PgSqlRaw!F:F,""))</f>
        <v/>
      </c>
      <c r="K148" t="str">
        <f t="shared" si="13"/>
        <v>BARE_LABEL</v>
      </c>
      <c r="L148" t="str">
        <f>IF(_xlfn.XLOOKUP(F148,PhpReserved!A:A,PhpReserved!B:B,"") = "", _xlfn.XLOOKUP(G148,PhpReserved!A:A,PhpReserved!B:B,""),_xlfn.XLOOKUP(F148,PhpReserved!A:A,PhpReserved!B:B,""))</f>
        <v/>
      </c>
      <c r="M148" t="str">
        <f>IF(_xlfn.XLOOKUP(F148,PhpFunctions!A:A,PhpFunctions!B:B,"") =  "", _xlfn.XLOOKUP(G148,PhpFunctions!A:A,PhpFunctions!B:B,""), _xlfn.XLOOKUP(F148,PhpFunctions!A:A,PhpFunctions!B:B,""))</f>
        <v/>
      </c>
      <c r="N148" t="str">
        <f>IF(_xlfn.XLOOKUP(F148,PhpParamFunc!A:A,PhpParamFunc!B:B,"") = "", _xlfn.XLOOKUP(G148,PhpParamFunc!A:A,PhpParamFunc!B:B,""), _xlfn.XLOOKUP(F148,PhpParamFunc!A:A,PhpParamFunc!B:B,""))</f>
        <v/>
      </c>
      <c r="O148" t="str">
        <f>IF(_xlfn.XLOOKUP(F148,PhpAggrFunc!A:A,PhpAggrFunc!B:B,"") = "", _xlfn.XLOOKUP(G148,PhpAggrFunc!A:A,PhpAggrFunc!B:B,""), _xlfn.XLOOKUP(F148,PhpAggrFunc!A:A,PhpAggrFunc!B:B,""))</f>
        <v/>
      </c>
      <c r="P148" t="str">
        <f t="shared" si="14"/>
        <v>UNRESERVED</v>
      </c>
      <c r="Q148" t="str">
        <f t="shared" si="15"/>
        <v>static const String^ TOK_DISCONNECT = "DISCONNECT";</v>
      </c>
      <c r="R148" t="str">
        <f t="shared" si="16"/>
        <v>static const int TOK_DISCONNECT = 547;</v>
      </c>
      <c r="S148" t="str">
        <f t="shared" si="17"/>
        <v>// _Tokens-&gt;Add((String^)GramVals::TOK_DISCONNECT, gcnew Token(GramKeys::TOK_DISCONNECT, EnumTokenCategory::UNRESERVED,BARE_LABEL, i++));</v>
      </c>
    </row>
    <row r="149" spans="1:19" x14ac:dyDescent="0.25">
      <c r="A149" s="3" t="s">
        <v>1521</v>
      </c>
      <c r="B149" s="5" t="s">
        <v>1100</v>
      </c>
      <c r="C149" s="3" t="s">
        <v>2040</v>
      </c>
      <c r="D149" s="3" t="s">
        <v>881</v>
      </c>
      <c r="F149" t="str">
        <f t="shared" si="12"/>
        <v>DISTINCT</v>
      </c>
      <c r="G149" t="s">
        <v>3134</v>
      </c>
      <c r="I149" s="3" t="str">
        <f>IF(_xlfn.XLOOKUP(F149,PgSqlRaw!B:B,PgSqlRaw!E:E,"") = "",_xlfn.XLOOKUP(G149,PgSqlRaw!B:B,PgSqlRaw!E:E,""),_xlfn.XLOOKUP(F149,PgSqlRaw!B:B,PgSqlRaw!E:E,""))</f>
        <v>RESERVED</v>
      </c>
      <c r="J149" t="str">
        <f>IF(_xlfn.XLOOKUP(F149,PgSqlRaw!B:B,PgSqlRaw!F:F,"") = "", _xlfn.XLOOKUP(G149,PgSqlRaw!B:B,PgSqlRaw!F:F,""), _xlfn.XLOOKUP(F149,PgSqlRaw!B:B,PgSqlRaw!F:F,""))</f>
        <v>BARE_LABEL</v>
      </c>
      <c r="K149" t="str">
        <f t="shared" si="13"/>
        <v>BARE_LABEL</v>
      </c>
      <c r="L149" t="str">
        <f>IF(_xlfn.XLOOKUP(F149,PhpReserved!A:A,PhpReserved!B:B,"") = "", _xlfn.XLOOKUP(G149,PhpReserved!A:A,PhpReserved!B:B,""),_xlfn.XLOOKUP(F149,PhpReserved!A:A,PhpReserved!B:B,""))</f>
        <v>RESERVED</v>
      </c>
      <c r="M149" t="str">
        <f>IF(_xlfn.XLOOKUP(F149,PhpFunctions!A:A,PhpFunctions!B:B,"") =  "", _xlfn.XLOOKUP(G149,PhpFunctions!A:A,PhpFunctions!B:B,""), _xlfn.XLOOKUP(F149,PhpFunctions!A:A,PhpFunctions!B:B,""))</f>
        <v/>
      </c>
      <c r="N149" t="str">
        <f>IF(_xlfn.XLOOKUP(F149,PhpParamFunc!A:A,PhpParamFunc!B:B,"") = "", _xlfn.XLOOKUP(G149,PhpParamFunc!A:A,PhpParamFunc!B:B,""), _xlfn.XLOOKUP(F149,PhpParamFunc!A:A,PhpParamFunc!B:B,""))</f>
        <v/>
      </c>
      <c r="O149" t="str">
        <f>IF(_xlfn.XLOOKUP(F149,PhpAggrFunc!A:A,PhpAggrFunc!B:B,"") = "", _xlfn.XLOOKUP(G149,PhpAggrFunc!A:A,PhpAggrFunc!B:B,""), _xlfn.XLOOKUP(F149,PhpAggrFunc!A:A,PhpAggrFunc!B:B,""))</f>
        <v/>
      </c>
      <c r="P149" t="str">
        <f t="shared" si="14"/>
        <v>RESERVED</v>
      </c>
      <c r="Q149" t="str">
        <f t="shared" si="15"/>
        <v>static const String^ TOK_DISTINCT = "DISTINCT";</v>
      </c>
      <c r="R149" t="str">
        <f t="shared" si="16"/>
        <v>static const int TOK_DISTINCT = 298;</v>
      </c>
      <c r="S149" t="str">
        <f t="shared" si="17"/>
        <v>_Tokens-&gt;Add((String^)GramVals::TOK_DISTINCT, gcnew Token(GramKeys::TOK_DISTINCT, EnumTokenCategory::RESERVED,BARE_LABEL, i++));</v>
      </c>
    </row>
    <row r="150" spans="1:19" x14ac:dyDescent="0.25">
      <c r="A150" s="3" t="s">
        <v>1522</v>
      </c>
      <c r="B150" s="5" t="s">
        <v>1101</v>
      </c>
      <c r="C150" s="3" t="s">
        <v>2041</v>
      </c>
      <c r="D150" s="3" t="s">
        <v>2423</v>
      </c>
      <c r="F150" t="str">
        <f t="shared" si="12"/>
        <v>DO</v>
      </c>
      <c r="G150" t="s">
        <v>3381</v>
      </c>
      <c r="I150" s="3" t="str">
        <f>IF(_xlfn.XLOOKUP(F150,PgSqlRaw!B:B,PgSqlRaw!E:E,"") = "",_xlfn.XLOOKUP(G150,PgSqlRaw!B:B,PgSqlRaw!E:E,""),_xlfn.XLOOKUP(F150,PgSqlRaw!B:B,PgSqlRaw!E:E,""))</f>
        <v>RESERVED</v>
      </c>
      <c r="J150" t="str">
        <f>IF(_xlfn.XLOOKUP(F150,PgSqlRaw!B:B,PgSqlRaw!F:F,"") = "", _xlfn.XLOOKUP(G150,PgSqlRaw!B:B,PgSqlRaw!F:F,""), _xlfn.XLOOKUP(F150,PgSqlRaw!B:B,PgSqlRaw!F:F,""))</f>
        <v>BARE_LABEL</v>
      </c>
      <c r="K150" t="str">
        <f t="shared" si="13"/>
        <v>BARE_LABEL</v>
      </c>
      <c r="L150" t="str">
        <f>IF(_xlfn.XLOOKUP(F150,PhpReserved!A:A,PhpReserved!B:B,"") = "", _xlfn.XLOOKUP(G150,PhpReserved!A:A,PhpReserved!B:B,""),_xlfn.XLOOKUP(F150,PhpReserved!A:A,PhpReserved!B:B,""))</f>
        <v/>
      </c>
      <c r="M150" t="str">
        <f>IF(_xlfn.XLOOKUP(F150,PhpFunctions!A:A,PhpFunctions!B:B,"") =  "", _xlfn.XLOOKUP(G150,PhpFunctions!A:A,PhpFunctions!B:B,""), _xlfn.XLOOKUP(F150,PhpFunctions!A:A,PhpFunctions!B:B,""))</f>
        <v/>
      </c>
      <c r="N150" t="str">
        <f>IF(_xlfn.XLOOKUP(F150,PhpParamFunc!A:A,PhpParamFunc!B:B,"") = "", _xlfn.XLOOKUP(G150,PhpParamFunc!A:A,PhpParamFunc!B:B,""), _xlfn.XLOOKUP(F150,PhpParamFunc!A:A,PhpParamFunc!B:B,""))</f>
        <v/>
      </c>
      <c r="O150" t="str">
        <f>IF(_xlfn.XLOOKUP(F150,PhpAggrFunc!A:A,PhpAggrFunc!B:B,"") = "", _xlfn.XLOOKUP(G150,PhpAggrFunc!A:A,PhpAggrFunc!B:B,""), _xlfn.XLOOKUP(F150,PhpAggrFunc!A:A,PhpAggrFunc!B:B,""))</f>
        <v/>
      </c>
      <c r="P150" t="str">
        <f t="shared" si="14"/>
        <v>RESERVED</v>
      </c>
      <c r="Q150" t="str">
        <f t="shared" si="15"/>
        <v>static const String^ TOK_DO = "DO";</v>
      </c>
      <c r="R150" t="str">
        <f t="shared" si="16"/>
        <v>static const int TOK_DO = 299;</v>
      </c>
      <c r="S150" t="str">
        <f t="shared" si="17"/>
        <v>_Tokens-&gt;Add((String^)GramVals::TOK_DO, gcnew Token(GramKeys::TOK_DO, EnumTokenCategory::RESERVED,BARE_LABEL, i++));</v>
      </c>
    </row>
    <row r="151" spans="1:19" x14ac:dyDescent="0.25">
      <c r="A151" s="3" t="s">
        <v>1523</v>
      </c>
      <c r="B151" s="5" t="s">
        <v>1102</v>
      </c>
      <c r="C151" s="3" t="s">
        <v>2042</v>
      </c>
      <c r="D151" s="3" t="s">
        <v>2423</v>
      </c>
      <c r="F151" t="str">
        <f t="shared" si="12"/>
        <v>DOMAIN</v>
      </c>
      <c r="G151" t="s">
        <v>3383</v>
      </c>
      <c r="I151" s="3" t="str">
        <f>IF(_xlfn.XLOOKUP(F151,PgSqlRaw!B:B,PgSqlRaw!E:E,"") = "",_xlfn.XLOOKUP(G151,PgSqlRaw!B:B,PgSqlRaw!E:E,""),_xlfn.XLOOKUP(F151,PgSqlRaw!B:B,PgSqlRaw!E:E,""))</f>
        <v/>
      </c>
      <c r="J151" t="str">
        <f>IF(_xlfn.XLOOKUP(F151,PgSqlRaw!B:B,PgSqlRaw!F:F,"") = "", _xlfn.XLOOKUP(G151,PgSqlRaw!B:B,PgSqlRaw!F:F,""), _xlfn.XLOOKUP(F151,PgSqlRaw!B:B,PgSqlRaw!F:F,""))</f>
        <v>BARE_LABEL</v>
      </c>
      <c r="K151" t="str">
        <f t="shared" si="13"/>
        <v>BARE_LABEL</v>
      </c>
      <c r="L151" t="str">
        <f>IF(_xlfn.XLOOKUP(F151,PhpReserved!A:A,PhpReserved!B:B,"") = "", _xlfn.XLOOKUP(G151,PhpReserved!A:A,PhpReserved!B:B,""),_xlfn.XLOOKUP(F151,PhpReserved!A:A,PhpReserved!B:B,""))</f>
        <v/>
      </c>
      <c r="M151" t="str">
        <f>IF(_xlfn.XLOOKUP(F151,PhpFunctions!A:A,PhpFunctions!B:B,"") =  "", _xlfn.XLOOKUP(G151,PhpFunctions!A:A,PhpFunctions!B:B,""), _xlfn.XLOOKUP(F151,PhpFunctions!A:A,PhpFunctions!B:B,""))</f>
        <v/>
      </c>
      <c r="N151" t="str">
        <f>IF(_xlfn.XLOOKUP(F151,PhpParamFunc!A:A,PhpParamFunc!B:B,"") = "", _xlfn.XLOOKUP(G151,PhpParamFunc!A:A,PhpParamFunc!B:B,""), _xlfn.XLOOKUP(F151,PhpParamFunc!A:A,PhpParamFunc!B:B,""))</f>
        <v/>
      </c>
      <c r="O151" t="str">
        <f>IF(_xlfn.XLOOKUP(F151,PhpAggrFunc!A:A,PhpAggrFunc!B:B,"") = "", _xlfn.XLOOKUP(G151,PhpAggrFunc!A:A,PhpAggrFunc!B:B,""), _xlfn.XLOOKUP(F151,PhpAggrFunc!A:A,PhpAggrFunc!B:B,""))</f>
        <v/>
      </c>
      <c r="P151" t="str">
        <f t="shared" si="14"/>
        <v>UNRESERVED</v>
      </c>
      <c r="Q151" t="str">
        <f t="shared" si="15"/>
        <v>static const String^ TOK_DOMAIN = "DOMAIN";</v>
      </c>
      <c r="R151" t="str">
        <f t="shared" si="16"/>
        <v>static const int TOK_DOMAIN = 300;</v>
      </c>
      <c r="S151" t="str">
        <f t="shared" si="17"/>
        <v>// _Tokens-&gt;Add((String^)GramVals::TOK_DOMAIN, gcnew Token(GramKeys::TOK_DOMAIN, EnumTokenCategory::UNRESERVED,BARE_LABEL, i++));</v>
      </c>
    </row>
    <row r="152" spans="1:19" x14ac:dyDescent="0.25">
      <c r="A152" s="3" t="s">
        <v>1524</v>
      </c>
      <c r="B152" s="5" t="s">
        <v>1103</v>
      </c>
      <c r="C152" s="3" t="s">
        <v>2043</v>
      </c>
      <c r="D152" s="3" t="s">
        <v>881</v>
      </c>
      <c r="F152" t="str">
        <f t="shared" si="12"/>
        <v>DOUBLE</v>
      </c>
      <c r="G152" t="s">
        <v>3137</v>
      </c>
      <c r="I152" s="3" t="str">
        <f>IF(_xlfn.XLOOKUP(F152,PgSqlRaw!B:B,PgSqlRaw!E:E,"") = "",_xlfn.XLOOKUP(G152,PgSqlRaw!B:B,PgSqlRaw!E:E,""),_xlfn.XLOOKUP(F152,PgSqlRaw!B:B,PgSqlRaw!E:E,""))</f>
        <v/>
      </c>
      <c r="J152" t="str">
        <f>IF(_xlfn.XLOOKUP(F152,PgSqlRaw!B:B,PgSqlRaw!F:F,"") = "", _xlfn.XLOOKUP(G152,PgSqlRaw!B:B,PgSqlRaw!F:F,""), _xlfn.XLOOKUP(F152,PgSqlRaw!B:B,PgSqlRaw!F:F,""))</f>
        <v>BARE_LABEL</v>
      </c>
      <c r="K152" t="str">
        <f t="shared" si="13"/>
        <v>BARE_LABEL</v>
      </c>
      <c r="L152" t="str">
        <f>IF(_xlfn.XLOOKUP(F152,PhpReserved!A:A,PhpReserved!B:B,"") = "", _xlfn.XLOOKUP(G152,PhpReserved!A:A,PhpReserved!B:B,""),_xlfn.XLOOKUP(F152,PhpReserved!A:A,PhpReserved!B:B,""))</f>
        <v>RESERVED</v>
      </c>
      <c r="M152" t="str">
        <f>IF(_xlfn.XLOOKUP(F152,PhpFunctions!A:A,PhpFunctions!B:B,"") =  "", _xlfn.XLOOKUP(G152,PhpFunctions!A:A,PhpFunctions!B:B,""), _xlfn.XLOOKUP(F152,PhpFunctions!A:A,PhpFunctions!B:B,""))</f>
        <v/>
      </c>
      <c r="N152" t="str">
        <f>IF(_xlfn.XLOOKUP(F152,PhpParamFunc!A:A,PhpParamFunc!B:B,"") = "", _xlfn.XLOOKUP(G152,PhpParamFunc!A:A,PhpParamFunc!B:B,""), _xlfn.XLOOKUP(F152,PhpParamFunc!A:A,PhpParamFunc!B:B,""))</f>
        <v/>
      </c>
      <c r="O152" t="str">
        <f>IF(_xlfn.XLOOKUP(F152,PhpAggrFunc!A:A,PhpAggrFunc!B:B,"") = "", _xlfn.XLOOKUP(G152,PhpAggrFunc!A:A,PhpAggrFunc!B:B,""), _xlfn.XLOOKUP(F152,PhpAggrFunc!A:A,PhpAggrFunc!B:B,""))</f>
        <v/>
      </c>
      <c r="P152" t="str">
        <f t="shared" si="14"/>
        <v>RESERVED</v>
      </c>
      <c r="Q152" t="str">
        <f t="shared" si="15"/>
        <v>static const String^ TOK_DOUBLE = "DOUBLE";</v>
      </c>
      <c r="R152" t="str">
        <f t="shared" si="16"/>
        <v>static const int TOK_DOUBLE = 339;</v>
      </c>
      <c r="S152" t="str">
        <f t="shared" si="17"/>
        <v>_Tokens-&gt;Add((String^)GramVals::TOK_DOUBLE, gcnew Token(GramKeys::TOK_DOUBLE, EnumTokenCategory::RESERVED,BARE_LABEL, i++));</v>
      </c>
    </row>
    <row r="153" spans="1:19" x14ac:dyDescent="0.25">
      <c r="A153" s="3" t="s">
        <v>1525</v>
      </c>
      <c r="B153" s="5" t="s">
        <v>1104</v>
      </c>
      <c r="C153" s="3" t="s">
        <v>2044</v>
      </c>
      <c r="D153" s="3" t="s">
        <v>881</v>
      </c>
      <c r="F153" t="str">
        <f t="shared" si="12"/>
        <v>DROP</v>
      </c>
      <c r="G153" t="s">
        <v>3138</v>
      </c>
      <c r="I153" s="3" t="str">
        <f>IF(_xlfn.XLOOKUP(F153,PgSqlRaw!B:B,PgSqlRaw!E:E,"") = "",_xlfn.XLOOKUP(G153,PgSqlRaw!B:B,PgSqlRaw!E:E,""),_xlfn.XLOOKUP(F153,PgSqlRaw!B:B,PgSqlRaw!E:E,""))</f>
        <v/>
      </c>
      <c r="J153" t="str">
        <f>IF(_xlfn.XLOOKUP(F153,PgSqlRaw!B:B,PgSqlRaw!F:F,"") = "", _xlfn.XLOOKUP(G153,PgSqlRaw!B:B,PgSqlRaw!F:F,""), _xlfn.XLOOKUP(F153,PgSqlRaw!B:B,PgSqlRaw!F:F,""))</f>
        <v>BARE_LABEL</v>
      </c>
      <c r="K153" t="str">
        <f t="shared" si="13"/>
        <v>BARE_LABEL</v>
      </c>
      <c r="L153" t="str">
        <f>IF(_xlfn.XLOOKUP(F153,PhpReserved!A:A,PhpReserved!B:B,"") = "", _xlfn.XLOOKUP(G153,PhpReserved!A:A,PhpReserved!B:B,""),_xlfn.XLOOKUP(F153,PhpReserved!A:A,PhpReserved!B:B,""))</f>
        <v>RESERVED</v>
      </c>
      <c r="M153" t="str">
        <f>IF(_xlfn.XLOOKUP(F153,PhpFunctions!A:A,PhpFunctions!B:B,"") =  "", _xlfn.XLOOKUP(G153,PhpFunctions!A:A,PhpFunctions!B:B,""), _xlfn.XLOOKUP(F153,PhpFunctions!A:A,PhpFunctions!B:B,""))</f>
        <v/>
      </c>
      <c r="N153" t="str">
        <f>IF(_xlfn.XLOOKUP(F153,PhpParamFunc!A:A,PhpParamFunc!B:B,"") = "", _xlfn.XLOOKUP(G153,PhpParamFunc!A:A,PhpParamFunc!B:B,""), _xlfn.XLOOKUP(F153,PhpParamFunc!A:A,PhpParamFunc!B:B,""))</f>
        <v/>
      </c>
      <c r="O153" t="str">
        <f>IF(_xlfn.XLOOKUP(F153,PhpAggrFunc!A:A,PhpAggrFunc!B:B,"") = "", _xlfn.XLOOKUP(G153,PhpAggrFunc!A:A,PhpAggrFunc!B:B,""), _xlfn.XLOOKUP(F153,PhpAggrFunc!A:A,PhpAggrFunc!B:B,""))</f>
        <v/>
      </c>
      <c r="P153" t="str">
        <f t="shared" si="14"/>
        <v>RESERVED</v>
      </c>
      <c r="Q153" t="str">
        <f t="shared" si="15"/>
        <v>static const String^ TOK_DROP = "DROP";</v>
      </c>
      <c r="R153" t="str">
        <f t="shared" si="16"/>
        <v>static const int TOK_DROP = 301;</v>
      </c>
      <c r="S153" t="str">
        <f t="shared" si="17"/>
        <v>_Tokens-&gt;Add((String^)GramVals::TOK_DROP, gcnew Token(GramKeys::TOK_DROP, EnumTokenCategory::RESERVED,BARE_LABEL, i++));</v>
      </c>
    </row>
    <row r="154" spans="1:19" x14ac:dyDescent="0.25">
      <c r="A154" s="3" t="s">
        <v>1526</v>
      </c>
      <c r="B154" s="5" t="s">
        <v>1105</v>
      </c>
      <c r="C154" s="3" t="s">
        <v>2045</v>
      </c>
      <c r="D154" s="3" t="s">
        <v>881</v>
      </c>
      <c r="F154" t="str">
        <f t="shared" si="12"/>
        <v>ELSE</v>
      </c>
      <c r="G154" t="s">
        <v>3139</v>
      </c>
      <c r="I154" s="3" t="str">
        <f>IF(_xlfn.XLOOKUP(F154,PgSqlRaw!B:B,PgSqlRaw!E:E,"") = "",_xlfn.XLOOKUP(G154,PgSqlRaw!B:B,PgSqlRaw!E:E,""),_xlfn.XLOOKUP(F154,PgSqlRaw!B:B,PgSqlRaw!E:E,""))</f>
        <v>RESERVED</v>
      </c>
      <c r="J154" t="str">
        <f>IF(_xlfn.XLOOKUP(F154,PgSqlRaw!B:B,PgSqlRaw!F:F,"") = "", _xlfn.XLOOKUP(G154,PgSqlRaw!B:B,PgSqlRaw!F:F,""), _xlfn.XLOOKUP(F154,PgSqlRaw!B:B,PgSqlRaw!F:F,""))</f>
        <v>BARE_LABEL</v>
      </c>
      <c r="K154" t="str">
        <f t="shared" si="13"/>
        <v>BARE_LABEL</v>
      </c>
      <c r="L154" t="str">
        <f>IF(_xlfn.XLOOKUP(F154,PhpReserved!A:A,PhpReserved!B:B,"") = "", _xlfn.XLOOKUP(G154,PhpReserved!A:A,PhpReserved!B:B,""),_xlfn.XLOOKUP(F154,PhpReserved!A:A,PhpReserved!B:B,""))</f>
        <v>RESERVED</v>
      </c>
      <c r="M154" t="str">
        <f>IF(_xlfn.XLOOKUP(F154,PhpFunctions!A:A,PhpFunctions!B:B,"") =  "", _xlfn.XLOOKUP(G154,PhpFunctions!A:A,PhpFunctions!B:B,""), _xlfn.XLOOKUP(F154,PhpFunctions!A:A,PhpFunctions!B:B,""))</f>
        <v/>
      </c>
      <c r="N154" t="str">
        <f>IF(_xlfn.XLOOKUP(F154,PhpParamFunc!A:A,PhpParamFunc!B:B,"") = "", _xlfn.XLOOKUP(G154,PhpParamFunc!A:A,PhpParamFunc!B:B,""), _xlfn.XLOOKUP(F154,PhpParamFunc!A:A,PhpParamFunc!B:B,""))</f>
        <v/>
      </c>
      <c r="O154" t="str">
        <f>IF(_xlfn.XLOOKUP(F154,PhpAggrFunc!A:A,PhpAggrFunc!B:B,"") = "", _xlfn.XLOOKUP(G154,PhpAggrFunc!A:A,PhpAggrFunc!B:B,""), _xlfn.XLOOKUP(F154,PhpAggrFunc!A:A,PhpAggrFunc!B:B,""))</f>
        <v/>
      </c>
      <c r="P154" t="str">
        <f t="shared" si="14"/>
        <v>RESERVED</v>
      </c>
      <c r="Q154" t="str">
        <f t="shared" si="15"/>
        <v>static const String^ TOK_ELSE = "ELSE";</v>
      </c>
      <c r="R154" t="str">
        <f t="shared" si="16"/>
        <v>static const int TOK_ELSE = 302;</v>
      </c>
      <c r="S154" t="str">
        <f t="shared" si="17"/>
        <v>_Tokens-&gt;Add((String^)GramVals::TOK_ELSE, gcnew Token(GramKeys::TOK_ELSE, EnumTokenCategory::RESERVED,BARE_LABEL, i++));</v>
      </c>
    </row>
    <row r="155" spans="1:19" x14ac:dyDescent="0.25">
      <c r="A155" s="3" t="s">
        <v>1527</v>
      </c>
      <c r="B155" s="5">
        <v>680</v>
      </c>
      <c r="C155" s="3" t="s">
        <v>2046</v>
      </c>
      <c r="D155" s="3" t="s">
        <v>2423</v>
      </c>
      <c r="F155" t="str">
        <f t="shared" si="12"/>
        <v>ENABLE</v>
      </c>
      <c r="G155" t="s">
        <v>3385</v>
      </c>
      <c r="I155" s="3" t="str">
        <f>IF(_xlfn.XLOOKUP(F155,PgSqlRaw!B:B,PgSqlRaw!E:E,"") = "",_xlfn.XLOOKUP(G155,PgSqlRaw!B:B,PgSqlRaw!E:E,""),_xlfn.XLOOKUP(F155,PgSqlRaw!B:B,PgSqlRaw!E:E,""))</f>
        <v/>
      </c>
      <c r="J155" t="str">
        <f>IF(_xlfn.XLOOKUP(F155,PgSqlRaw!B:B,PgSqlRaw!F:F,"") = "", _xlfn.XLOOKUP(G155,PgSqlRaw!B:B,PgSqlRaw!F:F,""), _xlfn.XLOOKUP(F155,PgSqlRaw!B:B,PgSqlRaw!F:F,""))</f>
        <v>BARE_LABEL</v>
      </c>
      <c r="K155" t="str">
        <f t="shared" si="13"/>
        <v>BARE_LABEL</v>
      </c>
      <c r="L155" t="str">
        <f>IF(_xlfn.XLOOKUP(F155,PhpReserved!A:A,PhpReserved!B:B,"") = "", _xlfn.XLOOKUP(G155,PhpReserved!A:A,PhpReserved!B:B,""),_xlfn.XLOOKUP(F155,PhpReserved!A:A,PhpReserved!B:B,""))</f>
        <v/>
      </c>
      <c r="M155" t="str">
        <f>IF(_xlfn.XLOOKUP(F155,PhpFunctions!A:A,PhpFunctions!B:B,"") =  "", _xlfn.XLOOKUP(G155,PhpFunctions!A:A,PhpFunctions!B:B,""), _xlfn.XLOOKUP(F155,PhpFunctions!A:A,PhpFunctions!B:B,""))</f>
        <v/>
      </c>
      <c r="N155" t="str">
        <f>IF(_xlfn.XLOOKUP(F155,PhpParamFunc!A:A,PhpParamFunc!B:B,"") = "", _xlfn.XLOOKUP(G155,PhpParamFunc!A:A,PhpParamFunc!B:B,""), _xlfn.XLOOKUP(F155,PhpParamFunc!A:A,PhpParamFunc!B:B,""))</f>
        <v/>
      </c>
      <c r="O155" t="str">
        <f>IF(_xlfn.XLOOKUP(F155,PhpAggrFunc!A:A,PhpAggrFunc!B:B,"") = "", _xlfn.XLOOKUP(G155,PhpAggrFunc!A:A,PhpAggrFunc!B:B,""), _xlfn.XLOOKUP(F155,PhpAggrFunc!A:A,PhpAggrFunc!B:B,""))</f>
        <v/>
      </c>
      <c r="P155" t="str">
        <f t="shared" si="14"/>
        <v>UNRESERVED</v>
      </c>
      <c r="Q155" t="str">
        <f t="shared" si="15"/>
        <v>static const String^ TOK_ENABLE = "ENABLE";</v>
      </c>
      <c r="R155" t="str">
        <f t="shared" si="16"/>
        <v>static const int TOK_ENABLE = 680;</v>
      </c>
      <c r="S155" t="str">
        <f t="shared" si="17"/>
        <v>// _Tokens-&gt;Add((String^)GramVals::TOK_ENABLE, gcnew Token(GramKeys::TOK_ENABLE, EnumTokenCategory::UNRESERVED,BARE_LABEL, i++));</v>
      </c>
    </row>
    <row r="156" spans="1:19" x14ac:dyDescent="0.25">
      <c r="A156" s="3" t="s">
        <v>1528</v>
      </c>
      <c r="B156" s="5" t="s">
        <v>1106</v>
      </c>
      <c r="C156" s="3" t="s">
        <v>2047</v>
      </c>
      <c r="D156" s="3" t="s">
        <v>2423</v>
      </c>
      <c r="F156" t="str">
        <f t="shared" si="12"/>
        <v>ENCRYPT</v>
      </c>
      <c r="G156" t="s">
        <v>2944</v>
      </c>
      <c r="I156" s="3" t="str">
        <f>IF(_xlfn.XLOOKUP(F156,PgSqlRaw!B:B,PgSqlRaw!E:E,"") = "",_xlfn.XLOOKUP(G156,PgSqlRaw!B:B,PgSqlRaw!E:E,""),_xlfn.XLOOKUP(F156,PgSqlRaw!B:B,PgSqlRaw!E:E,""))</f>
        <v/>
      </c>
      <c r="J156" t="str">
        <f>IF(_xlfn.XLOOKUP(F156,PgSqlRaw!B:B,PgSqlRaw!F:F,"") = "", _xlfn.XLOOKUP(G156,PgSqlRaw!B:B,PgSqlRaw!F:F,""), _xlfn.XLOOKUP(F156,PgSqlRaw!B:B,PgSqlRaw!F:F,""))</f>
        <v/>
      </c>
      <c r="K156" t="str">
        <f t="shared" si="13"/>
        <v>BARE_LABEL</v>
      </c>
      <c r="L156" t="str">
        <f>IF(_xlfn.XLOOKUP(F156,PhpReserved!A:A,PhpReserved!B:B,"") = "", _xlfn.XLOOKUP(G156,PhpReserved!A:A,PhpReserved!B:B,""),_xlfn.XLOOKUP(F156,PhpReserved!A:A,PhpReserved!B:B,""))</f>
        <v>RESERVED</v>
      </c>
      <c r="M156" t="str">
        <f>IF(_xlfn.XLOOKUP(F156,PhpFunctions!A:A,PhpFunctions!B:B,"") =  "", _xlfn.XLOOKUP(G156,PhpFunctions!A:A,PhpFunctions!B:B,""), _xlfn.XLOOKUP(F156,PhpFunctions!A:A,PhpFunctions!B:B,""))</f>
        <v>FUNCTION</v>
      </c>
      <c r="N156" t="str">
        <f>IF(_xlfn.XLOOKUP(F156,PhpParamFunc!A:A,PhpParamFunc!B:B,"") = "", _xlfn.XLOOKUP(G156,PhpParamFunc!A:A,PhpParamFunc!B:B,""), _xlfn.XLOOKUP(F156,PhpParamFunc!A:A,PhpParamFunc!B:B,""))</f>
        <v>PARAM_FUNCTION</v>
      </c>
      <c r="O156" t="str">
        <f>IF(_xlfn.XLOOKUP(F156,PhpAggrFunc!A:A,PhpAggrFunc!B:B,"") = "", _xlfn.XLOOKUP(G156,PhpAggrFunc!A:A,PhpAggrFunc!B:B,""), _xlfn.XLOOKUP(F156,PhpAggrFunc!A:A,PhpAggrFunc!B:B,""))</f>
        <v/>
      </c>
      <c r="P156" t="str">
        <f t="shared" si="14"/>
        <v>PARAM_FUNCTION</v>
      </c>
      <c r="Q156" t="str">
        <f t="shared" si="15"/>
        <v>static const String^ TOK_ENCRYPT = "ENCRYPT";</v>
      </c>
      <c r="R156" t="str">
        <f t="shared" si="16"/>
        <v>static const int TOK_ENCRYPT = 611;</v>
      </c>
      <c r="S156" t="str">
        <f t="shared" si="17"/>
        <v>_Tokens-&gt;Add((String^)GramVals::TOK_ENCRYPT, gcnew Token(GramKeys::TOK_ENCRYPT, EnumTokenCategory::PARAM_FUNCTION,BARE_LABEL, i++));</v>
      </c>
    </row>
    <row r="157" spans="1:19" x14ac:dyDescent="0.25">
      <c r="A157" s="3" t="s">
        <v>1529</v>
      </c>
      <c r="B157" s="5" t="s">
        <v>1107</v>
      </c>
      <c r="C157" s="3" t="s">
        <v>2048</v>
      </c>
      <c r="D157" s="3" t="s">
        <v>881</v>
      </c>
      <c r="E157" s="3" t="s">
        <v>3647</v>
      </c>
      <c r="F157" t="str">
        <f t="shared" si="12"/>
        <v>END</v>
      </c>
      <c r="G157" t="s">
        <v>3141</v>
      </c>
      <c r="I157" s="3" t="str">
        <f>IF(_xlfn.XLOOKUP(F157,PgSqlRaw!B:B,PgSqlRaw!E:E,"") = "",_xlfn.XLOOKUP(G157,PgSqlRaw!B:B,PgSqlRaw!E:E,""),_xlfn.XLOOKUP(F157,PgSqlRaw!B:B,PgSqlRaw!E:E,""))</f>
        <v>RESERVED</v>
      </c>
      <c r="J157" t="str">
        <f>IF(_xlfn.XLOOKUP(F157,PgSqlRaw!B:B,PgSqlRaw!F:F,"") = "", _xlfn.XLOOKUP(G157,PgSqlRaw!B:B,PgSqlRaw!F:F,""), _xlfn.XLOOKUP(F157,PgSqlRaw!B:B,PgSqlRaw!F:F,""))</f>
        <v>BARE_LABEL</v>
      </c>
      <c r="K157" t="str">
        <f t="shared" si="13"/>
        <v>BARE_LABEL</v>
      </c>
      <c r="L157" t="str">
        <f>IF(_xlfn.XLOOKUP(F157,PhpReserved!A:A,PhpReserved!B:B,"") = "", _xlfn.XLOOKUP(G157,PhpReserved!A:A,PhpReserved!B:B,""),_xlfn.XLOOKUP(F157,PhpReserved!A:A,PhpReserved!B:B,""))</f>
        <v>RESERVED</v>
      </c>
      <c r="M157" t="str">
        <f>IF(_xlfn.XLOOKUP(F157,PhpFunctions!A:A,PhpFunctions!B:B,"") =  "", _xlfn.XLOOKUP(G157,PhpFunctions!A:A,PhpFunctions!B:B,""), _xlfn.XLOOKUP(F157,PhpFunctions!A:A,PhpFunctions!B:B,""))</f>
        <v/>
      </c>
      <c r="N157" t="str">
        <f>IF(_xlfn.XLOOKUP(F157,PhpParamFunc!A:A,PhpParamFunc!B:B,"") = "", _xlfn.XLOOKUP(G157,PhpParamFunc!A:A,PhpParamFunc!B:B,""), _xlfn.XLOOKUP(F157,PhpParamFunc!A:A,PhpParamFunc!B:B,""))</f>
        <v/>
      </c>
      <c r="O157" t="str">
        <f>IF(_xlfn.XLOOKUP(F157,PhpAggrFunc!A:A,PhpAggrFunc!B:B,"") = "", _xlfn.XLOOKUP(G157,PhpAggrFunc!A:A,PhpAggrFunc!B:B,""), _xlfn.XLOOKUP(F157,PhpAggrFunc!A:A,PhpAggrFunc!B:B,""))</f>
        <v/>
      </c>
      <c r="P157" t="str">
        <f t="shared" si="14"/>
        <v>RESERVED</v>
      </c>
      <c r="Q157" t="str">
        <f t="shared" si="15"/>
        <v>static const String^ TOK_END = "END";</v>
      </c>
      <c r="R157" t="str">
        <f t="shared" si="16"/>
        <v>static const int TOK_END = 303;</v>
      </c>
      <c r="S157" t="str">
        <f t="shared" si="17"/>
        <v>_Tokens-&gt;Add((String^)GramVals::TOK_END, gcnew Token(GramKeys::TOK_END, EnumTokenCategory::RESERVED,BARE_LABEL, i++));</v>
      </c>
    </row>
    <row r="158" spans="1:19" x14ac:dyDescent="0.25">
      <c r="A158" s="3" t="s">
        <v>1530</v>
      </c>
      <c r="B158" s="5" t="s">
        <v>1108</v>
      </c>
      <c r="C158" s="3" t="s">
        <v>2049</v>
      </c>
      <c r="D158" s="3" t="s">
        <v>2423</v>
      </c>
      <c r="F158" t="str">
        <f t="shared" si="12"/>
        <v>ENGINE</v>
      </c>
      <c r="G158" t="s">
        <v>3692</v>
      </c>
      <c r="I158" s="3" t="str">
        <f>IF(_xlfn.XLOOKUP(F158,PgSqlRaw!B:B,PgSqlRaw!E:E,"") = "",_xlfn.XLOOKUP(G158,PgSqlRaw!B:B,PgSqlRaw!E:E,""),_xlfn.XLOOKUP(F158,PgSqlRaw!B:B,PgSqlRaw!E:E,""))</f>
        <v/>
      </c>
      <c r="J158" t="str">
        <f>IF(_xlfn.XLOOKUP(F158,PgSqlRaw!B:B,PgSqlRaw!F:F,"") = "", _xlfn.XLOOKUP(G158,PgSqlRaw!B:B,PgSqlRaw!F:F,""), _xlfn.XLOOKUP(F158,PgSqlRaw!B:B,PgSqlRaw!F:F,""))</f>
        <v/>
      </c>
      <c r="K158" t="str">
        <f t="shared" si="13"/>
        <v>BARE_LABEL</v>
      </c>
      <c r="L158" t="str">
        <f>IF(_xlfn.XLOOKUP(F158,PhpReserved!A:A,PhpReserved!B:B,"") = "", _xlfn.XLOOKUP(G158,PhpReserved!A:A,PhpReserved!B:B,""),_xlfn.XLOOKUP(F158,PhpReserved!A:A,PhpReserved!B:B,""))</f>
        <v/>
      </c>
      <c r="M158" t="str">
        <f>IF(_xlfn.XLOOKUP(F158,PhpFunctions!A:A,PhpFunctions!B:B,"") =  "", _xlfn.XLOOKUP(G158,PhpFunctions!A:A,PhpFunctions!B:B,""), _xlfn.XLOOKUP(F158,PhpFunctions!A:A,PhpFunctions!B:B,""))</f>
        <v/>
      </c>
      <c r="N158" t="str">
        <f>IF(_xlfn.XLOOKUP(F158,PhpParamFunc!A:A,PhpParamFunc!B:B,"") = "", _xlfn.XLOOKUP(G158,PhpParamFunc!A:A,PhpParamFunc!B:B,""), _xlfn.XLOOKUP(F158,PhpParamFunc!A:A,PhpParamFunc!B:B,""))</f>
        <v/>
      </c>
      <c r="O158" t="str">
        <f>IF(_xlfn.XLOOKUP(F158,PhpAggrFunc!A:A,PhpAggrFunc!B:B,"") = "", _xlfn.XLOOKUP(G158,PhpAggrFunc!A:A,PhpAggrFunc!B:B,""), _xlfn.XLOOKUP(F158,PhpAggrFunc!A:A,PhpAggrFunc!B:B,""))</f>
        <v/>
      </c>
      <c r="P158" t="str">
        <f t="shared" si="14"/>
        <v>UNRESERVED</v>
      </c>
      <c r="Q158" t="str">
        <f t="shared" si="15"/>
        <v>static const String^ TOK_ENGINE = "ENGINE";</v>
      </c>
      <c r="R158" t="str">
        <f t="shared" si="16"/>
        <v>static const int TOK_ENGINE = 612;</v>
      </c>
      <c r="S158" t="str">
        <f t="shared" si="17"/>
        <v>// _Tokens-&gt;Add((String^)GramVals::TOK_ENGINE, gcnew Token(GramKeys::TOK_ENGINE, EnumTokenCategory::UNRESERVED,BARE_LABEL, i++));</v>
      </c>
    </row>
    <row r="159" spans="1:19" x14ac:dyDescent="0.25">
      <c r="A159" s="3" t="s">
        <v>1531</v>
      </c>
      <c r="B159" s="5" t="s">
        <v>1109</v>
      </c>
      <c r="C159" s="3" t="s">
        <v>2050</v>
      </c>
      <c r="D159" s="3" t="s">
        <v>2423</v>
      </c>
      <c r="F159" t="str">
        <f t="shared" si="12"/>
        <v>ENTRY_POINT</v>
      </c>
      <c r="G159" t="s">
        <v>3693</v>
      </c>
      <c r="I159" s="3" t="str">
        <f>IF(_xlfn.XLOOKUP(F159,PgSqlRaw!B:B,PgSqlRaw!E:E,"") = "",_xlfn.XLOOKUP(G159,PgSqlRaw!B:B,PgSqlRaw!E:E,""),_xlfn.XLOOKUP(F159,PgSqlRaw!B:B,PgSqlRaw!E:E,""))</f>
        <v/>
      </c>
      <c r="J159" t="str">
        <f>IF(_xlfn.XLOOKUP(F159,PgSqlRaw!B:B,PgSqlRaw!F:F,"") = "", _xlfn.XLOOKUP(G159,PgSqlRaw!B:B,PgSqlRaw!F:F,""), _xlfn.XLOOKUP(F159,PgSqlRaw!B:B,PgSqlRaw!F:F,""))</f>
        <v/>
      </c>
      <c r="K159" t="str">
        <f t="shared" si="13"/>
        <v>BARE_LABEL</v>
      </c>
      <c r="L159" t="str">
        <f>IF(_xlfn.XLOOKUP(F159,PhpReserved!A:A,PhpReserved!B:B,"") = "", _xlfn.XLOOKUP(G159,PhpReserved!A:A,PhpReserved!B:B,""),_xlfn.XLOOKUP(F159,PhpReserved!A:A,PhpReserved!B:B,""))</f>
        <v/>
      </c>
      <c r="M159" t="str">
        <f>IF(_xlfn.XLOOKUP(F159,PhpFunctions!A:A,PhpFunctions!B:B,"") =  "", _xlfn.XLOOKUP(G159,PhpFunctions!A:A,PhpFunctions!B:B,""), _xlfn.XLOOKUP(F159,PhpFunctions!A:A,PhpFunctions!B:B,""))</f>
        <v/>
      </c>
      <c r="N159" t="str">
        <f>IF(_xlfn.XLOOKUP(F159,PhpParamFunc!A:A,PhpParamFunc!B:B,"") = "", _xlfn.XLOOKUP(G159,PhpParamFunc!A:A,PhpParamFunc!B:B,""), _xlfn.XLOOKUP(F159,PhpParamFunc!A:A,PhpParamFunc!B:B,""))</f>
        <v/>
      </c>
      <c r="O159" t="str">
        <f>IF(_xlfn.XLOOKUP(F159,PhpAggrFunc!A:A,PhpAggrFunc!B:B,"") = "", _xlfn.XLOOKUP(G159,PhpAggrFunc!A:A,PhpAggrFunc!B:B,""), _xlfn.XLOOKUP(F159,PhpAggrFunc!A:A,PhpAggrFunc!B:B,""))</f>
        <v/>
      </c>
      <c r="P159" t="str">
        <f t="shared" si="14"/>
        <v>UNRESERVED</v>
      </c>
      <c r="Q159" t="str">
        <f t="shared" si="15"/>
        <v>static const String^ TOK_ENTRY_POINT = "ENTRY_POINT";</v>
      </c>
      <c r="R159" t="str">
        <f t="shared" si="16"/>
        <v>static const int TOK_ENTRY_POINT = 304;</v>
      </c>
      <c r="S159" t="str">
        <f t="shared" si="17"/>
        <v>// _Tokens-&gt;Add((String^)GramVals::TOK_ENTRY_POINT, gcnew Token(GramKeys::TOK_ENTRY_POINT, EnumTokenCategory::UNRESERVED,BARE_LABEL, i++));</v>
      </c>
    </row>
    <row r="160" spans="1:19" x14ac:dyDescent="0.25">
      <c r="A160" s="3" t="s">
        <v>1532</v>
      </c>
      <c r="B160" s="5" t="s">
        <v>1110</v>
      </c>
      <c r="C160" s="3" t="s">
        <v>2051</v>
      </c>
      <c r="D160" s="3" t="s">
        <v>881</v>
      </c>
      <c r="F160" t="str">
        <f t="shared" si="12"/>
        <v>ESCAPE</v>
      </c>
      <c r="G160" t="s">
        <v>3389</v>
      </c>
      <c r="I160" s="3" t="str">
        <f>IF(_xlfn.XLOOKUP(F160,PgSqlRaw!B:B,PgSqlRaw!E:E,"") = "",_xlfn.XLOOKUP(G160,PgSqlRaw!B:B,PgSqlRaw!E:E,""),_xlfn.XLOOKUP(F160,PgSqlRaw!B:B,PgSqlRaw!E:E,""))</f>
        <v/>
      </c>
      <c r="J160" t="str">
        <f>IF(_xlfn.XLOOKUP(F160,PgSqlRaw!B:B,PgSqlRaw!F:F,"") = "", _xlfn.XLOOKUP(G160,PgSqlRaw!B:B,PgSqlRaw!F:F,""), _xlfn.XLOOKUP(F160,PgSqlRaw!B:B,PgSqlRaw!F:F,""))</f>
        <v>BARE_LABEL</v>
      </c>
      <c r="K160" t="str">
        <f t="shared" si="13"/>
        <v>BARE_LABEL</v>
      </c>
      <c r="L160" t="str">
        <f>IF(_xlfn.XLOOKUP(F160,PhpReserved!A:A,PhpReserved!B:B,"") = "", _xlfn.XLOOKUP(G160,PhpReserved!A:A,PhpReserved!B:B,""),_xlfn.XLOOKUP(F160,PhpReserved!A:A,PhpReserved!B:B,""))</f>
        <v/>
      </c>
      <c r="M160" t="str">
        <f>IF(_xlfn.XLOOKUP(F160,PhpFunctions!A:A,PhpFunctions!B:B,"") =  "", _xlfn.XLOOKUP(G160,PhpFunctions!A:A,PhpFunctions!B:B,""), _xlfn.XLOOKUP(F160,PhpFunctions!A:A,PhpFunctions!B:B,""))</f>
        <v/>
      </c>
      <c r="N160" t="str">
        <f>IF(_xlfn.XLOOKUP(F160,PhpParamFunc!A:A,PhpParamFunc!B:B,"") = "", _xlfn.XLOOKUP(G160,PhpParamFunc!A:A,PhpParamFunc!B:B,""), _xlfn.XLOOKUP(F160,PhpParamFunc!A:A,PhpParamFunc!B:B,""))</f>
        <v/>
      </c>
      <c r="O160" t="str">
        <f>IF(_xlfn.XLOOKUP(F160,PhpAggrFunc!A:A,PhpAggrFunc!B:B,"") = "", _xlfn.XLOOKUP(G160,PhpAggrFunc!A:A,PhpAggrFunc!B:B,""), _xlfn.XLOOKUP(F160,PhpAggrFunc!A:A,PhpAggrFunc!B:B,""))</f>
        <v/>
      </c>
      <c r="P160" t="str">
        <f t="shared" si="14"/>
        <v>UNRESERVED</v>
      </c>
      <c r="Q160" t="str">
        <f t="shared" si="15"/>
        <v>static const String^ TOK_ESCAPE = "ESCAPE";</v>
      </c>
      <c r="R160" t="str">
        <f t="shared" si="16"/>
        <v>static const int TOK_ESCAPE = 305;</v>
      </c>
      <c r="S160" t="str">
        <f t="shared" si="17"/>
        <v>// _Tokens-&gt;Add((String^)GramVals::TOK_ESCAPE, gcnew Token(GramKeys::TOK_ESCAPE, EnumTokenCategory::UNRESERVED,BARE_LABEL, i++));</v>
      </c>
    </row>
    <row r="161" spans="1:19" x14ac:dyDescent="0.25">
      <c r="A161" s="3" t="s">
        <v>1533</v>
      </c>
      <c r="B161" s="5" t="s">
        <v>1111</v>
      </c>
      <c r="C161" s="3" t="s">
        <v>2052</v>
      </c>
      <c r="D161" s="3" t="s">
        <v>2423</v>
      </c>
      <c r="F161" t="str">
        <f t="shared" si="12"/>
        <v>EXCEPTION</v>
      </c>
      <c r="G161" t="s">
        <v>3694</v>
      </c>
      <c r="I161" s="3" t="str">
        <f>IF(_xlfn.XLOOKUP(F161,PgSqlRaw!B:B,PgSqlRaw!E:E,"") = "",_xlfn.XLOOKUP(G161,PgSqlRaw!B:B,PgSqlRaw!E:E,""),_xlfn.XLOOKUP(F161,PgSqlRaw!B:B,PgSqlRaw!E:E,""))</f>
        <v/>
      </c>
      <c r="J161" t="str">
        <f>IF(_xlfn.XLOOKUP(F161,PgSqlRaw!B:B,PgSqlRaw!F:F,"") = "", _xlfn.XLOOKUP(G161,PgSqlRaw!B:B,PgSqlRaw!F:F,""), _xlfn.XLOOKUP(F161,PgSqlRaw!B:B,PgSqlRaw!F:F,""))</f>
        <v/>
      </c>
      <c r="K161" t="str">
        <f t="shared" si="13"/>
        <v>BARE_LABEL</v>
      </c>
      <c r="L161" t="str">
        <f>IF(_xlfn.XLOOKUP(F161,PhpReserved!A:A,PhpReserved!B:B,"") = "", _xlfn.XLOOKUP(G161,PhpReserved!A:A,PhpReserved!B:B,""),_xlfn.XLOOKUP(F161,PhpReserved!A:A,PhpReserved!B:B,""))</f>
        <v/>
      </c>
      <c r="M161" t="str">
        <f>IF(_xlfn.XLOOKUP(F161,PhpFunctions!A:A,PhpFunctions!B:B,"") =  "", _xlfn.XLOOKUP(G161,PhpFunctions!A:A,PhpFunctions!B:B,""), _xlfn.XLOOKUP(F161,PhpFunctions!A:A,PhpFunctions!B:B,""))</f>
        <v/>
      </c>
      <c r="N161" t="str">
        <f>IF(_xlfn.XLOOKUP(F161,PhpParamFunc!A:A,PhpParamFunc!B:B,"") = "", _xlfn.XLOOKUP(G161,PhpParamFunc!A:A,PhpParamFunc!B:B,""), _xlfn.XLOOKUP(F161,PhpParamFunc!A:A,PhpParamFunc!B:B,""))</f>
        <v/>
      </c>
      <c r="O161" t="str">
        <f>IF(_xlfn.XLOOKUP(F161,PhpAggrFunc!A:A,PhpAggrFunc!B:B,"") = "", _xlfn.XLOOKUP(G161,PhpAggrFunc!A:A,PhpAggrFunc!B:B,""), _xlfn.XLOOKUP(F161,PhpAggrFunc!A:A,PhpAggrFunc!B:B,""))</f>
        <v/>
      </c>
      <c r="P161" t="str">
        <f t="shared" si="14"/>
        <v>UNRESERVED</v>
      </c>
      <c r="Q161" t="str">
        <f t="shared" si="15"/>
        <v>static const String^ TOK_EXCEPTION = "EXCEPTION";</v>
      </c>
      <c r="R161" t="str">
        <f t="shared" si="16"/>
        <v>static const int TOK_EXCEPTION = 306;</v>
      </c>
      <c r="S161" t="str">
        <f t="shared" si="17"/>
        <v>// _Tokens-&gt;Add((String^)GramVals::TOK_EXCEPTION, gcnew Token(GramKeys::TOK_EXCEPTION, EnumTokenCategory::UNRESERVED,BARE_LABEL, i++));</v>
      </c>
    </row>
    <row r="162" spans="1:19" x14ac:dyDescent="0.25">
      <c r="A162" s="3" t="s">
        <v>1534</v>
      </c>
      <c r="B162" s="5">
        <v>681</v>
      </c>
      <c r="C162" s="3" t="s">
        <v>2053</v>
      </c>
      <c r="D162" s="3" t="s">
        <v>2423</v>
      </c>
      <c r="F162" t="str">
        <f t="shared" si="12"/>
        <v>EXCESS</v>
      </c>
      <c r="G162" t="s">
        <v>3695</v>
      </c>
      <c r="I162" s="3" t="str">
        <f>IF(_xlfn.XLOOKUP(F162,PgSqlRaw!B:B,PgSqlRaw!E:E,"") = "",_xlfn.XLOOKUP(G162,PgSqlRaw!B:B,PgSqlRaw!E:E,""),_xlfn.XLOOKUP(F162,PgSqlRaw!B:B,PgSqlRaw!E:E,""))</f>
        <v/>
      </c>
      <c r="J162" t="str">
        <f>IF(_xlfn.XLOOKUP(F162,PgSqlRaw!B:B,PgSqlRaw!F:F,"") = "", _xlfn.XLOOKUP(G162,PgSqlRaw!B:B,PgSqlRaw!F:F,""), _xlfn.XLOOKUP(F162,PgSqlRaw!B:B,PgSqlRaw!F:F,""))</f>
        <v/>
      </c>
      <c r="K162" t="str">
        <f t="shared" si="13"/>
        <v>BARE_LABEL</v>
      </c>
      <c r="L162" t="str">
        <f>IF(_xlfn.XLOOKUP(F162,PhpReserved!A:A,PhpReserved!B:B,"") = "", _xlfn.XLOOKUP(G162,PhpReserved!A:A,PhpReserved!B:B,""),_xlfn.XLOOKUP(F162,PhpReserved!A:A,PhpReserved!B:B,""))</f>
        <v/>
      </c>
      <c r="M162" t="str">
        <f>IF(_xlfn.XLOOKUP(F162,PhpFunctions!A:A,PhpFunctions!B:B,"") =  "", _xlfn.XLOOKUP(G162,PhpFunctions!A:A,PhpFunctions!B:B,""), _xlfn.XLOOKUP(F162,PhpFunctions!A:A,PhpFunctions!B:B,""))</f>
        <v/>
      </c>
      <c r="N162" t="str">
        <f>IF(_xlfn.XLOOKUP(F162,PhpParamFunc!A:A,PhpParamFunc!B:B,"") = "", _xlfn.XLOOKUP(G162,PhpParamFunc!A:A,PhpParamFunc!B:B,""), _xlfn.XLOOKUP(F162,PhpParamFunc!A:A,PhpParamFunc!B:B,""))</f>
        <v/>
      </c>
      <c r="O162" t="str">
        <f>IF(_xlfn.XLOOKUP(F162,PhpAggrFunc!A:A,PhpAggrFunc!B:B,"") = "", _xlfn.XLOOKUP(G162,PhpAggrFunc!A:A,PhpAggrFunc!B:B,""), _xlfn.XLOOKUP(F162,PhpAggrFunc!A:A,PhpAggrFunc!B:B,""))</f>
        <v/>
      </c>
      <c r="P162" t="str">
        <f t="shared" si="14"/>
        <v>UNRESERVED</v>
      </c>
      <c r="Q162" t="str">
        <f t="shared" si="15"/>
        <v>static const String^ TOK_EXCESS = "EXCESS";</v>
      </c>
      <c r="R162" t="str">
        <f t="shared" si="16"/>
        <v>static const int TOK_EXCESS = 681;</v>
      </c>
      <c r="S162" t="str">
        <f t="shared" si="17"/>
        <v>// _Tokens-&gt;Add((String^)GramVals::TOK_EXCESS, gcnew Token(GramKeys::TOK_EXCESS, EnumTokenCategory::UNRESERVED,BARE_LABEL, i++));</v>
      </c>
    </row>
    <row r="163" spans="1:19" x14ac:dyDescent="0.25">
      <c r="A163" s="3" t="s">
        <v>960</v>
      </c>
      <c r="B163" s="5">
        <v>682</v>
      </c>
      <c r="C163" s="3" t="s">
        <v>2054</v>
      </c>
      <c r="D163" s="3" t="s">
        <v>2423</v>
      </c>
      <c r="F163" t="str">
        <f t="shared" si="12"/>
        <v>EXCLUDE</v>
      </c>
      <c r="G163" t="s">
        <v>3392</v>
      </c>
      <c r="I163" s="3" t="str">
        <f>IF(_xlfn.XLOOKUP(F163,PgSqlRaw!B:B,PgSqlRaw!E:E,"") = "",_xlfn.XLOOKUP(G163,PgSqlRaw!B:B,PgSqlRaw!E:E,""),_xlfn.XLOOKUP(F163,PgSqlRaw!B:B,PgSqlRaw!E:E,""))</f>
        <v/>
      </c>
      <c r="J163" t="str">
        <f>IF(_xlfn.XLOOKUP(F163,PgSqlRaw!B:B,PgSqlRaw!F:F,"") = "", _xlfn.XLOOKUP(G163,PgSqlRaw!B:B,PgSqlRaw!F:F,""), _xlfn.XLOOKUP(F163,PgSqlRaw!B:B,PgSqlRaw!F:F,""))</f>
        <v>BARE_LABEL</v>
      </c>
      <c r="K163" t="str">
        <f t="shared" si="13"/>
        <v>BARE_LABEL</v>
      </c>
      <c r="L163" t="str">
        <f>IF(_xlfn.XLOOKUP(F163,PhpReserved!A:A,PhpReserved!B:B,"") = "", _xlfn.XLOOKUP(G163,PhpReserved!A:A,PhpReserved!B:B,""),_xlfn.XLOOKUP(F163,PhpReserved!A:A,PhpReserved!B:B,""))</f>
        <v/>
      </c>
      <c r="M163" t="str">
        <f>IF(_xlfn.XLOOKUP(F163,PhpFunctions!A:A,PhpFunctions!B:B,"") =  "", _xlfn.XLOOKUP(G163,PhpFunctions!A:A,PhpFunctions!B:B,""), _xlfn.XLOOKUP(F163,PhpFunctions!A:A,PhpFunctions!B:B,""))</f>
        <v/>
      </c>
      <c r="N163" t="str">
        <f>IF(_xlfn.XLOOKUP(F163,PhpParamFunc!A:A,PhpParamFunc!B:B,"") = "", _xlfn.XLOOKUP(G163,PhpParamFunc!A:A,PhpParamFunc!B:B,""), _xlfn.XLOOKUP(F163,PhpParamFunc!A:A,PhpParamFunc!B:B,""))</f>
        <v/>
      </c>
      <c r="O163" t="str">
        <f>IF(_xlfn.XLOOKUP(F163,PhpAggrFunc!A:A,PhpAggrFunc!B:B,"") = "", _xlfn.XLOOKUP(G163,PhpAggrFunc!A:A,PhpAggrFunc!B:B,""), _xlfn.XLOOKUP(F163,PhpAggrFunc!A:A,PhpAggrFunc!B:B,""))</f>
        <v/>
      </c>
      <c r="P163" t="str">
        <f t="shared" si="14"/>
        <v>UNRESERVED</v>
      </c>
      <c r="Q163" t="str">
        <f t="shared" si="15"/>
        <v>static const String^ TOK_EXCLUDE = "EXCLUDE";</v>
      </c>
      <c r="R163" t="str">
        <f t="shared" si="16"/>
        <v>static const int TOK_EXCLUDE = 682;</v>
      </c>
      <c r="S163" t="str">
        <f t="shared" si="17"/>
        <v>// _Tokens-&gt;Add((String^)GramVals::TOK_EXCLUDE, gcnew Token(GramKeys::TOK_EXCLUDE, EnumTokenCategory::UNRESERVED,BARE_LABEL, i++));</v>
      </c>
    </row>
    <row r="164" spans="1:19" x14ac:dyDescent="0.25">
      <c r="A164" s="3" t="s">
        <v>1535</v>
      </c>
      <c r="B164" s="5" t="s">
        <v>1112</v>
      </c>
      <c r="C164" s="3" t="s">
        <v>2055</v>
      </c>
      <c r="D164" s="3" t="s">
        <v>881</v>
      </c>
      <c r="F164" t="str">
        <f t="shared" si="12"/>
        <v>EXECUTE</v>
      </c>
      <c r="G164" t="s">
        <v>3395</v>
      </c>
      <c r="I164" s="3" t="str">
        <f>IF(_xlfn.XLOOKUP(F164,PgSqlRaw!B:B,PgSqlRaw!E:E,"") = "",_xlfn.XLOOKUP(G164,PgSqlRaw!B:B,PgSqlRaw!E:E,""),_xlfn.XLOOKUP(F164,PgSqlRaw!B:B,PgSqlRaw!E:E,""))</f>
        <v/>
      </c>
      <c r="J164" t="str">
        <f>IF(_xlfn.XLOOKUP(F164,PgSqlRaw!B:B,PgSqlRaw!F:F,"") = "", _xlfn.XLOOKUP(G164,PgSqlRaw!B:B,PgSqlRaw!F:F,""), _xlfn.XLOOKUP(F164,PgSqlRaw!B:B,PgSqlRaw!F:F,""))</f>
        <v>BARE_LABEL</v>
      </c>
      <c r="K164" t="str">
        <f t="shared" si="13"/>
        <v>BARE_LABEL</v>
      </c>
      <c r="L164" t="str">
        <f>IF(_xlfn.XLOOKUP(F164,PhpReserved!A:A,PhpReserved!B:B,"") = "", _xlfn.XLOOKUP(G164,PhpReserved!A:A,PhpReserved!B:B,""),_xlfn.XLOOKUP(F164,PhpReserved!A:A,PhpReserved!B:B,""))</f>
        <v/>
      </c>
      <c r="M164" t="str">
        <f>IF(_xlfn.XLOOKUP(F164,PhpFunctions!A:A,PhpFunctions!B:B,"") =  "", _xlfn.XLOOKUP(G164,PhpFunctions!A:A,PhpFunctions!B:B,""), _xlfn.XLOOKUP(F164,PhpFunctions!A:A,PhpFunctions!B:B,""))</f>
        <v/>
      </c>
      <c r="N164" t="str">
        <f>IF(_xlfn.XLOOKUP(F164,PhpParamFunc!A:A,PhpParamFunc!B:B,"") = "", _xlfn.XLOOKUP(G164,PhpParamFunc!A:A,PhpParamFunc!B:B,""), _xlfn.XLOOKUP(F164,PhpParamFunc!A:A,PhpParamFunc!B:B,""))</f>
        <v/>
      </c>
      <c r="O164" t="str">
        <f>IF(_xlfn.XLOOKUP(F164,PhpAggrFunc!A:A,PhpAggrFunc!B:B,"") = "", _xlfn.XLOOKUP(G164,PhpAggrFunc!A:A,PhpAggrFunc!B:B,""), _xlfn.XLOOKUP(F164,PhpAggrFunc!A:A,PhpAggrFunc!B:B,""))</f>
        <v/>
      </c>
      <c r="P164" t="str">
        <f t="shared" si="14"/>
        <v>UNRESERVED</v>
      </c>
      <c r="Q164" t="str">
        <f t="shared" si="15"/>
        <v>static const String^ TOK_EXECUTE = "EXECUTE";</v>
      </c>
      <c r="R164" t="str">
        <f t="shared" si="16"/>
        <v>static const int TOK_EXECUTE = 307;</v>
      </c>
      <c r="S164" t="str">
        <f t="shared" si="17"/>
        <v>// _Tokens-&gt;Add((String^)GramVals::TOK_EXECUTE, gcnew Token(GramKeys::TOK_EXECUTE, EnumTokenCategory::UNRESERVED,BARE_LABEL, i++));</v>
      </c>
    </row>
    <row r="165" spans="1:19" x14ac:dyDescent="0.25">
      <c r="A165" s="3" t="s">
        <v>1536</v>
      </c>
      <c r="B165" s="5" t="s">
        <v>1113</v>
      </c>
      <c r="C165" s="3" t="s">
        <v>2056</v>
      </c>
      <c r="D165" s="3" t="s">
        <v>881</v>
      </c>
      <c r="F165" t="str">
        <f t="shared" si="12"/>
        <v>EXISTS</v>
      </c>
      <c r="G165" t="s">
        <v>2945</v>
      </c>
      <c r="I165" s="3" t="str">
        <f>IF(_xlfn.XLOOKUP(F165,PgSqlRaw!B:B,PgSqlRaw!E:E,"") = "",_xlfn.XLOOKUP(G165,PgSqlRaw!B:B,PgSqlRaw!E:E,""),_xlfn.XLOOKUP(F165,PgSqlRaw!B:B,PgSqlRaw!E:E,""))</f>
        <v>COLNAME_KEYWORD</v>
      </c>
      <c r="J165" t="str">
        <f>IF(_xlfn.XLOOKUP(F165,PgSqlRaw!B:B,PgSqlRaw!F:F,"") = "", _xlfn.XLOOKUP(G165,PgSqlRaw!B:B,PgSqlRaw!F:F,""), _xlfn.XLOOKUP(F165,PgSqlRaw!B:B,PgSqlRaw!F:F,""))</f>
        <v>BARE_LABEL</v>
      </c>
      <c r="K165" t="str">
        <f t="shared" si="13"/>
        <v>BARE_LABEL</v>
      </c>
      <c r="L165" t="str">
        <f>IF(_xlfn.XLOOKUP(F165,PhpReserved!A:A,PhpReserved!B:B,"") = "", _xlfn.XLOOKUP(G165,PhpReserved!A:A,PhpReserved!B:B,""),_xlfn.XLOOKUP(F165,PhpReserved!A:A,PhpReserved!B:B,""))</f>
        <v>RESERVED</v>
      </c>
      <c r="M165" t="str">
        <f>IF(_xlfn.XLOOKUP(F165,PhpFunctions!A:A,PhpFunctions!B:B,"") =  "", _xlfn.XLOOKUP(G165,PhpFunctions!A:A,PhpFunctions!B:B,""), _xlfn.XLOOKUP(F165,PhpFunctions!A:A,PhpFunctions!B:B,""))</f>
        <v/>
      </c>
      <c r="N165" t="str">
        <f>IF(_xlfn.XLOOKUP(F165,PhpParamFunc!A:A,PhpParamFunc!B:B,"") = "", _xlfn.XLOOKUP(G165,PhpParamFunc!A:A,PhpParamFunc!B:B,""), _xlfn.XLOOKUP(F165,PhpParamFunc!A:A,PhpParamFunc!B:B,""))</f>
        <v/>
      </c>
      <c r="O165" t="str">
        <f>IF(_xlfn.XLOOKUP(F165,PhpAggrFunc!A:A,PhpAggrFunc!B:B,"") = "", _xlfn.XLOOKUP(G165,PhpAggrFunc!A:A,PhpAggrFunc!B:B,""), _xlfn.XLOOKUP(F165,PhpAggrFunc!A:A,PhpAggrFunc!B:B,""))</f>
        <v/>
      </c>
      <c r="P165" t="str">
        <f t="shared" si="14"/>
        <v>RESERVED</v>
      </c>
      <c r="Q165" t="str">
        <f t="shared" si="15"/>
        <v>static const String^ TOK_EXISTS = "EXISTS";</v>
      </c>
      <c r="R165" t="str">
        <f t="shared" si="16"/>
        <v>static const int TOK_EXISTS = 308;</v>
      </c>
      <c r="S165" t="str">
        <f t="shared" si="17"/>
        <v>_Tokens-&gt;Add((String^)GramVals::TOK_EXISTS, gcnew Token(GramKeys::TOK_EXISTS, EnumTokenCategory::RESERVED,BARE_LABEL, i++));</v>
      </c>
    </row>
    <row r="166" spans="1:19" x14ac:dyDescent="0.25">
      <c r="A166" s="3" t="s">
        <v>1537</v>
      </c>
      <c r="B166" s="5" t="s">
        <v>1114</v>
      </c>
      <c r="C166" s="3" t="s">
        <v>2057</v>
      </c>
      <c r="D166" s="3" t="s">
        <v>2423</v>
      </c>
      <c r="F166" t="str">
        <f t="shared" si="12"/>
        <v>EXIT</v>
      </c>
      <c r="G166" t="s">
        <v>3144</v>
      </c>
      <c r="I166" s="3" t="str">
        <f>IF(_xlfn.XLOOKUP(F166,PgSqlRaw!B:B,PgSqlRaw!E:E,"") = "",_xlfn.XLOOKUP(G166,PgSqlRaw!B:B,PgSqlRaw!E:E,""),_xlfn.XLOOKUP(F166,PgSqlRaw!B:B,PgSqlRaw!E:E,""))</f>
        <v/>
      </c>
      <c r="J166" t="str">
        <f>IF(_xlfn.XLOOKUP(F166,PgSqlRaw!B:B,PgSqlRaw!F:F,"") = "", _xlfn.XLOOKUP(G166,PgSqlRaw!B:B,PgSqlRaw!F:F,""), _xlfn.XLOOKUP(F166,PgSqlRaw!B:B,PgSqlRaw!F:F,""))</f>
        <v/>
      </c>
      <c r="K166" t="str">
        <f t="shared" si="13"/>
        <v>BARE_LABEL</v>
      </c>
      <c r="L166" t="str">
        <f>IF(_xlfn.XLOOKUP(F166,PhpReserved!A:A,PhpReserved!B:B,"") = "", _xlfn.XLOOKUP(G166,PhpReserved!A:A,PhpReserved!B:B,""),_xlfn.XLOOKUP(F166,PhpReserved!A:A,PhpReserved!B:B,""))</f>
        <v>RESERVED</v>
      </c>
      <c r="M166" t="str">
        <f>IF(_xlfn.XLOOKUP(F166,PhpFunctions!A:A,PhpFunctions!B:B,"") =  "", _xlfn.XLOOKUP(G166,PhpFunctions!A:A,PhpFunctions!B:B,""), _xlfn.XLOOKUP(F166,PhpFunctions!A:A,PhpFunctions!B:B,""))</f>
        <v/>
      </c>
      <c r="N166" t="str">
        <f>IF(_xlfn.XLOOKUP(F166,PhpParamFunc!A:A,PhpParamFunc!B:B,"") = "", _xlfn.XLOOKUP(G166,PhpParamFunc!A:A,PhpParamFunc!B:B,""), _xlfn.XLOOKUP(F166,PhpParamFunc!A:A,PhpParamFunc!B:B,""))</f>
        <v/>
      </c>
      <c r="O166" t="str">
        <f>IF(_xlfn.XLOOKUP(F166,PhpAggrFunc!A:A,PhpAggrFunc!B:B,"") = "", _xlfn.XLOOKUP(G166,PhpAggrFunc!A:A,PhpAggrFunc!B:B,""), _xlfn.XLOOKUP(F166,PhpAggrFunc!A:A,PhpAggrFunc!B:B,""))</f>
        <v/>
      </c>
      <c r="P166" t="str">
        <f t="shared" si="14"/>
        <v>RESERVED</v>
      </c>
      <c r="Q166" t="str">
        <f t="shared" si="15"/>
        <v>static const String^ TOK_EXIT = "EXIT";</v>
      </c>
      <c r="R166" t="str">
        <f t="shared" si="16"/>
        <v>static const int TOK_EXIT = 309;</v>
      </c>
      <c r="S166" t="str">
        <f t="shared" si="17"/>
        <v>_Tokens-&gt;Add((String^)GramVals::TOK_EXIT, gcnew Token(GramKeys::TOK_EXIT, EnumTokenCategory::RESERVED,BARE_LABEL, i++));</v>
      </c>
    </row>
    <row r="167" spans="1:19" x14ac:dyDescent="0.25">
      <c r="A167" s="3" t="s">
        <v>1538</v>
      </c>
      <c r="B167" s="5" t="s">
        <v>1115</v>
      </c>
      <c r="C167" s="3" t="s">
        <v>2058</v>
      </c>
      <c r="D167" s="3" t="s">
        <v>2423</v>
      </c>
      <c r="F167" t="str">
        <f t="shared" si="12"/>
        <v>EXP</v>
      </c>
      <c r="G167" t="s">
        <v>2946</v>
      </c>
      <c r="I167" s="3" t="str">
        <f>IF(_xlfn.XLOOKUP(F167,PgSqlRaw!B:B,PgSqlRaw!E:E,"") = "",_xlfn.XLOOKUP(G167,PgSqlRaw!B:B,PgSqlRaw!E:E,""),_xlfn.XLOOKUP(F167,PgSqlRaw!B:B,PgSqlRaw!E:E,""))</f>
        <v/>
      </c>
      <c r="J167" t="str">
        <f>IF(_xlfn.XLOOKUP(F167,PgSqlRaw!B:B,PgSqlRaw!F:F,"") = "", _xlfn.XLOOKUP(G167,PgSqlRaw!B:B,PgSqlRaw!F:F,""), _xlfn.XLOOKUP(F167,PgSqlRaw!B:B,PgSqlRaw!F:F,""))</f>
        <v/>
      </c>
      <c r="K167" t="str">
        <f t="shared" si="13"/>
        <v>BARE_LABEL</v>
      </c>
      <c r="L167" t="str">
        <f>IF(_xlfn.XLOOKUP(F167,PhpReserved!A:A,PhpReserved!B:B,"") = "", _xlfn.XLOOKUP(G167,PhpReserved!A:A,PhpReserved!B:B,""),_xlfn.XLOOKUP(F167,PhpReserved!A:A,PhpReserved!B:B,""))</f>
        <v>RESERVED</v>
      </c>
      <c r="M167" t="str">
        <f>IF(_xlfn.XLOOKUP(F167,PhpFunctions!A:A,PhpFunctions!B:B,"") =  "", _xlfn.XLOOKUP(G167,PhpFunctions!A:A,PhpFunctions!B:B,""), _xlfn.XLOOKUP(F167,PhpFunctions!A:A,PhpFunctions!B:B,""))</f>
        <v>FUNCTION</v>
      </c>
      <c r="N167" t="str">
        <f>IF(_xlfn.XLOOKUP(F167,PhpParamFunc!A:A,PhpParamFunc!B:B,"") = "", _xlfn.XLOOKUP(G167,PhpParamFunc!A:A,PhpParamFunc!B:B,""), _xlfn.XLOOKUP(F167,PhpParamFunc!A:A,PhpParamFunc!B:B,""))</f>
        <v>PARAM_FUNCTION</v>
      </c>
      <c r="O167" t="str">
        <f>IF(_xlfn.XLOOKUP(F167,PhpAggrFunc!A:A,PhpAggrFunc!B:B,"") = "", _xlfn.XLOOKUP(G167,PhpAggrFunc!A:A,PhpAggrFunc!B:B,""), _xlfn.XLOOKUP(F167,PhpAggrFunc!A:A,PhpAggrFunc!B:B,""))</f>
        <v/>
      </c>
      <c r="P167" t="str">
        <f t="shared" si="14"/>
        <v>PARAM_FUNCTION</v>
      </c>
      <c r="Q167" t="str">
        <f t="shared" si="15"/>
        <v>static const String^ TOK_EXP = "EXP";</v>
      </c>
      <c r="R167" t="str">
        <f t="shared" si="16"/>
        <v>static const int TOK_EXP = 548;</v>
      </c>
      <c r="S167" t="str">
        <f t="shared" si="17"/>
        <v>_Tokens-&gt;Add((String^)GramVals::TOK_EXP, gcnew Token(GramKeys::TOK_EXP, EnumTokenCategory::PARAM_FUNCTION,BARE_LABEL, i++));</v>
      </c>
    </row>
    <row r="168" spans="1:19" x14ac:dyDescent="0.25">
      <c r="A168" s="3" t="s">
        <v>959</v>
      </c>
      <c r="B168" s="5">
        <v>683</v>
      </c>
      <c r="C168" s="3" t="s">
        <v>2059</v>
      </c>
      <c r="D168" s="3" t="s">
        <v>2423</v>
      </c>
      <c r="F168" t="str">
        <f t="shared" si="12"/>
        <v>EXTENDED</v>
      </c>
      <c r="G168" t="s">
        <v>3696</v>
      </c>
      <c r="I168" s="3" t="str">
        <f>IF(_xlfn.XLOOKUP(F168,PgSqlRaw!B:B,PgSqlRaw!E:E,"") = "",_xlfn.XLOOKUP(G168,PgSqlRaw!B:B,PgSqlRaw!E:E,""),_xlfn.XLOOKUP(F168,PgSqlRaw!B:B,PgSqlRaw!E:E,""))</f>
        <v/>
      </c>
      <c r="J168" t="str">
        <f>IF(_xlfn.XLOOKUP(F168,PgSqlRaw!B:B,PgSqlRaw!F:F,"") = "", _xlfn.XLOOKUP(G168,PgSqlRaw!B:B,PgSqlRaw!F:F,""), _xlfn.XLOOKUP(F168,PgSqlRaw!B:B,PgSqlRaw!F:F,""))</f>
        <v/>
      </c>
      <c r="K168" t="str">
        <f t="shared" si="13"/>
        <v>BARE_LABEL</v>
      </c>
      <c r="L168" t="str">
        <f>IF(_xlfn.XLOOKUP(F168,PhpReserved!A:A,PhpReserved!B:B,"") = "", _xlfn.XLOOKUP(G168,PhpReserved!A:A,PhpReserved!B:B,""),_xlfn.XLOOKUP(F168,PhpReserved!A:A,PhpReserved!B:B,""))</f>
        <v/>
      </c>
      <c r="M168" t="str">
        <f>IF(_xlfn.XLOOKUP(F168,PhpFunctions!A:A,PhpFunctions!B:B,"") =  "", _xlfn.XLOOKUP(G168,PhpFunctions!A:A,PhpFunctions!B:B,""), _xlfn.XLOOKUP(F168,PhpFunctions!A:A,PhpFunctions!B:B,""))</f>
        <v/>
      </c>
      <c r="N168" t="str">
        <f>IF(_xlfn.XLOOKUP(F168,PhpParamFunc!A:A,PhpParamFunc!B:B,"") = "", _xlfn.XLOOKUP(G168,PhpParamFunc!A:A,PhpParamFunc!B:B,""), _xlfn.XLOOKUP(F168,PhpParamFunc!A:A,PhpParamFunc!B:B,""))</f>
        <v/>
      </c>
      <c r="O168" t="str">
        <f>IF(_xlfn.XLOOKUP(F168,PhpAggrFunc!A:A,PhpAggrFunc!B:B,"") = "", _xlfn.XLOOKUP(G168,PhpAggrFunc!A:A,PhpAggrFunc!B:B,""), _xlfn.XLOOKUP(F168,PhpAggrFunc!A:A,PhpAggrFunc!B:B,""))</f>
        <v/>
      </c>
      <c r="P168" t="str">
        <f t="shared" si="14"/>
        <v>UNRESERVED</v>
      </c>
      <c r="Q168" t="str">
        <f t="shared" si="15"/>
        <v>static const String^ TOK_EXTENDED = "EXTENDED";</v>
      </c>
      <c r="R168" t="str">
        <f t="shared" si="16"/>
        <v>static const int TOK_EXTENDED = 683;</v>
      </c>
      <c r="S168" t="str">
        <f t="shared" si="17"/>
        <v>// _Tokens-&gt;Add((String^)GramVals::TOK_EXTENDED, gcnew Token(GramKeys::TOK_EXTENDED, EnumTokenCategory::UNRESERVED,BARE_LABEL, i++));</v>
      </c>
    </row>
    <row r="169" spans="1:19" x14ac:dyDescent="0.25">
      <c r="A169" s="3" t="s">
        <v>1539</v>
      </c>
      <c r="B169" s="5" t="s">
        <v>1116</v>
      </c>
      <c r="C169" s="3" t="s">
        <v>2060</v>
      </c>
      <c r="D169" s="3" t="s">
        <v>881</v>
      </c>
      <c r="F169" t="str">
        <f t="shared" si="12"/>
        <v>EXTERNAL</v>
      </c>
      <c r="G169" t="s">
        <v>3398</v>
      </c>
      <c r="I169" s="3" t="str">
        <f>IF(_xlfn.XLOOKUP(F169,PgSqlRaw!B:B,PgSqlRaw!E:E,"") = "",_xlfn.XLOOKUP(G169,PgSqlRaw!B:B,PgSqlRaw!E:E,""),_xlfn.XLOOKUP(F169,PgSqlRaw!B:B,PgSqlRaw!E:E,""))</f>
        <v/>
      </c>
      <c r="J169" t="str">
        <f>IF(_xlfn.XLOOKUP(F169,PgSqlRaw!B:B,PgSqlRaw!F:F,"") = "", _xlfn.XLOOKUP(G169,PgSqlRaw!B:B,PgSqlRaw!F:F,""), _xlfn.XLOOKUP(F169,PgSqlRaw!B:B,PgSqlRaw!F:F,""))</f>
        <v>BARE_LABEL</v>
      </c>
      <c r="K169" t="str">
        <f t="shared" si="13"/>
        <v>BARE_LABEL</v>
      </c>
      <c r="L169" t="str">
        <f>IF(_xlfn.XLOOKUP(F169,PhpReserved!A:A,PhpReserved!B:B,"") = "", _xlfn.XLOOKUP(G169,PhpReserved!A:A,PhpReserved!B:B,""),_xlfn.XLOOKUP(F169,PhpReserved!A:A,PhpReserved!B:B,""))</f>
        <v/>
      </c>
      <c r="M169" t="str">
        <f>IF(_xlfn.XLOOKUP(F169,PhpFunctions!A:A,PhpFunctions!B:B,"") =  "", _xlfn.XLOOKUP(G169,PhpFunctions!A:A,PhpFunctions!B:B,""), _xlfn.XLOOKUP(F169,PhpFunctions!A:A,PhpFunctions!B:B,""))</f>
        <v/>
      </c>
      <c r="N169" t="str">
        <f>IF(_xlfn.XLOOKUP(F169,PhpParamFunc!A:A,PhpParamFunc!B:B,"") = "", _xlfn.XLOOKUP(G169,PhpParamFunc!A:A,PhpParamFunc!B:B,""), _xlfn.XLOOKUP(F169,PhpParamFunc!A:A,PhpParamFunc!B:B,""))</f>
        <v/>
      </c>
      <c r="O169" t="str">
        <f>IF(_xlfn.XLOOKUP(F169,PhpAggrFunc!A:A,PhpAggrFunc!B:B,"") = "", _xlfn.XLOOKUP(G169,PhpAggrFunc!A:A,PhpAggrFunc!B:B,""), _xlfn.XLOOKUP(F169,PhpAggrFunc!A:A,PhpAggrFunc!B:B,""))</f>
        <v/>
      </c>
      <c r="P169" t="str">
        <f t="shared" si="14"/>
        <v>UNRESERVED</v>
      </c>
      <c r="Q169" t="str">
        <f t="shared" si="15"/>
        <v>static const String^ TOK_EXTERNAL = "EXTERNAL";</v>
      </c>
      <c r="R169" t="str">
        <f t="shared" si="16"/>
        <v>static const int TOK_EXTERNAL = 310;</v>
      </c>
      <c r="S169" t="str">
        <f t="shared" si="17"/>
        <v>// _Tokens-&gt;Add((String^)GramVals::TOK_EXTERNAL, gcnew Token(GramKeys::TOK_EXTERNAL, EnumTokenCategory::UNRESERVED,BARE_LABEL, i++));</v>
      </c>
    </row>
    <row r="170" spans="1:19" x14ac:dyDescent="0.25">
      <c r="A170" s="3" t="s">
        <v>1540</v>
      </c>
      <c r="B170" s="5" t="s">
        <v>1117</v>
      </c>
      <c r="C170" s="3" t="s">
        <v>2061</v>
      </c>
      <c r="D170" s="3" t="s">
        <v>881</v>
      </c>
      <c r="F170" t="str">
        <f t="shared" si="12"/>
        <v>EXTRACT</v>
      </c>
      <c r="G170" t="s">
        <v>2948</v>
      </c>
      <c r="I170" s="3" t="str">
        <f>IF(_xlfn.XLOOKUP(F170,PgSqlRaw!B:B,PgSqlRaw!E:E,"") = "",_xlfn.XLOOKUP(G170,PgSqlRaw!B:B,PgSqlRaw!E:E,""),_xlfn.XLOOKUP(F170,PgSqlRaw!B:B,PgSqlRaw!E:E,""))</f>
        <v>COLNAME_KEYWORD</v>
      </c>
      <c r="J170" t="str">
        <f>IF(_xlfn.XLOOKUP(F170,PgSqlRaw!B:B,PgSqlRaw!F:F,"") = "", _xlfn.XLOOKUP(G170,PgSqlRaw!B:B,PgSqlRaw!F:F,""), _xlfn.XLOOKUP(F170,PgSqlRaw!B:B,PgSqlRaw!F:F,""))</f>
        <v>BARE_LABEL</v>
      </c>
      <c r="K170" t="str">
        <f t="shared" si="13"/>
        <v>BARE_LABEL</v>
      </c>
      <c r="L170" t="str">
        <f>IF(_xlfn.XLOOKUP(F170,PhpReserved!A:A,PhpReserved!B:B,"") = "", _xlfn.XLOOKUP(G170,PhpReserved!A:A,PhpReserved!B:B,""),_xlfn.XLOOKUP(F170,PhpReserved!A:A,PhpReserved!B:B,""))</f>
        <v>RESERVED</v>
      </c>
      <c r="M170" t="str">
        <f>IF(_xlfn.XLOOKUP(F170,PhpFunctions!A:A,PhpFunctions!B:B,"") =  "", _xlfn.XLOOKUP(G170,PhpFunctions!A:A,PhpFunctions!B:B,""), _xlfn.XLOOKUP(F170,PhpFunctions!A:A,PhpFunctions!B:B,""))</f>
        <v>FUNCTION</v>
      </c>
      <c r="N170" t="str">
        <f>IF(_xlfn.XLOOKUP(F170,PhpParamFunc!A:A,PhpParamFunc!B:B,"") = "", _xlfn.XLOOKUP(G170,PhpParamFunc!A:A,PhpParamFunc!B:B,""), _xlfn.XLOOKUP(F170,PhpParamFunc!A:A,PhpParamFunc!B:B,""))</f>
        <v>PARAM_FUNCTION</v>
      </c>
      <c r="O170" t="str">
        <f>IF(_xlfn.XLOOKUP(F170,PhpAggrFunc!A:A,PhpAggrFunc!B:B,"") = "", _xlfn.XLOOKUP(G170,PhpAggrFunc!A:A,PhpAggrFunc!B:B,""), _xlfn.XLOOKUP(F170,PhpAggrFunc!A:A,PhpAggrFunc!B:B,""))</f>
        <v/>
      </c>
      <c r="P170" t="str">
        <f t="shared" si="14"/>
        <v>PARAM_FUNCTION</v>
      </c>
      <c r="Q170" t="str">
        <f t="shared" si="15"/>
        <v>static const String^ TOK_EXTRACT = "EXTRACT";</v>
      </c>
      <c r="R170" t="str">
        <f t="shared" si="16"/>
        <v>static const int TOK_EXTRACT = 453;</v>
      </c>
      <c r="S170" t="str">
        <f t="shared" si="17"/>
        <v>_Tokens-&gt;Add((String^)GramVals::TOK_EXTRACT, gcnew Token(GramKeys::TOK_EXTRACT, EnumTokenCategory::PARAM_FUNCTION,BARE_LABEL, i++));</v>
      </c>
    </row>
    <row r="171" spans="1:19" x14ac:dyDescent="0.25">
      <c r="A171" s="3" t="s">
        <v>1541</v>
      </c>
      <c r="B171" s="5" t="s">
        <v>1118</v>
      </c>
      <c r="C171" s="3" t="s">
        <v>2062</v>
      </c>
      <c r="D171" s="3" t="s">
        <v>881</v>
      </c>
      <c r="F171" t="str">
        <f t="shared" si="12"/>
        <v>FALSE</v>
      </c>
      <c r="G171" t="s">
        <v>3399</v>
      </c>
      <c r="I171" s="3" t="str">
        <f>IF(_xlfn.XLOOKUP(F171,PgSqlRaw!B:B,PgSqlRaw!E:E,"") = "",_xlfn.XLOOKUP(G171,PgSqlRaw!B:B,PgSqlRaw!E:E,""),_xlfn.XLOOKUP(F171,PgSqlRaw!B:B,PgSqlRaw!E:E,""))</f>
        <v>RESERVED</v>
      </c>
      <c r="J171" t="str">
        <f>IF(_xlfn.XLOOKUP(F171,PgSqlRaw!B:B,PgSqlRaw!F:F,"") = "", _xlfn.XLOOKUP(G171,PgSqlRaw!B:B,PgSqlRaw!F:F,""), _xlfn.XLOOKUP(F171,PgSqlRaw!B:B,PgSqlRaw!F:F,""))</f>
        <v>BARE_LABEL</v>
      </c>
      <c r="K171" t="str">
        <f t="shared" si="13"/>
        <v>BARE_LABEL</v>
      </c>
      <c r="L171" t="str">
        <f>IF(_xlfn.XLOOKUP(F171,PhpReserved!A:A,PhpReserved!B:B,"") = "", _xlfn.XLOOKUP(G171,PhpReserved!A:A,PhpReserved!B:B,""),_xlfn.XLOOKUP(F171,PhpReserved!A:A,PhpReserved!B:B,""))</f>
        <v/>
      </c>
      <c r="M171" t="str">
        <f>IF(_xlfn.XLOOKUP(F171,PhpFunctions!A:A,PhpFunctions!B:B,"") =  "", _xlfn.XLOOKUP(G171,PhpFunctions!A:A,PhpFunctions!B:B,""), _xlfn.XLOOKUP(F171,PhpFunctions!A:A,PhpFunctions!B:B,""))</f>
        <v/>
      </c>
      <c r="N171" t="str">
        <f>IF(_xlfn.XLOOKUP(F171,PhpParamFunc!A:A,PhpParamFunc!B:B,"") = "", _xlfn.XLOOKUP(G171,PhpParamFunc!A:A,PhpParamFunc!B:B,""), _xlfn.XLOOKUP(F171,PhpParamFunc!A:A,PhpParamFunc!B:B,""))</f>
        <v/>
      </c>
      <c r="O171" t="str">
        <f>IF(_xlfn.XLOOKUP(F171,PhpAggrFunc!A:A,PhpAggrFunc!B:B,"") = "", _xlfn.XLOOKUP(G171,PhpAggrFunc!A:A,PhpAggrFunc!B:B,""), _xlfn.XLOOKUP(F171,PhpAggrFunc!A:A,PhpAggrFunc!B:B,""))</f>
        <v/>
      </c>
      <c r="P171" t="str">
        <f t="shared" si="14"/>
        <v>RESERVED</v>
      </c>
      <c r="Q171" t="str">
        <f t="shared" si="15"/>
        <v>static const String^ TOK_FALSE = "FALSE";</v>
      </c>
      <c r="R171" t="str">
        <f t="shared" si="16"/>
        <v>static const int TOK_FALSE = 639;</v>
      </c>
      <c r="S171" t="str">
        <f t="shared" si="17"/>
        <v>_Tokens-&gt;Add((String^)GramVals::TOK_FALSE, gcnew Token(GramKeys::TOK_FALSE, EnumTokenCategory::RESERVED,BARE_LABEL, i++));</v>
      </c>
    </row>
    <row r="172" spans="1:19" x14ac:dyDescent="0.25">
      <c r="A172" s="3" t="s">
        <v>1542</v>
      </c>
      <c r="B172" s="5" t="s">
        <v>1119</v>
      </c>
      <c r="C172" s="3" t="s">
        <v>2063</v>
      </c>
      <c r="D172" s="3" t="s">
        <v>881</v>
      </c>
      <c r="F172" t="str">
        <f t="shared" si="12"/>
        <v>FETCH</v>
      </c>
      <c r="G172" t="s">
        <v>3146</v>
      </c>
      <c r="I172" s="3" t="str">
        <f>IF(_xlfn.XLOOKUP(F172,PgSqlRaw!B:B,PgSqlRaw!E:E,"") = "",_xlfn.XLOOKUP(G172,PgSqlRaw!B:B,PgSqlRaw!E:E,""),_xlfn.XLOOKUP(F172,PgSqlRaw!B:B,PgSqlRaw!E:E,""))</f>
        <v>RESERVED</v>
      </c>
      <c r="J172" t="str">
        <f>IF(_xlfn.XLOOKUP(F172,PgSqlRaw!B:B,PgSqlRaw!F:F,"") = "", _xlfn.XLOOKUP(G172,PgSqlRaw!B:B,PgSqlRaw!F:F,""), _xlfn.XLOOKUP(F172,PgSqlRaw!B:B,PgSqlRaw!F:F,""))</f>
        <v>AS_LABEL</v>
      </c>
      <c r="K172" t="str">
        <f t="shared" si="13"/>
        <v>AS_LABEL</v>
      </c>
      <c r="L172" t="str">
        <f>IF(_xlfn.XLOOKUP(F172,PhpReserved!A:A,PhpReserved!B:B,"") = "", _xlfn.XLOOKUP(G172,PhpReserved!A:A,PhpReserved!B:B,""),_xlfn.XLOOKUP(F172,PhpReserved!A:A,PhpReserved!B:B,""))</f>
        <v>RESERVED</v>
      </c>
      <c r="M172" t="str">
        <f>IF(_xlfn.XLOOKUP(F172,PhpFunctions!A:A,PhpFunctions!B:B,"") =  "", _xlfn.XLOOKUP(G172,PhpFunctions!A:A,PhpFunctions!B:B,""), _xlfn.XLOOKUP(F172,PhpFunctions!A:A,PhpFunctions!B:B,""))</f>
        <v/>
      </c>
      <c r="N172" t="str">
        <f>IF(_xlfn.XLOOKUP(F172,PhpParamFunc!A:A,PhpParamFunc!B:B,"") = "", _xlfn.XLOOKUP(G172,PhpParamFunc!A:A,PhpParamFunc!B:B,""), _xlfn.XLOOKUP(F172,PhpParamFunc!A:A,PhpParamFunc!B:B,""))</f>
        <v/>
      </c>
      <c r="O172" t="str">
        <f>IF(_xlfn.XLOOKUP(F172,PhpAggrFunc!A:A,PhpAggrFunc!B:B,"") = "", _xlfn.XLOOKUP(G172,PhpAggrFunc!A:A,PhpAggrFunc!B:B,""), _xlfn.XLOOKUP(F172,PhpAggrFunc!A:A,PhpAggrFunc!B:B,""))</f>
        <v/>
      </c>
      <c r="P172" t="str">
        <f t="shared" si="14"/>
        <v>RESERVED</v>
      </c>
      <c r="Q172" t="str">
        <f t="shared" si="15"/>
        <v>static const String^ TOK_FETCH = "FETCH";</v>
      </c>
      <c r="R172" t="str">
        <f t="shared" si="16"/>
        <v>static const int TOK_FETCH = 499;</v>
      </c>
      <c r="S172" t="str">
        <f t="shared" si="17"/>
        <v>_Tokens-&gt;Add((String^)GramVals::TOK_FETCH, gcnew Token(GramKeys::TOK_FETCH, EnumTokenCategory::RESERVED,AS_LABEL, i++));</v>
      </c>
    </row>
    <row r="173" spans="1:19" x14ac:dyDescent="0.25">
      <c r="A173" s="3" t="s">
        <v>1543</v>
      </c>
      <c r="B173" s="5" t="s">
        <v>1120</v>
      </c>
      <c r="C173" s="3" t="s">
        <v>2064</v>
      </c>
      <c r="D173" s="3" t="s">
        <v>2423</v>
      </c>
      <c r="F173" t="str">
        <f t="shared" si="12"/>
        <v>FILE</v>
      </c>
      <c r="G173" t="s">
        <v>3697</v>
      </c>
      <c r="I173" s="3" t="str">
        <f>IF(_xlfn.XLOOKUP(F173,PgSqlRaw!B:B,PgSqlRaw!E:E,"") = "",_xlfn.XLOOKUP(G173,PgSqlRaw!B:B,PgSqlRaw!E:E,""),_xlfn.XLOOKUP(F173,PgSqlRaw!B:B,PgSqlRaw!E:E,""))</f>
        <v/>
      </c>
      <c r="J173" t="str">
        <f>IF(_xlfn.XLOOKUP(F173,PgSqlRaw!B:B,PgSqlRaw!F:F,"") = "", _xlfn.XLOOKUP(G173,PgSqlRaw!B:B,PgSqlRaw!F:F,""), _xlfn.XLOOKUP(F173,PgSqlRaw!B:B,PgSqlRaw!F:F,""))</f>
        <v/>
      </c>
      <c r="K173" t="str">
        <f t="shared" si="13"/>
        <v>BARE_LABEL</v>
      </c>
      <c r="L173" t="str">
        <f>IF(_xlfn.XLOOKUP(F173,PhpReserved!A:A,PhpReserved!B:B,"") = "", _xlfn.XLOOKUP(G173,PhpReserved!A:A,PhpReserved!B:B,""),_xlfn.XLOOKUP(F173,PhpReserved!A:A,PhpReserved!B:B,""))</f>
        <v/>
      </c>
      <c r="M173" t="str">
        <f>IF(_xlfn.XLOOKUP(F173,PhpFunctions!A:A,PhpFunctions!B:B,"") =  "", _xlfn.XLOOKUP(G173,PhpFunctions!A:A,PhpFunctions!B:B,""), _xlfn.XLOOKUP(F173,PhpFunctions!A:A,PhpFunctions!B:B,""))</f>
        <v/>
      </c>
      <c r="N173" t="str">
        <f>IF(_xlfn.XLOOKUP(F173,PhpParamFunc!A:A,PhpParamFunc!B:B,"") = "", _xlfn.XLOOKUP(G173,PhpParamFunc!A:A,PhpParamFunc!B:B,""), _xlfn.XLOOKUP(F173,PhpParamFunc!A:A,PhpParamFunc!B:B,""))</f>
        <v/>
      </c>
      <c r="O173" t="str">
        <f>IF(_xlfn.XLOOKUP(F173,PhpAggrFunc!A:A,PhpAggrFunc!B:B,"") = "", _xlfn.XLOOKUP(G173,PhpAggrFunc!A:A,PhpAggrFunc!B:B,""), _xlfn.XLOOKUP(F173,PhpAggrFunc!A:A,PhpAggrFunc!B:B,""))</f>
        <v/>
      </c>
      <c r="P173" t="str">
        <f t="shared" si="14"/>
        <v>UNRESERVED</v>
      </c>
      <c r="Q173" t="str">
        <f t="shared" si="15"/>
        <v>static const String^ TOK_FILE = "FILE";</v>
      </c>
      <c r="R173" t="str">
        <f t="shared" si="16"/>
        <v>static const int TOK_FILE = 340;</v>
      </c>
      <c r="S173" t="str">
        <f t="shared" si="17"/>
        <v>// _Tokens-&gt;Add((String^)GramVals::TOK_FILE, gcnew Token(GramKeys::TOK_FILE, EnumTokenCategory::UNRESERVED,BARE_LABEL, i++));</v>
      </c>
    </row>
    <row r="174" spans="1:19" x14ac:dyDescent="0.25">
      <c r="A174" s="3" t="s">
        <v>1544</v>
      </c>
      <c r="B174" s="5" t="s">
        <v>1121</v>
      </c>
      <c r="C174" s="3" t="s">
        <v>2065</v>
      </c>
      <c r="D174" s="3" t="s">
        <v>881</v>
      </c>
      <c r="F174" t="str">
        <f t="shared" si="12"/>
        <v>FILTER</v>
      </c>
      <c r="G174" t="s">
        <v>3401</v>
      </c>
      <c r="I174" s="3" t="str">
        <f>IF(_xlfn.XLOOKUP(F174,PgSqlRaw!B:B,PgSqlRaw!E:E,"") = "",_xlfn.XLOOKUP(G174,PgSqlRaw!B:B,PgSqlRaw!E:E,""),_xlfn.XLOOKUP(F174,PgSqlRaw!B:B,PgSqlRaw!E:E,""))</f>
        <v/>
      </c>
      <c r="J174" t="str">
        <f>IF(_xlfn.XLOOKUP(F174,PgSqlRaw!B:B,PgSqlRaw!F:F,"") = "", _xlfn.XLOOKUP(G174,PgSqlRaw!B:B,PgSqlRaw!F:F,""), _xlfn.XLOOKUP(F174,PgSqlRaw!B:B,PgSqlRaw!F:F,""))</f>
        <v>AS_LABEL</v>
      </c>
      <c r="K174" t="str">
        <f t="shared" si="13"/>
        <v>AS_LABEL</v>
      </c>
      <c r="L174" t="str">
        <f>IF(_xlfn.XLOOKUP(F174,PhpReserved!A:A,PhpReserved!B:B,"") = "", _xlfn.XLOOKUP(G174,PhpReserved!A:A,PhpReserved!B:B,""),_xlfn.XLOOKUP(F174,PhpReserved!A:A,PhpReserved!B:B,""))</f>
        <v/>
      </c>
      <c r="M174" t="str">
        <f>IF(_xlfn.XLOOKUP(F174,PhpFunctions!A:A,PhpFunctions!B:B,"") =  "", _xlfn.XLOOKUP(G174,PhpFunctions!A:A,PhpFunctions!B:B,""), _xlfn.XLOOKUP(F174,PhpFunctions!A:A,PhpFunctions!B:B,""))</f>
        <v/>
      </c>
      <c r="N174" t="str">
        <f>IF(_xlfn.XLOOKUP(F174,PhpParamFunc!A:A,PhpParamFunc!B:B,"") = "", _xlfn.XLOOKUP(G174,PhpParamFunc!A:A,PhpParamFunc!B:B,""), _xlfn.XLOOKUP(F174,PhpParamFunc!A:A,PhpParamFunc!B:B,""))</f>
        <v/>
      </c>
      <c r="O174" t="str">
        <f>IF(_xlfn.XLOOKUP(F174,PhpAggrFunc!A:A,PhpAggrFunc!B:B,"") = "", _xlfn.XLOOKUP(G174,PhpAggrFunc!A:A,PhpAggrFunc!B:B,""), _xlfn.XLOOKUP(F174,PhpAggrFunc!A:A,PhpAggrFunc!B:B,""))</f>
        <v/>
      </c>
      <c r="P174" t="str">
        <f t="shared" si="14"/>
        <v>UNRESERVED</v>
      </c>
      <c r="Q174" t="str">
        <f t="shared" si="15"/>
        <v>static const String^ TOK_FILTER = "FILTER";</v>
      </c>
      <c r="R174" t="str">
        <f t="shared" si="16"/>
        <v>static const int TOK_FILTER = 311;</v>
      </c>
      <c r="S174" t="str">
        <f t="shared" si="17"/>
        <v>// _Tokens-&gt;Add((String^)GramVals::TOK_FILTER, gcnew Token(GramKeys::TOK_FILTER, EnumTokenCategory::UNRESERVED,AS_LABEL, i++));</v>
      </c>
    </row>
    <row r="175" spans="1:19" x14ac:dyDescent="0.25">
      <c r="A175" s="3" t="s">
        <v>1545</v>
      </c>
      <c r="B175" s="5" t="s">
        <v>1122</v>
      </c>
      <c r="C175" s="3" t="s">
        <v>2066</v>
      </c>
      <c r="D175" s="3" t="s">
        <v>2423</v>
      </c>
      <c r="F175" t="str">
        <f t="shared" si="12"/>
        <v>FIRST</v>
      </c>
      <c r="G175" t="s">
        <v>3403</v>
      </c>
      <c r="I175" s="3" t="str">
        <f>IF(_xlfn.XLOOKUP(F175,PgSqlRaw!B:B,PgSqlRaw!E:E,"") = "",_xlfn.XLOOKUP(G175,PgSqlRaw!B:B,PgSqlRaw!E:E,""),_xlfn.XLOOKUP(F175,PgSqlRaw!B:B,PgSqlRaw!E:E,""))</f>
        <v/>
      </c>
      <c r="J175" t="str">
        <f>IF(_xlfn.XLOOKUP(F175,PgSqlRaw!B:B,PgSqlRaw!F:F,"") = "", _xlfn.XLOOKUP(G175,PgSqlRaw!B:B,PgSqlRaw!F:F,""), _xlfn.XLOOKUP(F175,PgSqlRaw!B:B,PgSqlRaw!F:F,""))</f>
        <v>BARE_LABEL</v>
      </c>
      <c r="K175" t="str">
        <f t="shared" si="13"/>
        <v>BARE_LABEL</v>
      </c>
      <c r="L175" t="str">
        <f>IF(_xlfn.XLOOKUP(F175,PhpReserved!A:A,PhpReserved!B:B,"") = "", _xlfn.XLOOKUP(G175,PhpReserved!A:A,PhpReserved!B:B,""),_xlfn.XLOOKUP(F175,PhpReserved!A:A,PhpReserved!B:B,""))</f>
        <v/>
      </c>
      <c r="M175" t="str">
        <f>IF(_xlfn.XLOOKUP(F175,PhpFunctions!A:A,PhpFunctions!B:B,"") =  "", _xlfn.XLOOKUP(G175,PhpFunctions!A:A,PhpFunctions!B:B,""), _xlfn.XLOOKUP(F175,PhpFunctions!A:A,PhpFunctions!B:B,""))</f>
        <v/>
      </c>
      <c r="N175" t="str">
        <f>IF(_xlfn.XLOOKUP(F175,PhpParamFunc!A:A,PhpParamFunc!B:B,"") = "", _xlfn.XLOOKUP(G175,PhpParamFunc!A:A,PhpParamFunc!B:B,""), _xlfn.XLOOKUP(F175,PhpParamFunc!A:A,PhpParamFunc!B:B,""))</f>
        <v/>
      </c>
      <c r="O175" t="str">
        <f>IF(_xlfn.XLOOKUP(F175,PhpAggrFunc!A:A,PhpAggrFunc!B:B,"") = "", _xlfn.XLOOKUP(G175,PhpAggrFunc!A:A,PhpAggrFunc!B:B,""), _xlfn.XLOOKUP(F175,PhpAggrFunc!A:A,PhpAggrFunc!B:B,""))</f>
        <v/>
      </c>
      <c r="P175" t="str">
        <f t="shared" si="14"/>
        <v>UNRESERVED</v>
      </c>
      <c r="Q175" t="str">
        <f t="shared" si="15"/>
        <v>static const String^ TOK_FIRST = "FIRST";</v>
      </c>
      <c r="R175" t="str">
        <f t="shared" si="16"/>
        <v>static const int TOK_FIRST = 475;</v>
      </c>
      <c r="S175" t="str">
        <f t="shared" si="17"/>
        <v>// _Tokens-&gt;Add((String^)GramVals::TOK_FIRST, gcnew Token(GramKeys::TOK_FIRST, EnumTokenCategory::UNRESERVED,BARE_LABEL, i++));</v>
      </c>
    </row>
    <row r="176" spans="1:19" x14ac:dyDescent="0.25">
      <c r="A176" s="3" t="s">
        <v>958</v>
      </c>
      <c r="B176" s="5">
        <v>684</v>
      </c>
      <c r="C176" s="3" t="s">
        <v>2067</v>
      </c>
      <c r="D176" s="3" t="s">
        <v>2423</v>
      </c>
      <c r="F176" t="str">
        <f t="shared" si="12"/>
        <v>FIRST_DAY</v>
      </c>
      <c r="G176" t="s">
        <v>3698</v>
      </c>
      <c r="I176" s="3" t="str">
        <f>IF(_xlfn.XLOOKUP(F176,PgSqlRaw!B:B,PgSqlRaw!E:E,"") = "",_xlfn.XLOOKUP(G176,PgSqlRaw!B:B,PgSqlRaw!E:E,""),_xlfn.XLOOKUP(F176,PgSqlRaw!B:B,PgSqlRaw!E:E,""))</f>
        <v/>
      </c>
      <c r="J176" t="str">
        <f>IF(_xlfn.XLOOKUP(F176,PgSqlRaw!B:B,PgSqlRaw!F:F,"") = "", _xlfn.XLOOKUP(G176,PgSqlRaw!B:B,PgSqlRaw!F:F,""), _xlfn.XLOOKUP(F176,PgSqlRaw!B:B,PgSqlRaw!F:F,""))</f>
        <v/>
      </c>
      <c r="K176" t="str">
        <f t="shared" si="13"/>
        <v>BARE_LABEL</v>
      </c>
      <c r="L176" t="str">
        <f>IF(_xlfn.XLOOKUP(F176,PhpReserved!A:A,PhpReserved!B:B,"") = "", _xlfn.XLOOKUP(G176,PhpReserved!A:A,PhpReserved!B:B,""),_xlfn.XLOOKUP(F176,PhpReserved!A:A,PhpReserved!B:B,""))</f>
        <v/>
      </c>
      <c r="M176" t="str">
        <f>IF(_xlfn.XLOOKUP(F176,PhpFunctions!A:A,PhpFunctions!B:B,"") =  "", _xlfn.XLOOKUP(G176,PhpFunctions!A:A,PhpFunctions!B:B,""), _xlfn.XLOOKUP(F176,PhpFunctions!A:A,PhpFunctions!B:B,""))</f>
        <v/>
      </c>
      <c r="N176" t="str">
        <f>IF(_xlfn.XLOOKUP(F176,PhpParamFunc!A:A,PhpParamFunc!B:B,"") = "", _xlfn.XLOOKUP(G176,PhpParamFunc!A:A,PhpParamFunc!B:B,""), _xlfn.XLOOKUP(F176,PhpParamFunc!A:A,PhpParamFunc!B:B,""))</f>
        <v/>
      </c>
      <c r="O176" t="str">
        <f>IF(_xlfn.XLOOKUP(F176,PhpAggrFunc!A:A,PhpAggrFunc!B:B,"") = "", _xlfn.XLOOKUP(G176,PhpAggrFunc!A:A,PhpAggrFunc!B:B,""), _xlfn.XLOOKUP(F176,PhpAggrFunc!A:A,PhpAggrFunc!B:B,""))</f>
        <v/>
      </c>
      <c r="P176" t="str">
        <f t="shared" si="14"/>
        <v>UNRESERVED</v>
      </c>
      <c r="Q176" t="str">
        <f t="shared" si="15"/>
        <v>static const String^ TOK_FIRST_DAY = "FIRST_DAY";</v>
      </c>
      <c r="R176" t="str">
        <f t="shared" si="16"/>
        <v>static const int TOK_FIRST_DAY = 684;</v>
      </c>
      <c r="S176" t="str">
        <f t="shared" si="17"/>
        <v>// _Tokens-&gt;Add((String^)GramVals::TOK_FIRST_DAY, gcnew Token(GramKeys::TOK_FIRST_DAY, EnumTokenCategory::UNRESERVED,BARE_LABEL, i++));</v>
      </c>
    </row>
    <row r="177" spans="1:19" x14ac:dyDescent="0.25">
      <c r="A177" s="3" t="s">
        <v>1546</v>
      </c>
      <c r="B177" s="5" t="s">
        <v>1123</v>
      </c>
      <c r="C177" s="3" t="s">
        <v>2068</v>
      </c>
      <c r="D177" s="3" t="s">
        <v>2423</v>
      </c>
      <c r="F177" t="str">
        <f t="shared" si="12"/>
        <v>FIRST_VALUE</v>
      </c>
      <c r="G177" t="s">
        <v>3699</v>
      </c>
      <c r="I177" s="3" t="str">
        <f>IF(_xlfn.XLOOKUP(F177,PgSqlRaw!B:B,PgSqlRaw!E:E,"") = "",_xlfn.XLOOKUP(G177,PgSqlRaw!B:B,PgSqlRaw!E:E,""),_xlfn.XLOOKUP(F177,PgSqlRaw!B:B,PgSqlRaw!E:E,""))</f>
        <v/>
      </c>
      <c r="J177" t="str">
        <f>IF(_xlfn.XLOOKUP(F177,PgSqlRaw!B:B,PgSqlRaw!F:F,"") = "", _xlfn.XLOOKUP(G177,PgSqlRaw!B:B,PgSqlRaw!F:F,""), _xlfn.XLOOKUP(F177,PgSqlRaw!B:B,PgSqlRaw!F:F,""))</f>
        <v/>
      </c>
      <c r="K177" t="str">
        <f t="shared" si="13"/>
        <v>BARE_LABEL</v>
      </c>
      <c r="L177" t="str">
        <f>IF(_xlfn.XLOOKUP(F177,PhpReserved!A:A,PhpReserved!B:B,"") = "", _xlfn.XLOOKUP(G177,PhpReserved!A:A,PhpReserved!B:B,""),_xlfn.XLOOKUP(F177,PhpReserved!A:A,PhpReserved!B:B,""))</f>
        <v/>
      </c>
      <c r="M177" t="str">
        <f>IF(_xlfn.XLOOKUP(F177,PhpFunctions!A:A,PhpFunctions!B:B,"") =  "", _xlfn.XLOOKUP(G177,PhpFunctions!A:A,PhpFunctions!B:B,""), _xlfn.XLOOKUP(F177,PhpFunctions!A:A,PhpFunctions!B:B,""))</f>
        <v/>
      </c>
      <c r="N177" t="str">
        <f>IF(_xlfn.XLOOKUP(F177,PhpParamFunc!A:A,PhpParamFunc!B:B,"") = "", _xlfn.XLOOKUP(G177,PhpParamFunc!A:A,PhpParamFunc!B:B,""), _xlfn.XLOOKUP(F177,PhpParamFunc!A:A,PhpParamFunc!B:B,""))</f>
        <v/>
      </c>
      <c r="O177" t="str">
        <f>IF(_xlfn.XLOOKUP(F177,PhpAggrFunc!A:A,PhpAggrFunc!B:B,"") = "", _xlfn.XLOOKUP(G177,PhpAggrFunc!A:A,PhpAggrFunc!B:B,""), _xlfn.XLOOKUP(F177,PhpAggrFunc!A:A,PhpAggrFunc!B:B,""))</f>
        <v/>
      </c>
      <c r="P177" t="str">
        <f t="shared" si="14"/>
        <v>UNRESERVED</v>
      </c>
      <c r="Q177" t="str">
        <f t="shared" si="15"/>
        <v>static const String^ TOK_FIRST_VALUE = "FIRST_VALUE";</v>
      </c>
      <c r="R177" t="str">
        <f t="shared" si="16"/>
        <v>static const int TOK_FIRST_VALUE = 630;</v>
      </c>
      <c r="S177" t="str">
        <f t="shared" si="17"/>
        <v>// _Tokens-&gt;Add((String^)GramVals::TOK_FIRST_VALUE, gcnew Token(GramKeys::TOK_FIRST_VALUE, EnumTokenCategory::UNRESERVED,BARE_LABEL, i++));</v>
      </c>
    </row>
    <row r="178" spans="1:19" x14ac:dyDescent="0.25">
      <c r="A178" s="3" t="s">
        <v>1547</v>
      </c>
      <c r="B178" s="5" t="s">
        <v>1124</v>
      </c>
      <c r="C178" s="3" t="s">
        <v>2069</v>
      </c>
      <c r="D178" s="3" t="s">
        <v>2423</v>
      </c>
      <c r="F178" t="str">
        <f t="shared" si="12"/>
        <v>FIRSTNAME</v>
      </c>
      <c r="G178" t="s">
        <v>3700</v>
      </c>
      <c r="I178" s="3" t="str">
        <f>IF(_xlfn.XLOOKUP(F178,PgSqlRaw!B:B,PgSqlRaw!E:E,"") = "",_xlfn.XLOOKUP(G178,PgSqlRaw!B:B,PgSqlRaw!E:E,""),_xlfn.XLOOKUP(F178,PgSqlRaw!B:B,PgSqlRaw!E:E,""))</f>
        <v/>
      </c>
      <c r="J178" t="str">
        <f>IF(_xlfn.XLOOKUP(F178,PgSqlRaw!B:B,PgSqlRaw!F:F,"") = "", _xlfn.XLOOKUP(G178,PgSqlRaw!B:B,PgSqlRaw!F:F,""), _xlfn.XLOOKUP(F178,PgSqlRaw!B:B,PgSqlRaw!F:F,""))</f>
        <v/>
      </c>
      <c r="K178" t="str">
        <f t="shared" si="13"/>
        <v>BARE_LABEL</v>
      </c>
      <c r="L178" t="str">
        <f>IF(_xlfn.XLOOKUP(F178,PhpReserved!A:A,PhpReserved!B:B,"") = "", _xlfn.XLOOKUP(G178,PhpReserved!A:A,PhpReserved!B:B,""),_xlfn.XLOOKUP(F178,PhpReserved!A:A,PhpReserved!B:B,""))</f>
        <v/>
      </c>
      <c r="M178" t="str">
        <f>IF(_xlfn.XLOOKUP(F178,PhpFunctions!A:A,PhpFunctions!B:B,"") =  "", _xlfn.XLOOKUP(G178,PhpFunctions!A:A,PhpFunctions!B:B,""), _xlfn.XLOOKUP(F178,PhpFunctions!A:A,PhpFunctions!B:B,""))</f>
        <v/>
      </c>
      <c r="N178" t="str">
        <f>IF(_xlfn.XLOOKUP(F178,PhpParamFunc!A:A,PhpParamFunc!B:B,"") = "", _xlfn.XLOOKUP(G178,PhpParamFunc!A:A,PhpParamFunc!B:B,""), _xlfn.XLOOKUP(F178,PhpParamFunc!A:A,PhpParamFunc!B:B,""))</f>
        <v/>
      </c>
      <c r="O178" t="str">
        <f>IF(_xlfn.XLOOKUP(F178,PhpAggrFunc!A:A,PhpAggrFunc!B:B,"") = "", _xlfn.XLOOKUP(G178,PhpAggrFunc!A:A,PhpAggrFunc!B:B,""), _xlfn.XLOOKUP(F178,PhpAggrFunc!A:A,PhpAggrFunc!B:B,""))</f>
        <v/>
      </c>
      <c r="P178" t="str">
        <f t="shared" si="14"/>
        <v>UNRESERVED</v>
      </c>
      <c r="Q178" t="str">
        <f t="shared" si="15"/>
        <v>static const String^ TOK_FIRSTNAME = "FIRSTNAME";</v>
      </c>
      <c r="R178" t="str">
        <f t="shared" si="16"/>
        <v>static const int TOK_FIRSTNAME = 592;</v>
      </c>
      <c r="S178" t="str">
        <f t="shared" si="17"/>
        <v>// _Tokens-&gt;Add((String^)GramVals::TOK_FIRSTNAME, gcnew Token(GramKeys::TOK_FIRSTNAME, EnumTokenCategory::UNRESERVED,BARE_LABEL, i++));</v>
      </c>
    </row>
    <row r="179" spans="1:19" x14ac:dyDescent="0.25">
      <c r="A179" s="3" t="s">
        <v>1548</v>
      </c>
      <c r="B179" s="5" t="s">
        <v>1125</v>
      </c>
      <c r="C179" s="3" t="s">
        <v>2070</v>
      </c>
      <c r="D179" s="3" t="s">
        <v>881</v>
      </c>
      <c r="F179" t="str">
        <f t="shared" si="12"/>
        <v>FLOAT</v>
      </c>
      <c r="G179" t="s">
        <v>3148</v>
      </c>
      <c r="I179" s="3" t="str">
        <f>IF(_xlfn.XLOOKUP(F179,PgSqlRaw!B:B,PgSqlRaw!E:E,"") = "",_xlfn.XLOOKUP(G179,PgSqlRaw!B:B,PgSqlRaw!E:E,""),_xlfn.XLOOKUP(F179,PgSqlRaw!B:B,PgSqlRaw!E:E,""))</f>
        <v>COLNAME_KEYWORD</v>
      </c>
      <c r="J179" t="str">
        <f>IF(_xlfn.XLOOKUP(F179,PgSqlRaw!B:B,PgSqlRaw!F:F,"") = "", _xlfn.XLOOKUP(G179,PgSqlRaw!B:B,PgSqlRaw!F:F,""), _xlfn.XLOOKUP(F179,PgSqlRaw!B:B,PgSqlRaw!F:F,""))</f>
        <v>BARE_LABEL</v>
      </c>
      <c r="K179" t="str">
        <f t="shared" si="13"/>
        <v>BARE_LABEL</v>
      </c>
      <c r="L179" t="str">
        <f>IF(_xlfn.XLOOKUP(F179,PhpReserved!A:A,PhpReserved!B:B,"") = "", _xlfn.XLOOKUP(G179,PhpReserved!A:A,PhpReserved!B:B,""),_xlfn.XLOOKUP(F179,PhpReserved!A:A,PhpReserved!B:B,""))</f>
        <v>RESERVED</v>
      </c>
      <c r="M179" t="str">
        <f>IF(_xlfn.XLOOKUP(F179,PhpFunctions!A:A,PhpFunctions!B:B,"") =  "", _xlfn.XLOOKUP(G179,PhpFunctions!A:A,PhpFunctions!B:B,""), _xlfn.XLOOKUP(F179,PhpFunctions!A:A,PhpFunctions!B:B,""))</f>
        <v/>
      </c>
      <c r="N179" t="str">
        <f>IF(_xlfn.XLOOKUP(F179,PhpParamFunc!A:A,PhpParamFunc!B:B,"") = "", _xlfn.XLOOKUP(G179,PhpParamFunc!A:A,PhpParamFunc!B:B,""), _xlfn.XLOOKUP(F179,PhpParamFunc!A:A,PhpParamFunc!B:B,""))</f>
        <v/>
      </c>
      <c r="O179" t="str">
        <f>IF(_xlfn.XLOOKUP(F179,PhpAggrFunc!A:A,PhpAggrFunc!B:B,"") = "", _xlfn.XLOOKUP(G179,PhpAggrFunc!A:A,PhpAggrFunc!B:B,""), _xlfn.XLOOKUP(F179,PhpAggrFunc!A:A,PhpAggrFunc!B:B,""))</f>
        <v/>
      </c>
      <c r="P179" t="str">
        <f t="shared" si="14"/>
        <v>RESERVED</v>
      </c>
      <c r="Q179" t="str">
        <f t="shared" si="15"/>
        <v>static const String^ TOK_FLOAT = "FLOAT";</v>
      </c>
      <c r="R179" t="str">
        <f t="shared" si="16"/>
        <v>static const int TOK_FLOAT = 341;</v>
      </c>
      <c r="S179" t="str">
        <f t="shared" si="17"/>
        <v>_Tokens-&gt;Add((String^)GramVals::TOK_FLOAT, gcnew Token(GramKeys::TOK_FLOAT, EnumTokenCategory::RESERVED,BARE_LABEL, i++));</v>
      </c>
    </row>
    <row r="180" spans="1:19" x14ac:dyDescent="0.25">
      <c r="A180" s="3" t="s">
        <v>1549</v>
      </c>
      <c r="B180" s="5" t="s">
        <v>1126</v>
      </c>
      <c r="C180" s="3" t="s">
        <v>2071</v>
      </c>
      <c r="D180" s="3" t="s">
        <v>881</v>
      </c>
      <c r="F180" t="str">
        <f t="shared" si="12"/>
        <v>FLOAT_NUMBER</v>
      </c>
      <c r="G180" t="s">
        <v>3701</v>
      </c>
      <c r="I180" s="3" t="str">
        <f>IF(_xlfn.XLOOKUP(F180,PgSqlRaw!B:B,PgSqlRaw!E:E,"") = "",_xlfn.XLOOKUP(G180,PgSqlRaw!B:B,PgSqlRaw!E:E,""),_xlfn.XLOOKUP(F180,PgSqlRaw!B:B,PgSqlRaw!E:E,""))</f>
        <v/>
      </c>
      <c r="J180" t="str">
        <f>IF(_xlfn.XLOOKUP(F180,PgSqlRaw!B:B,PgSqlRaw!F:F,"") = "", _xlfn.XLOOKUP(G180,PgSqlRaw!B:B,PgSqlRaw!F:F,""), _xlfn.XLOOKUP(F180,PgSqlRaw!B:B,PgSqlRaw!F:F,""))</f>
        <v/>
      </c>
      <c r="K180" t="str">
        <f t="shared" si="13"/>
        <v>BARE_LABEL</v>
      </c>
      <c r="L180" t="str">
        <f>IF(_xlfn.XLOOKUP(F180,PhpReserved!A:A,PhpReserved!B:B,"") = "", _xlfn.XLOOKUP(G180,PhpReserved!A:A,PhpReserved!B:B,""),_xlfn.XLOOKUP(F180,PhpReserved!A:A,PhpReserved!B:B,""))</f>
        <v/>
      </c>
      <c r="M180" t="str">
        <f>IF(_xlfn.XLOOKUP(F180,PhpFunctions!A:A,PhpFunctions!B:B,"") =  "", _xlfn.XLOOKUP(G180,PhpFunctions!A:A,PhpFunctions!B:B,""), _xlfn.XLOOKUP(F180,PhpFunctions!A:A,PhpFunctions!B:B,""))</f>
        <v/>
      </c>
      <c r="N180" t="str">
        <f>IF(_xlfn.XLOOKUP(F180,PhpParamFunc!A:A,PhpParamFunc!B:B,"") = "", _xlfn.XLOOKUP(G180,PhpParamFunc!A:A,PhpParamFunc!B:B,""), _xlfn.XLOOKUP(F180,PhpParamFunc!A:A,PhpParamFunc!B:B,""))</f>
        <v/>
      </c>
      <c r="O180" t="str">
        <f>IF(_xlfn.XLOOKUP(F180,PhpAggrFunc!A:A,PhpAggrFunc!B:B,"") = "", _xlfn.XLOOKUP(G180,PhpAggrFunc!A:A,PhpAggrFunc!B:B,""), _xlfn.XLOOKUP(F180,PhpAggrFunc!A:A,PhpAggrFunc!B:B,""))</f>
        <v/>
      </c>
      <c r="P180" t="str">
        <f t="shared" si="14"/>
        <v>UNRESERVED</v>
      </c>
      <c r="Q180" t="str">
        <f t="shared" si="15"/>
        <v>static const String^ TOK_FLOAT_NUMBER = "FLOAT_NUMBER";</v>
      </c>
      <c r="R180" t="str">
        <f t="shared" si="16"/>
        <v>static const int TOK_FLOAT_NUMBER = 440;</v>
      </c>
      <c r="S180" t="str">
        <f t="shared" si="17"/>
        <v>// _Tokens-&gt;Add((String^)GramVals::TOK_FLOAT_NUMBER, gcnew Token(GramKeys::TOK_FLOAT_NUMBER, EnumTokenCategory::UNRESERVED,BARE_LABEL, i++));</v>
      </c>
    </row>
    <row r="181" spans="1:19" x14ac:dyDescent="0.25">
      <c r="A181" s="3" t="s">
        <v>1550</v>
      </c>
      <c r="B181" s="5" t="s">
        <v>1127</v>
      </c>
      <c r="C181" s="3" t="s">
        <v>2072</v>
      </c>
      <c r="D181" s="3" t="s">
        <v>2423</v>
      </c>
      <c r="F181" t="str">
        <f t="shared" si="12"/>
        <v>FLOOR</v>
      </c>
      <c r="G181" t="s">
        <v>2951</v>
      </c>
      <c r="I181" s="3" t="str">
        <f>IF(_xlfn.XLOOKUP(F181,PgSqlRaw!B:B,PgSqlRaw!E:E,"") = "",_xlfn.XLOOKUP(G181,PgSqlRaw!B:B,PgSqlRaw!E:E,""),_xlfn.XLOOKUP(F181,PgSqlRaw!B:B,PgSqlRaw!E:E,""))</f>
        <v/>
      </c>
      <c r="J181" t="str">
        <f>IF(_xlfn.XLOOKUP(F181,PgSqlRaw!B:B,PgSqlRaw!F:F,"") = "", _xlfn.XLOOKUP(G181,PgSqlRaw!B:B,PgSqlRaw!F:F,""), _xlfn.XLOOKUP(F181,PgSqlRaw!B:B,PgSqlRaw!F:F,""))</f>
        <v/>
      </c>
      <c r="K181" t="str">
        <f t="shared" si="13"/>
        <v>BARE_LABEL</v>
      </c>
      <c r="L181" t="str">
        <f>IF(_xlfn.XLOOKUP(F181,PhpReserved!A:A,PhpReserved!B:B,"") = "", _xlfn.XLOOKUP(G181,PhpReserved!A:A,PhpReserved!B:B,""),_xlfn.XLOOKUP(F181,PhpReserved!A:A,PhpReserved!B:B,""))</f>
        <v>RESERVED</v>
      </c>
      <c r="M181" t="str">
        <f>IF(_xlfn.XLOOKUP(F181,PhpFunctions!A:A,PhpFunctions!B:B,"") =  "", _xlfn.XLOOKUP(G181,PhpFunctions!A:A,PhpFunctions!B:B,""), _xlfn.XLOOKUP(F181,PhpFunctions!A:A,PhpFunctions!B:B,""))</f>
        <v>FUNCTION</v>
      </c>
      <c r="N181" t="str">
        <f>IF(_xlfn.XLOOKUP(F181,PhpParamFunc!A:A,PhpParamFunc!B:B,"") = "", _xlfn.XLOOKUP(G181,PhpParamFunc!A:A,PhpParamFunc!B:B,""), _xlfn.XLOOKUP(F181,PhpParamFunc!A:A,PhpParamFunc!B:B,""))</f>
        <v>PARAM_FUNCTION</v>
      </c>
      <c r="O181" t="str">
        <f>IF(_xlfn.XLOOKUP(F181,PhpAggrFunc!A:A,PhpAggrFunc!B:B,"") = "", _xlfn.XLOOKUP(G181,PhpAggrFunc!A:A,PhpAggrFunc!B:B,""), _xlfn.XLOOKUP(F181,PhpAggrFunc!A:A,PhpAggrFunc!B:B,""))</f>
        <v/>
      </c>
      <c r="P181" t="str">
        <f t="shared" si="14"/>
        <v>PARAM_FUNCTION</v>
      </c>
      <c r="Q181" t="str">
        <f t="shared" si="15"/>
        <v>static const String^ TOK_FLOOR = "FLOOR";</v>
      </c>
      <c r="R181" t="str">
        <f t="shared" si="16"/>
        <v>static const int TOK_FLOOR = 549;</v>
      </c>
      <c r="S181" t="str">
        <f t="shared" si="17"/>
        <v>_Tokens-&gt;Add((String^)GramVals::TOK_FLOOR, gcnew Token(GramKeys::TOK_FLOOR, EnumTokenCategory::PARAM_FUNCTION,BARE_LABEL, i++));</v>
      </c>
    </row>
    <row r="182" spans="1:19" x14ac:dyDescent="0.25">
      <c r="A182" s="3" t="s">
        <v>957</v>
      </c>
      <c r="B182" s="5">
        <v>685</v>
      </c>
      <c r="C182" s="3" t="s">
        <v>2073</v>
      </c>
      <c r="D182" s="3" t="s">
        <v>2423</v>
      </c>
      <c r="F182" t="str">
        <f t="shared" si="12"/>
        <v>FOLLOWING</v>
      </c>
      <c r="G182" t="s">
        <v>3404</v>
      </c>
      <c r="I182" s="3" t="str">
        <f>IF(_xlfn.XLOOKUP(F182,PgSqlRaw!B:B,PgSqlRaw!E:E,"") = "",_xlfn.XLOOKUP(G182,PgSqlRaw!B:B,PgSqlRaw!E:E,""),_xlfn.XLOOKUP(F182,PgSqlRaw!B:B,PgSqlRaw!E:E,""))</f>
        <v/>
      </c>
      <c r="J182" t="str">
        <f>IF(_xlfn.XLOOKUP(F182,PgSqlRaw!B:B,PgSqlRaw!F:F,"") = "", _xlfn.XLOOKUP(G182,PgSqlRaw!B:B,PgSqlRaw!F:F,""), _xlfn.XLOOKUP(F182,PgSqlRaw!B:B,PgSqlRaw!F:F,""))</f>
        <v>BARE_LABEL</v>
      </c>
      <c r="K182" t="str">
        <f t="shared" si="13"/>
        <v>BARE_LABEL</v>
      </c>
      <c r="L182" t="str">
        <f>IF(_xlfn.XLOOKUP(F182,PhpReserved!A:A,PhpReserved!B:B,"") = "", _xlfn.XLOOKUP(G182,PhpReserved!A:A,PhpReserved!B:B,""),_xlfn.XLOOKUP(F182,PhpReserved!A:A,PhpReserved!B:B,""))</f>
        <v/>
      </c>
      <c r="M182" t="str">
        <f>IF(_xlfn.XLOOKUP(F182,PhpFunctions!A:A,PhpFunctions!B:B,"") =  "", _xlfn.XLOOKUP(G182,PhpFunctions!A:A,PhpFunctions!B:B,""), _xlfn.XLOOKUP(F182,PhpFunctions!A:A,PhpFunctions!B:B,""))</f>
        <v/>
      </c>
      <c r="N182" t="str">
        <f>IF(_xlfn.XLOOKUP(F182,PhpParamFunc!A:A,PhpParamFunc!B:B,"") = "", _xlfn.XLOOKUP(G182,PhpParamFunc!A:A,PhpParamFunc!B:B,""), _xlfn.XLOOKUP(F182,PhpParamFunc!A:A,PhpParamFunc!B:B,""))</f>
        <v/>
      </c>
      <c r="O182" t="str">
        <f>IF(_xlfn.XLOOKUP(F182,PhpAggrFunc!A:A,PhpAggrFunc!B:B,"") = "", _xlfn.XLOOKUP(G182,PhpAggrFunc!A:A,PhpAggrFunc!B:B,""), _xlfn.XLOOKUP(F182,PhpAggrFunc!A:A,PhpAggrFunc!B:B,""))</f>
        <v/>
      </c>
      <c r="P182" t="str">
        <f t="shared" si="14"/>
        <v>UNRESERVED</v>
      </c>
      <c r="Q182" t="str">
        <f t="shared" si="15"/>
        <v>static const String^ TOK_FOLLOWING = "FOLLOWING";</v>
      </c>
      <c r="R182" t="str">
        <f t="shared" si="16"/>
        <v>static const int TOK_FOLLOWING = 685;</v>
      </c>
      <c r="S182" t="str">
        <f t="shared" si="17"/>
        <v>// _Tokens-&gt;Add((String^)GramVals::TOK_FOLLOWING, gcnew Token(GramKeys::TOK_FOLLOWING, EnumTokenCategory::UNRESERVED,BARE_LABEL, i++));</v>
      </c>
    </row>
    <row r="183" spans="1:19" x14ac:dyDescent="0.25">
      <c r="A183" s="3" t="s">
        <v>1551</v>
      </c>
      <c r="B183" s="5" t="s">
        <v>1128</v>
      </c>
      <c r="C183" s="3" t="s">
        <v>2074</v>
      </c>
      <c r="D183" s="3" t="s">
        <v>881</v>
      </c>
      <c r="F183" t="str">
        <f t="shared" si="12"/>
        <v>FOR</v>
      </c>
      <c r="G183" t="s">
        <v>3149</v>
      </c>
      <c r="I183" s="3" t="str">
        <f>IF(_xlfn.XLOOKUP(F183,PgSqlRaw!B:B,PgSqlRaw!E:E,"") = "",_xlfn.XLOOKUP(G183,PgSqlRaw!B:B,PgSqlRaw!E:E,""),_xlfn.XLOOKUP(F183,PgSqlRaw!B:B,PgSqlRaw!E:E,""))</f>
        <v>RESERVED</v>
      </c>
      <c r="J183" t="str">
        <f>IF(_xlfn.XLOOKUP(F183,PgSqlRaw!B:B,PgSqlRaw!F:F,"") = "", _xlfn.XLOOKUP(G183,PgSqlRaw!B:B,PgSqlRaw!F:F,""), _xlfn.XLOOKUP(F183,PgSqlRaw!B:B,PgSqlRaw!F:F,""))</f>
        <v>AS_LABEL</v>
      </c>
      <c r="K183" t="str">
        <f t="shared" si="13"/>
        <v>AS_LABEL</v>
      </c>
      <c r="L183" t="str">
        <f>IF(_xlfn.XLOOKUP(F183,PhpReserved!A:A,PhpReserved!B:B,"") = "", _xlfn.XLOOKUP(G183,PhpReserved!A:A,PhpReserved!B:B,""),_xlfn.XLOOKUP(F183,PhpReserved!A:A,PhpReserved!B:B,""))</f>
        <v>RESERVED</v>
      </c>
      <c r="M183" t="str">
        <f>IF(_xlfn.XLOOKUP(F183,PhpFunctions!A:A,PhpFunctions!B:B,"") =  "", _xlfn.XLOOKUP(G183,PhpFunctions!A:A,PhpFunctions!B:B,""), _xlfn.XLOOKUP(F183,PhpFunctions!A:A,PhpFunctions!B:B,""))</f>
        <v/>
      </c>
      <c r="N183" t="str">
        <f>IF(_xlfn.XLOOKUP(F183,PhpParamFunc!A:A,PhpParamFunc!B:B,"") = "", _xlfn.XLOOKUP(G183,PhpParamFunc!A:A,PhpParamFunc!B:B,""), _xlfn.XLOOKUP(F183,PhpParamFunc!A:A,PhpParamFunc!B:B,""))</f>
        <v/>
      </c>
      <c r="O183" t="str">
        <f>IF(_xlfn.XLOOKUP(F183,PhpAggrFunc!A:A,PhpAggrFunc!B:B,"") = "", _xlfn.XLOOKUP(G183,PhpAggrFunc!A:A,PhpAggrFunc!B:B,""), _xlfn.XLOOKUP(F183,PhpAggrFunc!A:A,PhpAggrFunc!B:B,""))</f>
        <v/>
      </c>
      <c r="P183" t="str">
        <f t="shared" si="14"/>
        <v>RESERVED</v>
      </c>
      <c r="Q183" t="str">
        <f t="shared" si="15"/>
        <v>static const String^ TOK_FOR = "FOR";</v>
      </c>
      <c r="R183" t="str">
        <f t="shared" si="16"/>
        <v>static const int TOK_FOR = 312;</v>
      </c>
      <c r="S183" t="str">
        <f t="shared" si="17"/>
        <v>_Tokens-&gt;Add((String^)GramVals::TOK_FOR, gcnew Token(GramKeys::TOK_FOR, EnumTokenCategory::RESERVED,AS_LABEL, i++));</v>
      </c>
    </row>
    <row r="184" spans="1:19" x14ac:dyDescent="0.25">
      <c r="A184" s="3" t="s">
        <v>1552</v>
      </c>
      <c r="B184" s="5" t="s">
        <v>1129</v>
      </c>
      <c r="C184" s="3" t="s">
        <v>2075</v>
      </c>
      <c r="D184" s="3" t="s">
        <v>881</v>
      </c>
      <c r="F184" t="str">
        <f t="shared" si="12"/>
        <v>FOREIGN</v>
      </c>
      <c r="G184" t="s">
        <v>3151</v>
      </c>
      <c r="I184" s="3" t="str">
        <f>IF(_xlfn.XLOOKUP(F184,PgSqlRaw!B:B,PgSqlRaw!E:E,"") = "",_xlfn.XLOOKUP(G184,PgSqlRaw!B:B,PgSqlRaw!E:E,""),_xlfn.XLOOKUP(F184,PgSqlRaw!B:B,PgSqlRaw!E:E,""))</f>
        <v>RESERVED</v>
      </c>
      <c r="J184" t="str">
        <f>IF(_xlfn.XLOOKUP(F184,PgSqlRaw!B:B,PgSqlRaw!F:F,"") = "", _xlfn.XLOOKUP(G184,PgSqlRaw!B:B,PgSqlRaw!F:F,""), _xlfn.XLOOKUP(F184,PgSqlRaw!B:B,PgSqlRaw!F:F,""))</f>
        <v>BARE_LABEL</v>
      </c>
      <c r="K184" t="str">
        <f t="shared" si="13"/>
        <v>BARE_LABEL</v>
      </c>
      <c r="L184" t="str">
        <f>IF(_xlfn.XLOOKUP(F184,PhpReserved!A:A,PhpReserved!B:B,"") = "", _xlfn.XLOOKUP(G184,PhpReserved!A:A,PhpReserved!B:B,""),_xlfn.XLOOKUP(F184,PhpReserved!A:A,PhpReserved!B:B,""))</f>
        <v>RESERVED</v>
      </c>
      <c r="M184" t="str">
        <f>IF(_xlfn.XLOOKUP(F184,PhpFunctions!A:A,PhpFunctions!B:B,"") =  "", _xlfn.XLOOKUP(G184,PhpFunctions!A:A,PhpFunctions!B:B,""), _xlfn.XLOOKUP(F184,PhpFunctions!A:A,PhpFunctions!B:B,""))</f>
        <v/>
      </c>
      <c r="N184" t="str">
        <f>IF(_xlfn.XLOOKUP(F184,PhpParamFunc!A:A,PhpParamFunc!B:B,"") = "", _xlfn.XLOOKUP(G184,PhpParamFunc!A:A,PhpParamFunc!B:B,""), _xlfn.XLOOKUP(F184,PhpParamFunc!A:A,PhpParamFunc!B:B,""))</f>
        <v/>
      </c>
      <c r="O184" t="str">
        <f>IF(_xlfn.XLOOKUP(F184,PhpAggrFunc!A:A,PhpAggrFunc!B:B,"") = "", _xlfn.XLOOKUP(G184,PhpAggrFunc!A:A,PhpAggrFunc!B:B,""), _xlfn.XLOOKUP(F184,PhpAggrFunc!A:A,PhpAggrFunc!B:B,""))</f>
        <v/>
      </c>
      <c r="P184" t="str">
        <f t="shared" si="14"/>
        <v>RESERVED</v>
      </c>
      <c r="Q184" t="str">
        <f t="shared" si="15"/>
        <v>static const String^ TOK_FOREIGN = "FOREIGN";</v>
      </c>
      <c r="R184" t="str">
        <f t="shared" si="16"/>
        <v>static const int TOK_FOREIGN = 313;</v>
      </c>
      <c r="S184" t="str">
        <f t="shared" si="17"/>
        <v>_Tokens-&gt;Add((String^)GramVals::TOK_FOREIGN, gcnew Token(GramKeys::TOK_FOREIGN, EnumTokenCategory::RESERVED,BARE_LABEL, i++));</v>
      </c>
    </row>
    <row r="185" spans="1:19" x14ac:dyDescent="0.25">
      <c r="A185" s="3" t="s">
        <v>1553</v>
      </c>
      <c r="B185" s="5" t="s">
        <v>1130</v>
      </c>
      <c r="C185" s="3" t="s">
        <v>2076</v>
      </c>
      <c r="D185" s="3" t="s">
        <v>2423</v>
      </c>
      <c r="F185" t="str">
        <f t="shared" si="12"/>
        <v>FREE_IT</v>
      </c>
      <c r="G185" t="s">
        <v>3702</v>
      </c>
      <c r="I185" s="3" t="str">
        <f>IF(_xlfn.XLOOKUP(F185,PgSqlRaw!B:B,PgSqlRaw!E:E,"") = "",_xlfn.XLOOKUP(G185,PgSqlRaw!B:B,PgSqlRaw!E:E,""),_xlfn.XLOOKUP(F185,PgSqlRaw!B:B,PgSqlRaw!E:E,""))</f>
        <v/>
      </c>
      <c r="J185" t="str">
        <f>IF(_xlfn.XLOOKUP(F185,PgSqlRaw!B:B,PgSqlRaw!F:F,"") = "", _xlfn.XLOOKUP(G185,PgSqlRaw!B:B,PgSqlRaw!F:F,""), _xlfn.XLOOKUP(F185,PgSqlRaw!B:B,PgSqlRaw!F:F,""))</f>
        <v/>
      </c>
      <c r="K185" t="str">
        <f t="shared" si="13"/>
        <v>BARE_LABEL</v>
      </c>
      <c r="L185" t="str">
        <f>IF(_xlfn.XLOOKUP(F185,PhpReserved!A:A,PhpReserved!B:B,"") = "", _xlfn.XLOOKUP(G185,PhpReserved!A:A,PhpReserved!B:B,""),_xlfn.XLOOKUP(F185,PhpReserved!A:A,PhpReserved!B:B,""))</f>
        <v/>
      </c>
      <c r="M185" t="str">
        <f>IF(_xlfn.XLOOKUP(F185,PhpFunctions!A:A,PhpFunctions!B:B,"") =  "", _xlfn.XLOOKUP(G185,PhpFunctions!A:A,PhpFunctions!B:B,""), _xlfn.XLOOKUP(F185,PhpFunctions!A:A,PhpFunctions!B:B,""))</f>
        <v/>
      </c>
      <c r="N185" t="str">
        <f>IF(_xlfn.XLOOKUP(F185,PhpParamFunc!A:A,PhpParamFunc!B:B,"") = "", _xlfn.XLOOKUP(G185,PhpParamFunc!A:A,PhpParamFunc!B:B,""), _xlfn.XLOOKUP(F185,PhpParamFunc!A:A,PhpParamFunc!B:B,""))</f>
        <v/>
      </c>
      <c r="O185" t="str">
        <f>IF(_xlfn.XLOOKUP(F185,PhpAggrFunc!A:A,PhpAggrFunc!B:B,"") = "", _xlfn.XLOOKUP(G185,PhpAggrFunc!A:A,PhpAggrFunc!B:B,""), _xlfn.XLOOKUP(F185,PhpAggrFunc!A:A,PhpAggrFunc!B:B,""))</f>
        <v/>
      </c>
      <c r="P185" t="str">
        <f t="shared" si="14"/>
        <v>UNRESERVED</v>
      </c>
      <c r="Q185" t="str">
        <f t="shared" si="15"/>
        <v>static const String^ TOK_FREE_IT = "FREE_IT";</v>
      </c>
      <c r="R185" t="str">
        <f t="shared" si="16"/>
        <v>static const int TOK_FREE_IT = 448;</v>
      </c>
      <c r="S185" t="str">
        <f t="shared" si="17"/>
        <v>// _Tokens-&gt;Add((String^)GramVals::TOK_FREE_IT, gcnew Token(GramKeys::TOK_FREE_IT, EnumTokenCategory::UNRESERVED,BARE_LABEL, i++));</v>
      </c>
    </row>
    <row r="186" spans="1:19" x14ac:dyDescent="0.25">
      <c r="A186" s="3" t="s">
        <v>1554</v>
      </c>
      <c r="B186" s="5" t="s">
        <v>1131</v>
      </c>
      <c r="C186" s="3" t="s">
        <v>2077</v>
      </c>
      <c r="D186" s="3" t="s">
        <v>881</v>
      </c>
      <c r="F186" t="str">
        <f t="shared" si="12"/>
        <v>FROM</v>
      </c>
      <c r="G186" t="s">
        <v>3154</v>
      </c>
      <c r="I186" s="3" t="str">
        <f>IF(_xlfn.XLOOKUP(F186,PgSqlRaw!B:B,PgSqlRaw!E:E,"") = "",_xlfn.XLOOKUP(G186,PgSqlRaw!B:B,PgSqlRaw!E:E,""),_xlfn.XLOOKUP(F186,PgSqlRaw!B:B,PgSqlRaw!E:E,""))</f>
        <v>RESERVED</v>
      </c>
      <c r="J186" t="str">
        <f>IF(_xlfn.XLOOKUP(F186,PgSqlRaw!B:B,PgSqlRaw!F:F,"") = "", _xlfn.XLOOKUP(G186,PgSqlRaw!B:B,PgSqlRaw!F:F,""), _xlfn.XLOOKUP(F186,PgSqlRaw!B:B,PgSqlRaw!F:F,""))</f>
        <v>AS_LABEL</v>
      </c>
      <c r="K186" t="str">
        <f t="shared" si="13"/>
        <v>AS_LABEL</v>
      </c>
      <c r="L186" t="str">
        <f>IF(_xlfn.XLOOKUP(F186,PhpReserved!A:A,PhpReserved!B:B,"") = "", _xlfn.XLOOKUP(G186,PhpReserved!A:A,PhpReserved!B:B,""),_xlfn.XLOOKUP(F186,PhpReserved!A:A,PhpReserved!B:B,""))</f>
        <v>RESERVED</v>
      </c>
      <c r="M186" t="str">
        <f>IF(_xlfn.XLOOKUP(F186,PhpFunctions!A:A,PhpFunctions!B:B,"") =  "", _xlfn.XLOOKUP(G186,PhpFunctions!A:A,PhpFunctions!B:B,""), _xlfn.XLOOKUP(F186,PhpFunctions!A:A,PhpFunctions!B:B,""))</f>
        <v/>
      </c>
      <c r="N186" t="str">
        <f>IF(_xlfn.XLOOKUP(F186,PhpParamFunc!A:A,PhpParamFunc!B:B,"") = "", _xlfn.XLOOKUP(G186,PhpParamFunc!A:A,PhpParamFunc!B:B,""), _xlfn.XLOOKUP(F186,PhpParamFunc!A:A,PhpParamFunc!B:B,""))</f>
        <v/>
      </c>
      <c r="O186" t="str">
        <f>IF(_xlfn.XLOOKUP(F186,PhpAggrFunc!A:A,PhpAggrFunc!B:B,"") = "", _xlfn.XLOOKUP(G186,PhpAggrFunc!A:A,PhpAggrFunc!B:B,""), _xlfn.XLOOKUP(F186,PhpAggrFunc!A:A,PhpAggrFunc!B:B,""))</f>
        <v/>
      </c>
      <c r="P186" t="str">
        <f t="shared" si="14"/>
        <v>RESERVED</v>
      </c>
      <c r="Q186" t="str">
        <f t="shared" si="15"/>
        <v>static const String^ TOK_FROM = "FROM";</v>
      </c>
      <c r="R186" t="str">
        <f t="shared" si="16"/>
        <v>static const int TOK_FROM = 314;</v>
      </c>
      <c r="S186" t="str">
        <f t="shared" si="17"/>
        <v>_Tokens-&gt;Add((String^)GramVals::TOK_FROM, gcnew Token(GramKeys::TOK_FROM, EnumTokenCategory::RESERVED,AS_LABEL, i++));</v>
      </c>
    </row>
    <row r="187" spans="1:19" x14ac:dyDescent="0.25">
      <c r="A187" s="3" t="s">
        <v>1555</v>
      </c>
      <c r="B187" s="5" t="s">
        <v>1132</v>
      </c>
      <c r="C187" s="3" t="s">
        <v>2078</v>
      </c>
      <c r="D187" s="3" t="s">
        <v>881</v>
      </c>
      <c r="F187" t="str">
        <f t="shared" si="12"/>
        <v>FULL</v>
      </c>
      <c r="G187" t="s">
        <v>3407</v>
      </c>
      <c r="I187" s="3" t="str">
        <f>IF(_xlfn.XLOOKUP(F187,PgSqlRaw!B:B,PgSqlRaw!E:E,"") = "",_xlfn.XLOOKUP(G187,PgSqlRaw!B:B,PgSqlRaw!E:E,""),_xlfn.XLOOKUP(F187,PgSqlRaw!B:B,PgSqlRaw!E:E,""))</f>
        <v>FUNCTION</v>
      </c>
      <c r="J187" t="str">
        <f>IF(_xlfn.XLOOKUP(F187,PgSqlRaw!B:B,PgSqlRaw!F:F,"") = "", _xlfn.XLOOKUP(G187,PgSqlRaw!B:B,PgSqlRaw!F:F,""), _xlfn.XLOOKUP(F187,PgSqlRaw!B:B,PgSqlRaw!F:F,""))</f>
        <v>BARE_LABEL</v>
      </c>
      <c r="K187" t="str">
        <f t="shared" si="13"/>
        <v>BARE_LABEL</v>
      </c>
      <c r="L187" t="str">
        <f>IF(_xlfn.XLOOKUP(F187,PhpReserved!A:A,PhpReserved!B:B,"") = "", _xlfn.XLOOKUP(G187,PhpReserved!A:A,PhpReserved!B:B,""),_xlfn.XLOOKUP(F187,PhpReserved!A:A,PhpReserved!B:B,""))</f>
        <v/>
      </c>
      <c r="M187" t="str">
        <f>IF(_xlfn.XLOOKUP(F187,PhpFunctions!A:A,PhpFunctions!B:B,"") =  "", _xlfn.XLOOKUP(G187,PhpFunctions!A:A,PhpFunctions!B:B,""), _xlfn.XLOOKUP(F187,PhpFunctions!A:A,PhpFunctions!B:B,""))</f>
        <v/>
      </c>
      <c r="N187" t="str">
        <f>IF(_xlfn.XLOOKUP(F187,PhpParamFunc!A:A,PhpParamFunc!B:B,"") = "", _xlfn.XLOOKUP(G187,PhpParamFunc!A:A,PhpParamFunc!B:B,""), _xlfn.XLOOKUP(F187,PhpParamFunc!A:A,PhpParamFunc!B:B,""))</f>
        <v/>
      </c>
      <c r="O187" t="str">
        <f>IF(_xlfn.XLOOKUP(F187,PhpAggrFunc!A:A,PhpAggrFunc!B:B,"") = "", _xlfn.XLOOKUP(G187,PhpAggrFunc!A:A,PhpAggrFunc!B:B,""), _xlfn.XLOOKUP(F187,PhpAggrFunc!A:A,PhpAggrFunc!B:B,""))</f>
        <v/>
      </c>
      <c r="P187" t="str">
        <f t="shared" si="14"/>
        <v>FUNCTION</v>
      </c>
      <c r="Q187" t="str">
        <f t="shared" si="15"/>
        <v>static const String^ TOK_FULL = "FULL";</v>
      </c>
      <c r="R187" t="str">
        <f t="shared" si="16"/>
        <v>static const int TOK_FULL = 315;</v>
      </c>
      <c r="S187" t="str">
        <f t="shared" si="17"/>
        <v>_Tokens-&gt;Add((String^)GramVals::TOK_FULL, gcnew Token(GramKeys::TOK_FULL, EnumTokenCategory::FUNCTION,BARE_LABEL, i++));</v>
      </c>
    </row>
    <row r="188" spans="1:19" x14ac:dyDescent="0.25">
      <c r="A188" s="3" t="s">
        <v>1556</v>
      </c>
      <c r="B188" s="5" t="s">
        <v>1133</v>
      </c>
      <c r="C188" s="3" t="s">
        <v>2079</v>
      </c>
      <c r="D188" s="3" t="s">
        <v>881</v>
      </c>
      <c r="F188" t="str">
        <f t="shared" si="12"/>
        <v>FUNCTION</v>
      </c>
      <c r="G188" t="s">
        <v>3303</v>
      </c>
      <c r="I188" s="3" t="str">
        <f>IF(_xlfn.XLOOKUP(F188,PgSqlRaw!B:B,PgSqlRaw!E:E,"") = "",_xlfn.XLOOKUP(G188,PgSqlRaw!B:B,PgSqlRaw!E:E,""),_xlfn.XLOOKUP(F188,PgSqlRaw!B:B,PgSqlRaw!E:E,""))</f>
        <v/>
      </c>
      <c r="J188" t="str">
        <f>IF(_xlfn.XLOOKUP(F188,PgSqlRaw!B:B,PgSqlRaw!F:F,"") = "", _xlfn.XLOOKUP(G188,PgSqlRaw!B:B,PgSqlRaw!F:F,""), _xlfn.XLOOKUP(F188,PgSqlRaw!B:B,PgSqlRaw!F:F,""))</f>
        <v>BARE_LABEL</v>
      </c>
      <c r="K188" t="str">
        <f t="shared" si="13"/>
        <v>BARE_LABEL</v>
      </c>
      <c r="L188" t="str">
        <f>IF(_xlfn.XLOOKUP(F188,PhpReserved!A:A,PhpReserved!B:B,"") = "", _xlfn.XLOOKUP(G188,PhpReserved!A:A,PhpReserved!B:B,""),_xlfn.XLOOKUP(F188,PhpReserved!A:A,PhpReserved!B:B,""))</f>
        <v/>
      </c>
      <c r="M188" t="str">
        <f>IF(_xlfn.XLOOKUP(F188,PhpFunctions!A:A,PhpFunctions!B:B,"") =  "", _xlfn.XLOOKUP(G188,PhpFunctions!A:A,PhpFunctions!B:B,""), _xlfn.XLOOKUP(F188,PhpFunctions!A:A,PhpFunctions!B:B,""))</f>
        <v/>
      </c>
      <c r="N188" t="str">
        <f>IF(_xlfn.XLOOKUP(F188,PhpParamFunc!A:A,PhpParamFunc!B:B,"") = "", _xlfn.XLOOKUP(G188,PhpParamFunc!A:A,PhpParamFunc!B:B,""), _xlfn.XLOOKUP(F188,PhpParamFunc!A:A,PhpParamFunc!B:B,""))</f>
        <v/>
      </c>
      <c r="O188" t="str">
        <f>IF(_xlfn.XLOOKUP(F188,PhpAggrFunc!A:A,PhpAggrFunc!B:B,"") = "", _xlfn.XLOOKUP(G188,PhpAggrFunc!A:A,PhpAggrFunc!B:B,""), _xlfn.XLOOKUP(F188,PhpAggrFunc!A:A,PhpAggrFunc!B:B,""))</f>
        <v/>
      </c>
      <c r="P188" t="str">
        <f t="shared" si="14"/>
        <v>UNRESERVED</v>
      </c>
      <c r="Q188" t="str">
        <f t="shared" si="15"/>
        <v>static const String^ TOK_FUNCTION = "FUNCTION";</v>
      </c>
      <c r="R188" t="str">
        <f t="shared" si="16"/>
        <v>static const int TOK_FUNCTION = 316;</v>
      </c>
      <c r="S188" t="str">
        <f t="shared" si="17"/>
        <v>// _Tokens-&gt;Add((String^)GramVals::TOK_FUNCTION, gcnew Token(GramKeys::TOK_FUNCTION, EnumTokenCategory::UNRESERVED,BARE_LABEL, i++));</v>
      </c>
    </row>
    <row r="189" spans="1:19" x14ac:dyDescent="0.25">
      <c r="A189" s="3" t="s">
        <v>1557</v>
      </c>
      <c r="B189" s="5" t="s">
        <v>1134</v>
      </c>
      <c r="C189" s="3" t="s">
        <v>2080</v>
      </c>
      <c r="D189" s="3" t="s">
        <v>881</v>
      </c>
      <c r="F189" t="str">
        <f t="shared" si="12"/>
        <v>GDSCODE</v>
      </c>
      <c r="G189" t="s">
        <v>3703</v>
      </c>
      <c r="I189" s="3" t="str">
        <f>IF(_xlfn.XLOOKUP(F189,PgSqlRaw!B:B,PgSqlRaw!E:E,"") = "",_xlfn.XLOOKUP(G189,PgSqlRaw!B:B,PgSqlRaw!E:E,""),_xlfn.XLOOKUP(F189,PgSqlRaw!B:B,PgSqlRaw!E:E,""))</f>
        <v/>
      </c>
      <c r="J189" t="str">
        <f>IF(_xlfn.XLOOKUP(F189,PgSqlRaw!B:B,PgSqlRaw!F:F,"") = "", _xlfn.XLOOKUP(G189,PgSqlRaw!B:B,PgSqlRaw!F:F,""), _xlfn.XLOOKUP(F189,PgSqlRaw!B:B,PgSqlRaw!F:F,""))</f>
        <v/>
      </c>
      <c r="K189" t="str">
        <f t="shared" si="13"/>
        <v>BARE_LABEL</v>
      </c>
      <c r="L189" t="str">
        <f>IF(_xlfn.XLOOKUP(F189,PhpReserved!A:A,PhpReserved!B:B,"") = "", _xlfn.XLOOKUP(G189,PhpReserved!A:A,PhpReserved!B:B,""),_xlfn.XLOOKUP(F189,PhpReserved!A:A,PhpReserved!B:B,""))</f>
        <v/>
      </c>
      <c r="M189" t="str">
        <f>IF(_xlfn.XLOOKUP(F189,PhpFunctions!A:A,PhpFunctions!B:B,"") =  "", _xlfn.XLOOKUP(G189,PhpFunctions!A:A,PhpFunctions!B:B,""), _xlfn.XLOOKUP(F189,PhpFunctions!A:A,PhpFunctions!B:B,""))</f>
        <v/>
      </c>
      <c r="N189" t="str">
        <f>IF(_xlfn.XLOOKUP(F189,PhpParamFunc!A:A,PhpParamFunc!B:B,"") = "", _xlfn.XLOOKUP(G189,PhpParamFunc!A:A,PhpParamFunc!B:B,""), _xlfn.XLOOKUP(F189,PhpParamFunc!A:A,PhpParamFunc!B:B,""))</f>
        <v/>
      </c>
      <c r="O189" t="str">
        <f>IF(_xlfn.XLOOKUP(F189,PhpAggrFunc!A:A,PhpAggrFunc!B:B,"") = "", _xlfn.XLOOKUP(G189,PhpAggrFunc!A:A,PhpAggrFunc!B:B,""), _xlfn.XLOOKUP(F189,PhpAggrFunc!A:A,PhpAggrFunc!B:B,""))</f>
        <v/>
      </c>
      <c r="P189" t="str">
        <f t="shared" si="14"/>
        <v>UNRESERVED</v>
      </c>
      <c r="Q189" t="str">
        <f t="shared" si="15"/>
        <v>static const String^ TOK_GDSCODE = "GDSCODE";</v>
      </c>
      <c r="R189" t="str">
        <f t="shared" si="16"/>
        <v>static const int TOK_GDSCODE = 317;</v>
      </c>
      <c r="S189" t="str">
        <f t="shared" si="17"/>
        <v>// _Tokens-&gt;Add((String^)GramVals::TOK_GDSCODE, gcnew Token(GramKeys::TOK_GDSCODE, EnumTokenCategory::UNRESERVED,BARE_LABEL, i++));</v>
      </c>
    </row>
    <row r="190" spans="1:19" x14ac:dyDescent="0.25">
      <c r="A190" s="3" t="s">
        <v>1558</v>
      </c>
      <c r="B190" s="5" t="s">
        <v>1135</v>
      </c>
      <c r="C190" s="3" t="s">
        <v>2081</v>
      </c>
      <c r="D190" s="3" t="s">
        <v>2423</v>
      </c>
      <c r="E190" s="3" t="s">
        <v>3308</v>
      </c>
      <c r="F190" t="str">
        <f t="shared" si="12"/>
        <v>GEN_ID</v>
      </c>
      <c r="G190" t="s">
        <v>3704</v>
      </c>
      <c r="I190" s="3" t="str">
        <f>IF(_xlfn.XLOOKUP(F190,PgSqlRaw!B:B,PgSqlRaw!E:E,"") = "",_xlfn.XLOOKUP(G190,PgSqlRaw!B:B,PgSqlRaw!E:E,""),_xlfn.XLOOKUP(F190,PgSqlRaw!B:B,PgSqlRaw!E:E,""))</f>
        <v/>
      </c>
      <c r="J190" t="str">
        <f>IF(_xlfn.XLOOKUP(F190,PgSqlRaw!B:B,PgSqlRaw!F:F,"") = "", _xlfn.XLOOKUP(G190,PgSqlRaw!B:B,PgSqlRaw!F:F,""), _xlfn.XLOOKUP(F190,PgSqlRaw!B:B,PgSqlRaw!F:F,""))</f>
        <v/>
      </c>
      <c r="K190" t="str">
        <f t="shared" si="13"/>
        <v>BARE_LABEL</v>
      </c>
      <c r="L190" t="str">
        <f>IF(_xlfn.XLOOKUP(F190,PhpReserved!A:A,PhpReserved!B:B,"") = "", _xlfn.XLOOKUP(G190,PhpReserved!A:A,PhpReserved!B:B,""),_xlfn.XLOOKUP(F190,PhpReserved!A:A,PhpReserved!B:B,""))</f>
        <v/>
      </c>
      <c r="M190" t="str">
        <f>IF(_xlfn.XLOOKUP(F190,PhpFunctions!A:A,PhpFunctions!B:B,"") =  "", _xlfn.XLOOKUP(G190,PhpFunctions!A:A,PhpFunctions!B:B,""), _xlfn.XLOOKUP(F190,PhpFunctions!A:A,PhpFunctions!B:B,""))</f>
        <v/>
      </c>
      <c r="N190" t="str">
        <f>IF(_xlfn.XLOOKUP(F190,PhpParamFunc!A:A,PhpParamFunc!B:B,"") = "", _xlfn.XLOOKUP(G190,PhpParamFunc!A:A,PhpParamFunc!B:B,""), _xlfn.XLOOKUP(F190,PhpParamFunc!A:A,PhpParamFunc!B:B,""))</f>
        <v/>
      </c>
      <c r="O190" t="str">
        <f>IF(_xlfn.XLOOKUP(F190,PhpAggrFunc!A:A,PhpAggrFunc!B:B,"") = "", _xlfn.XLOOKUP(G190,PhpAggrFunc!A:A,PhpAggrFunc!B:B,""), _xlfn.XLOOKUP(F190,PhpAggrFunc!A:A,PhpAggrFunc!B:B,""))</f>
        <v/>
      </c>
      <c r="P190" t="str">
        <f t="shared" si="14"/>
        <v>PARAM_FUNCTION</v>
      </c>
      <c r="Q190" t="str">
        <f t="shared" si="15"/>
        <v>static const String^ TOK_GEN_ID = "GEN_ID";</v>
      </c>
      <c r="R190" t="str">
        <f t="shared" si="16"/>
        <v>static const int TOK_GEN_ID = 320;</v>
      </c>
      <c r="S190" t="str">
        <f t="shared" si="17"/>
        <v>_Tokens-&gt;Add((String^)GramVals::TOK_GEN_ID, gcnew Token(GramKeys::TOK_GEN_ID, EnumTokenCategory::PARAM_FUNCTION,BARE_LABEL, i++));</v>
      </c>
    </row>
    <row r="191" spans="1:19" x14ac:dyDescent="0.25">
      <c r="A191" s="3" t="s">
        <v>1559</v>
      </c>
      <c r="B191" s="5" t="s">
        <v>1136</v>
      </c>
      <c r="C191" s="3" t="s">
        <v>2082</v>
      </c>
      <c r="D191" s="3" t="s">
        <v>2423</v>
      </c>
      <c r="F191" t="str">
        <f t="shared" si="12"/>
        <v>GEN_UUID</v>
      </c>
      <c r="G191" t="s">
        <v>3705</v>
      </c>
      <c r="I191" s="3" t="str">
        <f>IF(_xlfn.XLOOKUP(F191,PgSqlRaw!B:B,PgSqlRaw!E:E,"") = "",_xlfn.XLOOKUP(G191,PgSqlRaw!B:B,PgSqlRaw!E:E,""),_xlfn.XLOOKUP(F191,PgSqlRaw!B:B,PgSqlRaw!E:E,""))</f>
        <v/>
      </c>
      <c r="J191" t="str">
        <f>IF(_xlfn.XLOOKUP(F191,PgSqlRaw!B:B,PgSqlRaw!F:F,"") = "", _xlfn.XLOOKUP(G191,PgSqlRaw!B:B,PgSqlRaw!F:F,""), _xlfn.XLOOKUP(F191,PgSqlRaw!B:B,PgSqlRaw!F:F,""))</f>
        <v/>
      </c>
      <c r="K191" t="str">
        <f t="shared" si="13"/>
        <v>BARE_LABEL</v>
      </c>
      <c r="L191" t="str">
        <f>IF(_xlfn.XLOOKUP(F191,PhpReserved!A:A,PhpReserved!B:B,"") = "", _xlfn.XLOOKUP(G191,PhpReserved!A:A,PhpReserved!B:B,""),_xlfn.XLOOKUP(F191,PhpReserved!A:A,PhpReserved!B:B,""))</f>
        <v/>
      </c>
      <c r="M191" t="str">
        <f>IF(_xlfn.XLOOKUP(F191,PhpFunctions!A:A,PhpFunctions!B:B,"") =  "", _xlfn.XLOOKUP(G191,PhpFunctions!A:A,PhpFunctions!B:B,""), _xlfn.XLOOKUP(F191,PhpFunctions!A:A,PhpFunctions!B:B,""))</f>
        <v/>
      </c>
      <c r="N191" t="str">
        <f>IF(_xlfn.XLOOKUP(F191,PhpParamFunc!A:A,PhpParamFunc!B:B,"") = "", _xlfn.XLOOKUP(G191,PhpParamFunc!A:A,PhpParamFunc!B:B,""), _xlfn.XLOOKUP(F191,PhpParamFunc!A:A,PhpParamFunc!B:B,""))</f>
        <v/>
      </c>
      <c r="O191" t="str">
        <f>IF(_xlfn.XLOOKUP(F191,PhpAggrFunc!A:A,PhpAggrFunc!B:B,"") = "", _xlfn.XLOOKUP(G191,PhpAggrFunc!A:A,PhpAggrFunc!B:B,""), _xlfn.XLOOKUP(F191,PhpAggrFunc!A:A,PhpAggrFunc!B:B,""))</f>
        <v/>
      </c>
      <c r="P191" t="str">
        <f t="shared" si="14"/>
        <v>UNRESERVED</v>
      </c>
      <c r="Q191" t="str">
        <f t="shared" si="15"/>
        <v>static const String^ TOK_GEN_UUID = "GEN_UUID";</v>
      </c>
      <c r="R191" t="str">
        <f t="shared" si="16"/>
        <v>static const int TOK_GEN_UUID = 550;</v>
      </c>
      <c r="S191" t="str">
        <f t="shared" si="17"/>
        <v>// _Tokens-&gt;Add((String^)GramVals::TOK_GEN_UUID, gcnew Token(GramKeys::TOK_GEN_UUID, EnumTokenCategory::UNRESERVED,BARE_LABEL, i++));</v>
      </c>
    </row>
    <row r="192" spans="1:19" x14ac:dyDescent="0.25">
      <c r="A192" s="3" t="s">
        <v>1560</v>
      </c>
      <c r="B192" s="5" t="s">
        <v>1137</v>
      </c>
      <c r="C192" s="3" t="s">
        <v>2083</v>
      </c>
      <c r="D192" s="3" t="s">
        <v>2423</v>
      </c>
      <c r="F192" t="str">
        <f t="shared" si="12"/>
        <v>GENERATED</v>
      </c>
      <c r="G192" t="s">
        <v>3409</v>
      </c>
      <c r="I192" s="3" t="str">
        <f>IF(_xlfn.XLOOKUP(F192,PgSqlRaw!B:B,PgSqlRaw!E:E,"") = "",_xlfn.XLOOKUP(G192,PgSqlRaw!B:B,PgSqlRaw!E:E,""),_xlfn.XLOOKUP(F192,PgSqlRaw!B:B,PgSqlRaw!E:E,""))</f>
        <v/>
      </c>
      <c r="J192" t="str">
        <f>IF(_xlfn.XLOOKUP(F192,PgSqlRaw!B:B,PgSqlRaw!F:F,"") = "", _xlfn.XLOOKUP(G192,PgSqlRaw!B:B,PgSqlRaw!F:F,""), _xlfn.XLOOKUP(F192,PgSqlRaw!B:B,PgSqlRaw!F:F,""))</f>
        <v>BARE_LABEL</v>
      </c>
      <c r="K192" t="str">
        <f t="shared" si="13"/>
        <v>BARE_LABEL</v>
      </c>
      <c r="L192" t="str">
        <f>IF(_xlfn.XLOOKUP(F192,PhpReserved!A:A,PhpReserved!B:B,"") = "", _xlfn.XLOOKUP(G192,PhpReserved!A:A,PhpReserved!B:B,""),_xlfn.XLOOKUP(F192,PhpReserved!A:A,PhpReserved!B:B,""))</f>
        <v/>
      </c>
      <c r="M192" t="str">
        <f>IF(_xlfn.XLOOKUP(F192,PhpFunctions!A:A,PhpFunctions!B:B,"") =  "", _xlfn.XLOOKUP(G192,PhpFunctions!A:A,PhpFunctions!B:B,""), _xlfn.XLOOKUP(F192,PhpFunctions!A:A,PhpFunctions!B:B,""))</f>
        <v/>
      </c>
      <c r="N192" t="str">
        <f>IF(_xlfn.XLOOKUP(F192,PhpParamFunc!A:A,PhpParamFunc!B:B,"") = "", _xlfn.XLOOKUP(G192,PhpParamFunc!A:A,PhpParamFunc!B:B,""), _xlfn.XLOOKUP(F192,PhpParamFunc!A:A,PhpParamFunc!B:B,""))</f>
        <v/>
      </c>
      <c r="O192" t="str">
        <f>IF(_xlfn.XLOOKUP(F192,PhpAggrFunc!A:A,PhpAggrFunc!B:B,"") = "", _xlfn.XLOOKUP(G192,PhpAggrFunc!A:A,PhpAggrFunc!B:B,""), _xlfn.XLOOKUP(F192,PhpAggrFunc!A:A,PhpAggrFunc!B:B,""))</f>
        <v/>
      </c>
      <c r="P192" t="str">
        <f t="shared" si="14"/>
        <v>UNRESERVED</v>
      </c>
      <c r="Q192" t="str">
        <f t="shared" si="15"/>
        <v>static const String^ TOK_GENERATED = "GENERATED";</v>
      </c>
      <c r="R192" t="str">
        <f t="shared" si="16"/>
        <v>static const int TOK_GENERATED = 551;</v>
      </c>
      <c r="S192" t="str">
        <f t="shared" si="17"/>
        <v>// _Tokens-&gt;Add((String^)GramVals::TOK_GENERATED, gcnew Token(GramKeys::TOK_GENERATED, EnumTokenCategory::UNRESERVED,BARE_LABEL, i++));</v>
      </c>
    </row>
    <row r="193" spans="1:19" x14ac:dyDescent="0.25">
      <c r="A193" s="3" t="s">
        <v>1561</v>
      </c>
      <c r="B193" s="5" t="s">
        <v>1138</v>
      </c>
      <c r="C193" s="3" t="s">
        <v>2084</v>
      </c>
      <c r="D193" s="3" t="s">
        <v>2423</v>
      </c>
      <c r="F193" t="str">
        <f t="shared" si="12"/>
        <v>GENERATOR</v>
      </c>
      <c r="G193" t="s">
        <v>3706</v>
      </c>
      <c r="I193" s="3" t="str">
        <f>IF(_xlfn.XLOOKUP(F193,PgSqlRaw!B:B,PgSqlRaw!E:E,"") = "",_xlfn.XLOOKUP(G193,PgSqlRaw!B:B,PgSqlRaw!E:E,""),_xlfn.XLOOKUP(F193,PgSqlRaw!B:B,PgSqlRaw!E:E,""))</f>
        <v/>
      </c>
      <c r="J193" t="str">
        <f>IF(_xlfn.XLOOKUP(F193,PgSqlRaw!B:B,PgSqlRaw!F:F,"") = "", _xlfn.XLOOKUP(G193,PgSqlRaw!B:B,PgSqlRaw!F:F,""), _xlfn.XLOOKUP(F193,PgSqlRaw!B:B,PgSqlRaw!F:F,""))</f>
        <v/>
      </c>
      <c r="K193" t="str">
        <f t="shared" si="13"/>
        <v>BARE_LABEL</v>
      </c>
      <c r="L193" t="str">
        <f>IF(_xlfn.XLOOKUP(F193,PhpReserved!A:A,PhpReserved!B:B,"") = "", _xlfn.XLOOKUP(G193,PhpReserved!A:A,PhpReserved!B:B,""),_xlfn.XLOOKUP(F193,PhpReserved!A:A,PhpReserved!B:B,""))</f>
        <v/>
      </c>
      <c r="M193" t="str">
        <f>IF(_xlfn.XLOOKUP(F193,PhpFunctions!A:A,PhpFunctions!B:B,"") =  "", _xlfn.XLOOKUP(G193,PhpFunctions!A:A,PhpFunctions!B:B,""), _xlfn.XLOOKUP(F193,PhpFunctions!A:A,PhpFunctions!B:B,""))</f>
        <v/>
      </c>
      <c r="N193" t="str">
        <f>IF(_xlfn.XLOOKUP(F193,PhpParamFunc!A:A,PhpParamFunc!B:B,"") = "", _xlfn.XLOOKUP(G193,PhpParamFunc!A:A,PhpParamFunc!B:B,""), _xlfn.XLOOKUP(F193,PhpParamFunc!A:A,PhpParamFunc!B:B,""))</f>
        <v/>
      </c>
      <c r="O193" t="str">
        <f>IF(_xlfn.XLOOKUP(F193,PhpAggrFunc!A:A,PhpAggrFunc!B:B,"") = "", _xlfn.XLOOKUP(G193,PhpAggrFunc!A:A,PhpAggrFunc!B:B,""), _xlfn.XLOOKUP(F193,PhpAggrFunc!A:A,PhpAggrFunc!B:B,""))</f>
        <v/>
      </c>
      <c r="P193" t="str">
        <f t="shared" si="14"/>
        <v>UNRESERVED</v>
      </c>
      <c r="Q193" t="str">
        <f t="shared" si="15"/>
        <v>static const String^ TOK_GENERATOR = "GENERATOR";</v>
      </c>
      <c r="R193" t="str">
        <f t="shared" si="16"/>
        <v>static const int TOK_GENERATOR = 319;</v>
      </c>
      <c r="S193" t="str">
        <f t="shared" si="17"/>
        <v>// _Tokens-&gt;Add((String^)GramVals::TOK_GENERATOR, gcnew Token(GramKeys::TOK_GENERATOR, EnumTokenCategory::UNRESERVED,BARE_LABEL, i++));</v>
      </c>
    </row>
    <row r="194" spans="1:19" x14ac:dyDescent="0.25">
      <c r="A194" s="3" t="s">
        <v>1562</v>
      </c>
      <c r="B194" s="5" t="s">
        <v>1139</v>
      </c>
      <c r="C194" s="3" t="s">
        <v>2085</v>
      </c>
      <c r="D194" s="3" t="s">
        <v>881</v>
      </c>
      <c r="E194" s="3" t="s">
        <v>3484</v>
      </c>
      <c r="F194" t="str">
        <f t="shared" si="12"/>
        <v>GEQ</v>
      </c>
      <c r="G194" t="s">
        <v>3707</v>
      </c>
      <c r="I194" s="3" t="str">
        <f>IF(_xlfn.XLOOKUP(F194,PgSqlRaw!B:B,PgSqlRaw!E:E,"") = "",_xlfn.XLOOKUP(G194,PgSqlRaw!B:B,PgSqlRaw!E:E,""),_xlfn.XLOOKUP(F194,PgSqlRaw!B:B,PgSqlRaw!E:E,""))</f>
        <v/>
      </c>
      <c r="J194" t="str">
        <f>IF(_xlfn.XLOOKUP(F194,PgSqlRaw!B:B,PgSqlRaw!F:F,"") = "", _xlfn.XLOOKUP(G194,PgSqlRaw!B:B,PgSqlRaw!F:F,""), _xlfn.XLOOKUP(F194,PgSqlRaw!B:B,PgSqlRaw!F:F,""))</f>
        <v/>
      </c>
      <c r="K194" t="str">
        <f t="shared" si="13"/>
        <v>BARE_LABEL</v>
      </c>
      <c r="L194" t="str">
        <f>IF(_xlfn.XLOOKUP(F194,PhpReserved!A:A,PhpReserved!B:B,"") = "", _xlfn.XLOOKUP(G194,PhpReserved!A:A,PhpReserved!B:B,""),_xlfn.XLOOKUP(F194,PhpReserved!A:A,PhpReserved!B:B,""))</f>
        <v/>
      </c>
      <c r="M194" t="str">
        <f>IF(_xlfn.XLOOKUP(F194,PhpFunctions!A:A,PhpFunctions!B:B,"") =  "", _xlfn.XLOOKUP(G194,PhpFunctions!A:A,PhpFunctions!B:B,""), _xlfn.XLOOKUP(F194,PhpFunctions!A:A,PhpFunctions!B:B,""))</f>
        <v/>
      </c>
      <c r="N194" t="str">
        <f>IF(_xlfn.XLOOKUP(F194,PhpParamFunc!A:A,PhpParamFunc!B:B,"") = "", _xlfn.XLOOKUP(G194,PhpParamFunc!A:A,PhpParamFunc!B:B,""), _xlfn.XLOOKUP(F194,PhpParamFunc!A:A,PhpParamFunc!B:B,""))</f>
        <v/>
      </c>
      <c r="O194" t="str">
        <f>IF(_xlfn.XLOOKUP(F194,PhpAggrFunc!A:A,PhpAggrFunc!B:B,"") = "", _xlfn.XLOOKUP(G194,PhpAggrFunc!A:A,PhpAggrFunc!B:B,""), _xlfn.XLOOKUP(F194,PhpAggrFunc!A:A,PhpAggrFunc!B:B,""))</f>
        <v/>
      </c>
      <c r="P194" t="str">
        <f t="shared" si="14"/>
        <v>OPERATOR</v>
      </c>
      <c r="Q194" t="str">
        <f t="shared" si="15"/>
        <v>static const String^ TOK_GEQ = "&gt;=";</v>
      </c>
      <c r="R194" t="str">
        <f t="shared" si="16"/>
        <v>static const int TOK_GEQ = 318;</v>
      </c>
      <c r="S194" t="str">
        <f t="shared" si="17"/>
        <v>_Tokens-&gt;Add((String^)GramVals::TOK_GEQ, gcnew Token(GramKeys::TOK_GEQ, EnumTokenCategory::OPERATOR,BARE_LABEL, i++));</v>
      </c>
    </row>
    <row r="195" spans="1:19" x14ac:dyDescent="0.25">
      <c r="A195" s="3" t="s">
        <v>1563</v>
      </c>
      <c r="B195" s="5" t="s">
        <v>1140</v>
      </c>
      <c r="C195" s="3" t="s">
        <v>2086</v>
      </c>
      <c r="D195" s="3" t="s">
        <v>881</v>
      </c>
      <c r="F195" t="str">
        <f t="shared" si="12"/>
        <v>GLOBAL</v>
      </c>
      <c r="G195" t="s">
        <v>3410</v>
      </c>
      <c r="I195" s="3" t="str">
        <f>IF(_xlfn.XLOOKUP(F195,PgSqlRaw!B:B,PgSqlRaw!E:E,"") = "",_xlfn.XLOOKUP(G195,PgSqlRaw!B:B,PgSqlRaw!E:E,""),_xlfn.XLOOKUP(F195,PgSqlRaw!B:B,PgSqlRaw!E:E,""))</f>
        <v/>
      </c>
      <c r="J195" t="str">
        <f>IF(_xlfn.XLOOKUP(F195,PgSqlRaw!B:B,PgSqlRaw!F:F,"") = "", _xlfn.XLOOKUP(G195,PgSqlRaw!B:B,PgSqlRaw!F:F,""), _xlfn.XLOOKUP(F195,PgSqlRaw!B:B,PgSqlRaw!F:F,""))</f>
        <v>BARE_LABEL</v>
      </c>
      <c r="K195" t="str">
        <f t="shared" si="13"/>
        <v>BARE_LABEL</v>
      </c>
      <c r="L195" t="str">
        <f>IF(_xlfn.XLOOKUP(F195,PhpReserved!A:A,PhpReserved!B:B,"") = "", _xlfn.XLOOKUP(G195,PhpReserved!A:A,PhpReserved!B:B,""),_xlfn.XLOOKUP(F195,PhpReserved!A:A,PhpReserved!B:B,""))</f>
        <v/>
      </c>
      <c r="M195" t="str">
        <f>IF(_xlfn.XLOOKUP(F195,PhpFunctions!A:A,PhpFunctions!B:B,"") =  "", _xlfn.XLOOKUP(G195,PhpFunctions!A:A,PhpFunctions!B:B,""), _xlfn.XLOOKUP(F195,PhpFunctions!A:A,PhpFunctions!B:B,""))</f>
        <v/>
      </c>
      <c r="N195" t="str">
        <f>IF(_xlfn.XLOOKUP(F195,PhpParamFunc!A:A,PhpParamFunc!B:B,"") = "", _xlfn.XLOOKUP(G195,PhpParamFunc!A:A,PhpParamFunc!B:B,""), _xlfn.XLOOKUP(F195,PhpParamFunc!A:A,PhpParamFunc!B:B,""))</f>
        <v/>
      </c>
      <c r="O195" t="str">
        <f>IF(_xlfn.XLOOKUP(F195,PhpAggrFunc!A:A,PhpAggrFunc!B:B,"") = "", _xlfn.XLOOKUP(G195,PhpAggrFunc!A:A,PhpAggrFunc!B:B,""), _xlfn.XLOOKUP(F195,PhpAggrFunc!A:A,PhpAggrFunc!B:B,""))</f>
        <v/>
      </c>
      <c r="P195" t="str">
        <f t="shared" si="14"/>
        <v>UNRESERVED</v>
      </c>
      <c r="Q195" t="str">
        <f t="shared" si="15"/>
        <v>static const String^ TOK_GLOBAL = "GLOBAL";</v>
      </c>
      <c r="R195" t="str">
        <f t="shared" si="16"/>
        <v>static const int TOK_GLOBAL = 552;</v>
      </c>
      <c r="S195" t="str">
        <f t="shared" si="17"/>
        <v>// _Tokens-&gt;Add((String^)GramVals::TOK_GLOBAL, gcnew Token(GramKeys::TOK_GLOBAL, EnumTokenCategory::UNRESERVED,BARE_LABEL, i++));</v>
      </c>
    </row>
    <row r="196" spans="1:19" x14ac:dyDescent="0.25">
      <c r="A196" s="3" t="s">
        <v>1564</v>
      </c>
      <c r="B196" s="5" t="s">
        <v>1141</v>
      </c>
      <c r="C196" s="3" t="s">
        <v>2087</v>
      </c>
      <c r="D196" s="3" t="s">
        <v>881</v>
      </c>
      <c r="F196" t="str">
        <f t="shared" ref="F196:F259" si="18">MID(A196,5,99)</f>
        <v>GRANT</v>
      </c>
      <c r="G196" t="s">
        <v>3156</v>
      </c>
      <c r="I196" s="3" t="str">
        <f>IF(_xlfn.XLOOKUP(F196,PgSqlRaw!B:B,PgSqlRaw!E:E,"") = "",_xlfn.XLOOKUP(G196,PgSqlRaw!B:B,PgSqlRaw!E:E,""),_xlfn.XLOOKUP(F196,PgSqlRaw!B:B,PgSqlRaw!E:E,""))</f>
        <v>RESERVED</v>
      </c>
      <c r="J196" t="str">
        <f>IF(_xlfn.XLOOKUP(F196,PgSqlRaw!B:B,PgSqlRaw!F:F,"") = "", _xlfn.XLOOKUP(G196,PgSqlRaw!B:B,PgSqlRaw!F:F,""), _xlfn.XLOOKUP(F196,PgSqlRaw!B:B,PgSqlRaw!F:F,""))</f>
        <v>AS_LABEL</v>
      </c>
      <c r="K196" t="str">
        <f t="shared" ref="K196:K259" si="19">IF(J196 = "", "BARE_LABEL", J196)</f>
        <v>AS_LABEL</v>
      </c>
      <c r="L196" t="str">
        <f>IF(_xlfn.XLOOKUP(F196,PhpReserved!A:A,PhpReserved!B:B,"") = "", _xlfn.XLOOKUP(G196,PhpReserved!A:A,PhpReserved!B:B,""),_xlfn.XLOOKUP(F196,PhpReserved!A:A,PhpReserved!B:B,""))</f>
        <v>RESERVED</v>
      </c>
      <c r="M196" t="str">
        <f>IF(_xlfn.XLOOKUP(F196,PhpFunctions!A:A,PhpFunctions!B:B,"") =  "", _xlfn.XLOOKUP(G196,PhpFunctions!A:A,PhpFunctions!B:B,""), _xlfn.XLOOKUP(F196,PhpFunctions!A:A,PhpFunctions!B:B,""))</f>
        <v/>
      </c>
      <c r="N196" t="str">
        <f>IF(_xlfn.XLOOKUP(F196,PhpParamFunc!A:A,PhpParamFunc!B:B,"") = "", _xlfn.XLOOKUP(G196,PhpParamFunc!A:A,PhpParamFunc!B:B,""), _xlfn.XLOOKUP(F196,PhpParamFunc!A:A,PhpParamFunc!B:B,""))</f>
        <v/>
      </c>
      <c r="O196" t="str">
        <f>IF(_xlfn.XLOOKUP(F196,PhpAggrFunc!A:A,PhpAggrFunc!B:B,"") = "", _xlfn.XLOOKUP(G196,PhpAggrFunc!A:A,PhpAggrFunc!B:B,""), _xlfn.XLOOKUP(F196,PhpAggrFunc!A:A,PhpAggrFunc!B:B,""))</f>
        <v/>
      </c>
      <c r="P196" t="str">
        <f t="shared" ref="P196:P259" si="20">IF(O196 = "",IF(N196 = "", IF(M196 = "", IF(L196 = "", IF(I196 = "",IF(E196 = "","UNRESERVED",E196),I196),L196),M196),N196),O196)</f>
        <v>RESERVED</v>
      </c>
      <c r="Q196" t="str">
        <f t="shared" ref="Q196:Q259" si="21">_xlfn.CONCAT("static const String^ ", A196, " = ", C196, ";")</f>
        <v>static const String^ TOK_GRANT = "GRANT";</v>
      </c>
      <c r="R196" t="str">
        <f t="shared" ref="R196:R259" si="22">_xlfn.CONCAT("static const int ", A196, " = ", B196, ";")</f>
        <v>static const int TOK_GRANT = 321;</v>
      </c>
      <c r="S196" t="str">
        <f t="shared" ref="S196:S259" si="23">_xlfn.CONCAT(IF(P196 = "UNRESERVED", "// ", ""),"_Tokens-&gt;Add((String^)GramVals::", A196, ", gcnew Token(GramKeys::", A196, ", EnumTokenCategory::", P196, ",",K196, ", i++));")</f>
        <v>_Tokens-&gt;Add((String^)GramVals::TOK_GRANT, gcnew Token(GramKeys::TOK_GRANT, EnumTokenCategory::RESERVED,AS_LABEL, i++));</v>
      </c>
    </row>
    <row r="197" spans="1:19" x14ac:dyDescent="0.25">
      <c r="A197" s="3" t="s">
        <v>1565</v>
      </c>
      <c r="B197" s="5" t="s">
        <v>1142</v>
      </c>
      <c r="C197" s="3" t="s">
        <v>2088</v>
      </c>
      <c r="D197" s="3" t="s">
        <v>2423</v>
      </c>
      <c r="F197" t="str">
        <f t="shared" si="18"/>
        <v>GRANTED</v>
      </c>
      <c r="G197" t="s">
        <v>3411</v>
      </c>
      <c r="I197" s="3" t="str">
        <f>IF(_xlfn.XLOOKUP(F197,PgSqlRaw!B:B,PgSqlRaw!E:E,"") = "",_xlfn.XLOOKUP(G197,PgSqlRaw!B:B,PgSqlRaw!E:E,""),_xlfn.XLOOKUP(F197,PgSqlRaw!B:B,PgSqlRaw!E:E,""))</f>
        <v/>
      </c>
      <c r="J197" t="str">
        <f>IF(_xlfn.XLOOKUP(F197,PgSqlRaw!B:B,PgSqlRaw!F:F,"") = "", _xlfn.XLOOKUP(G197,PgSqlRaw!B:B,PgSqlRaw!F:F,""), _xlfn.XLOOKUP(F197,PgSqlRaw!B:B,PgSqlRaw!F:F,""))</f>
        <v>BARE_LABEL</v>
      </c>
      <c r="K197" t="str">
        <f t="shared" si="19"/>
        <v>BARE_LABEL</v>
      </c>
      <c r="L197" t="str">
        <f>IF(_xlfn.XLOOKUP(F197,PhpReserved!A:A,PhpReserved!B:B,"") = "", _xlfn.XLOOKUP(G197,PhpReserved!A:A,PhpReserved!B:B,""),_xlfn.XLOOKUP(F197,PhpReserved!A:A,PhpReserved!B:B,""))</f>
        <v/>
      </c>
      <c r="M197" t="str">
        <f>IF(_xlfn.XLOOKUP(F197,PhpFunctions!A:A,PhpFunctions!B:B,"") =  "", _xlfn.XLOOKUP(G197,PhpFunctions!A:A,PhpFunctions!B:B,""), _xlfn.XLOOKUP(F197,PhpFunctions!A:A,PhpFunctions!B:B,""))</f>
        <v/>
      </c>
      <c r="N197" t="str">
        <f>IF(_xlfn.XLOOKUP(F197,PhpParamFunc!A:A,PhpParamFunc!B:B,"") = "", _xlfn.XLOOKUP(G197,PhpParamFunc!A:A,PhpParamFunc!B:B,""), _xlfn.XLOOKUP(F197,PhpParamFunc!A:A,PhpParamFunc!B:B,""))</f>
        <v/>
      </c>
      <c r="O197" t="str">
        <f>IF(_xlfn.XLOOKUP(F197,PhpAggrFunc!A:A,PhpAggrFunc!B:B,"") = "", _xlfn.XLOOKUP(G197,PhpAggrFunc!A:A,PhpAggrFunc!B:B,""), _xlfn.XLOOKUP(F197,PhpAggrFunc!A:A,PhpAggrFunc!B:B,""))</f>
        <v/>
      </c>
      <c r="P197" t="str">
        <f t="shared" si="20"/>
        <v>UNRESERVED</v>
      </c>
      <c r="Q197" t="str">
        <f t="shared" si="21"/>
        <v>static const String^ TOK_GRANTED = "GRANTED";</v>
      </c>
      <c r="R197" t="str">
        <f t="shared" si="22"/>
        <v>static const int TOK_GRANTED = 593;</v>
      </c>
      <c r="S197" t="str">
        <f t="shared" si="23"/>
        <v>// _Tokens-&gt;Add((String^)GramVals::TOK_GRANTED, gcnew Token(GramKeys::TOK_GRANTED, EnumTokenCategory::UNRESERVED,BARE_LABEL, i++));</v>
      </c>
    </row>
    <row r="198" spans="1:19" x14ac:dyDescent="0.25">
      <c r="A198" s="3" t="s">
        <v>1566</v>
      </c>
      <c r="B198" s="5" t="s">
        <v>1143</v>
      </c>
      <c r="C198" s="3" t="s">
        <v>2089</v>
      </c>
      <c r="D198" s="3" t="s">
        <v>881</v>
      </c>
      <c r="F198" t="str">
        <f t="shared" si="18"/>
        <v>GROUP</v>
      </c>
      <c r="G198" t="s">
        <v>3157</v>
      </c>
      <c r="I198" s="3" t="str">
        <f>IF(_xlfn.XLOOKUP(F198,PgSqlRaw!B:B,PgSqlRaw!E:E,"") = "",_xlfn.XLOOKUP(G198,PgSqlRaw!B:B,PgSqlRaw!E:E,""),_xlfn.XLOOKUP(F198,PgSqlRaw!B:B,PgSqlRaw!E:E,""))</f>
        <v>RESERVED</v>
      </c>
      <c r="J198" t="str">
        <f>IF(_xlfn.XLOOKUP(F198,PgSqlRaw!B:B,PgSqlRaw!F:F,"") = "", _xlfn.XLOOKUP(G198,PgSqlRaw!B:B,PgSqlRaw!F:F,""), _xlfn.XLOOKUP(F198,PgSqlRaw!B:B,PgSqlRaw!F:F,""))</f>
        <v>AS_LABEL</v>
      </c>
      <c r="K198" t="str">
        <f t="shared" si="19"/>
        <v>AS_LABEL</v>
      </c>
      <c r="L198" t="str">
        <f>IF(_xlfn.XLOOKUP(F198,PhpReserved!A:A,PhpReserved!B:B,"") = "", _xlfn.XLOOKUP(G198,PhpReserved!A:A,PhpReserved!B:B,""),_xlfn.XLOOKUP(F198,PhpReserved!A:A,PhpReserved!B:B,""))</f>
        <v>RESERVED</v>
      </c>
      <c r="M198" t="str">
        <f>IF(_xlfn.XLOOKUP(F198,PhpFunctions!A:A,PhpFunctions!B:B,"") =  "", _xlfn.XLOOKUP(G198,PhpFunctions!A:A,PhpFunctions!B:B,""), _xlfn.XLOOKUP(F198,PhpFunctions!A:A,PhpFunctions!B:B,""))</f>
        <v/>
      </c>
      <c r="N198" t="str">
        <f>IF(_xlfn.XLOOKUP(F198,PhpParamFunc!A:A,PhpParamFunc!B:B,"") = "", _xlfn.XLOOKUP(G198,PhpParamFunc!A:A,PhpParamFunc!B:B,""), _xlfn.XLOOKUP(F198,PhpParamFunc!A:A,PhpParamFunc!B:B,""))</f>
        <v/>
      </c>
      <c r="O198" t="str">
        <f>IF(_xlfn.XLOOKUP(F198,PhpAggrFunc!A:A,PhpAggrFunc!B:B,"") = "", _xlfn.XLOOKUP(G198,PhpAggrFunc!A:A,PhpAggrFunc!B:B,""), _xlfn.XLOOKUP(F198,PhpAggrFunc!A:A,PhpAggrFunc!B:B,""))</f>
        <v/>
      </c>
      <c r="P198" t="str">
        <f t="shared" si="20"/>
        <v>RESERVED</v>
      </c>
      <c r="Q198" t="str">
        <f t="shared" si="21"/>
        <v>static const String^ TOK_GROUP = "GROUP";</v>
      </c>
      <c r="R198" t="str">
        <f t="shared" si="22"/>
        <v>static const int TOK_GROUP = 322;</v>
      </c>
      <c r="S198" t="str">
        <f t="shared" si="23"/>
        <v>_Tokens-&gt;Add((String^)GramVals::TOK_GROUP, gcnew Token(GramKeys::TOK_GROUP, EnumTokenCategory::RESERVED,AS_LABEL, i++));</v>
      </c>
    </row>
    <row r="199" spans="1:19" x14ac:dyDescent="0.25">
      <c r="A199" s="3" t="s">
        <v>1567</v>
      </c>
      <c r="B199" s="5" t="s">
        <v>1144</v>
      </c>
      <c r="C199" s="3" t="s">
        <v>2090</v>
      </c>
      <c r="D199" s="3" t="s">
        <v>2423</v>
      </c>
      <c r="F199" t="str">
        <f t="shared" si="18"/>
        <v>HASH</v>
      </c>
      <c r="G199" t="s">
        <v>3708</v>
      </c>
      <c r="I199" s="3" t="str">
        <f>IF(_xlfn.XLOOKUP(F199,PgSqlRaw!B:B,PgSqlRaw!E:E,"") = "",_xlfn.XLOOKUP(G199,PgSqlRaw!B:B,PgSqlRaw!E:E,""),_xlfn.XLOOKUP(F199,PgSqlRaw!B:B,PgSqlRaw!E:E,""))</f>
        <v/>
      </c>
      <c r="J199" t="str">
        <f>IF(_xlfn.XLOOKUP(F199,PgSqlRaw!B:B,PgSqlRaw!F:F,"") = "", _xlfn.XLOOKUP(G199,PgSqlRaw!B:B,PgSqlRaw!F:F,""), _xlfn.XLOOKUP(F199,PgSqlRaw!B:B,PgSqlRaw!F:F,""))</f>
        <v/>
      </c>
      <c r="K199" t="str">
        <f t="shared" si="19"/>
        <v>BARE_LABEL</v>
      </c>
      <c r="L199" t="str">
        <f>IF(_xlfn.XLOOKUP(F199,PhpReserved!A:A,PhpReserved!B:B,"") = "", _xlfn.XLOOKUP(G199,PhpReserved!A:A,PhpReserved!B:B,""),_xlfn.XLOOKUP(F199,PhpReserved!A:A,PhpReserved!B:B,""))</f>
        <v/>
      </c>
      <c r="M199" t="str">
        <f>IF(_xlfn.XLOOKUP(F199,PhpFunctions!A:A,PhpFunctions!B:B,"") =  "", _xlfn.XLOOKUP(G199,PhpFunctions!A:A,PhpFunctions!B:B,""), _xlfn.XLOOKUP(F199,PhpFunctions!A:A,PhpFunctions!B:B,""))</f>
        <v/>
      </c>
      <c r="N199" t="str">
        <f>IF(_xlfn.XLOOKUP(F199,PhpParamFunc!A:A,PhpParamFunc!B:B,"") = "", _xlfn.XLOOKUP(G199,PhpParamFunc!A:A,PhpParamFunc!B:B,""), _xlfn.XLOOKUP(F199,PhpParamFunc!A:A,PhpParamFunc!B:B,""))</f>
        <v/>
      </c>
      <c r="O199" t="str">
        <f>IF(_xlfn.XLOOKUP(F199,PhpAggrFunc!A:A,PhpAggrFunc!B:B,"") = "", _xlfn.XLOOKUP(G199,PhpAggrFunc!A:A,PhpAggrFunc!B:B,""), _xlfn.XLOOKUP(F199,PhpAggrFunc!A:A,PhpAggrFunc!B:B,""))</f>
        <v/>
      </c>
      <c r="P199" t="str">
        <f t="shared" si="20"/>
        <v>UNRESERVED</v>
      </c>
      <c r="Q199" t="str">
        <f t="shared" si="21"/>
        <v>static const String^ TOK_HASH = "HASH";</v>
      </c>
      <c r="R199" t="str">
        <f t="shared" si="22"/>
        <v>static const int TOK_HASH = 553;</v>
      </c>
      <c r="S199" t="str">
        <f t="shared" si="23"/>
        <v>// _Tokens-&gt;Add((String^)GramVals::TOK_HASH, gcnew Token(GramKeys::TOK_HASH, EnumTokenCategory::UNRESERVED,BARE_LABEL, i++));</v>
      </c>
    </row>
    <row r="200" spans="1:19" x14ac:dyDescent="0.25">
      <c r="A200" s="3" t="s">
        <v>1568</v>
      </c>
      <c r="B200" s="5" t="s">
        <v>1145</v>
      </c>
      <c r="C200" s="3" t="s">
        <v>2091</v>
      </c>
      <c r="D200" s="3" t="s">
        <v>881</v>
      </c>
      <c r="F200" t="str">
        <f t="shared" si="18"/>
        <v>HAVING</v>
      </c>
      <c r="G200" t="s">
        <v>3158</v>
      </c>
      <c r="I200" s="3" t="str">
        <f>IF(_xlfn.XLOOKUP(F200,PgSqlRaw!B:B,PgSqlRaw!E:E,"") = "",_xlfn.XLOOKUP(G200,PgSqlRaw!B:B,PgSqlRaw!E:E,""),_xlfn.XLOOKUP(F200,PgSqlRaw!B:B,PgSqlRaw!E:E,""))</f>
        <v>RESERVED</v>
      </c>
      <c r="J200" t="str">
        <f>IF(_xlfn.XLOOKUP(F200,PgSqlRaw!B:B,PgSqlRaw!F:F,"") = "", _xlfn.XLOOKUP(G200,PgSqlRaw!B:B,PgSqlRaw!F:F,""), _xlfn.XLOOKUP(F200,PgSqlRaw!B:B,PgSqlRaw!F:F,""))</f>
        <v>AS_LABEL</v>
      </c>
      <c r="K200" t="str">
        <f t="shared" si="19"/>
        <v>AS_LABEL</v>
      </c>
      <c r="L200" t="str">
        <f>IF(_xlfn.XLOOKUP(F200,PhpReserved!A:A,PhpReserved!B:B,"") = "", _xlfn.XLOOKUP(G200,PhpReserved!A:A,PhpReserved!B:B,""),_xlfn.XLOOKUP(F200,PhpReserved!A:A,PhpReserved!B:B,""))</f>
        <v>RESERVED</v>
      </c>
      <c r="M200" t="str">
        <f>IF(_xlfn.XLOOKUP(F200,PhpFunctions!A:A,PhpFunctions!B:B,"") =  "", _xlfn.XLOOKUP(G200,PhpFunctions!A:A,PhpFunctions!B:B,""), _xlfn.XLOOKUP(F200,PhpFunctions!A:A,PhpFunctions!B:B,""))</f>
        <v/>
      </c>
      <c r="N200" t="str">
        <f>IF(_xlfn.XLOOKUP(F200,PhpParamFunc!A:A,PhpParamFunc!B:B,"") = "", _xlfn.XLOOKUP(G200,PhpParamFunc!A:A,PhpParamFunc!B:B,""), _xlfn.XLOOKUP(F200,PhpParamFunc!A:A,PhpParamFunc!B:B,""))</f>
        <v/>
      </c>
      <c r="O200" t="str">
        <f>IF(_xlfn.XLOOKUP(F200,PhpAggrFunc!A:A,PhpAggrFunc!B:B,"") = "", _xlfn.XLOOKUP(G200,PhpAggrFunc!A:A,PhpAggrFunc!B:B,""), _xlfn.XLOOKUP(F200,PhpAggrFunc!A:A,PhpAggrFunc!B:B,""))</f>
        <v/>
      </c>
      <c r="P200" t="str">
        <f t="shared" si="20"/>
        <v>RESERVED</v>
      </c>
      <c r="Q200" t="str">
        <f t="shared" si="21"/>
        <v>static const String^ TOK_HAVING = "HAVING";</v>
      </c>
      <c r="R200" t="str">
        <f t="shared" si="22"/>
        <v>static const int TOK_HAVING = 323;</v>
      </c>
      <c r="S200" t="str">
        <f t="shared" si="23"/>
        <v>_Tokens-&gt;Add((String^)GramVals::TOK_HAVING, gcnew Token(GramKeys::TOK_HAVING, EnumTokenCategory::RESERVED,AS_LABEL, i++));</v>
      </c>
    </row>
    <row r="201" spans="1:19" x14ac:dyDescent="0.25">
      <c r="A201" s="3" t="s">
        <v>955</v>
      </c>
      <c r="B201" s="5">
        <v>686</v>
      </c>
      <c r="C201" s="3" t="s">
        <v>2092</v>
      </c>
      <c r="D201" s="3" t="s">
        <v>2423</v>
      </c>
      <c r="F201" t="str">
        <f t="shared" si="18"/>
        <v>HEX_DECODE</v>
      </c>
      <c r="G201" t="s">
        <v>3709</v>
      </c>
      <c r="I201" s="3" t="str">
        <f>IF(_xlfn.XLOOKUP(F201,PgSqlRaw!B:B,PgSqlRaw!E:E,"") = "",_xlfn.XLOOKUP(G201,PgSqlRaw!B:B,PgSqlRaw!E:E,""),_xlfn.XLOOKUP(F201,PgSqlRaw!B:B,PgSqlRaw!E:E,""))</f>
        <v/>
      </c>
      <c r="J201" t="str">
        <f>IF(_xlfn.XLOOKUP(F201,PgSqlRaw!B:B,PgSqlRaw!F:F,"") = "", _xlfn.XLOOKUP(G201,PgSqlRaw!B:B,PgSqlRaw!F:F,""), _xlfn.XLOOKUP(F201,PgSqlRaw!B:B,PgSqlRaw!F:F,""))</f>
        <v/>
      </c>
      <c r="K201" t="str">
        <f t="shared" si="19"/>
        <v>BARE_LABEL</v>
      </c>
      <c r="L201" t="str">
        <f>IF(_xlfn.XLOOKUP(F201,PhpReserved!A:A,PhpReserved!B:B,"") = "", _xlfn.XLOOKUP(G201,PhpReserved!A:A,PhpReserved!B:B,""),_xlfn.XLOOKUP(F201,PhpReserved!A:A,PhpReserved!B:B,""))</f>
        <v/>
      </c>
      <c r="M201" t="str">
        <f>IF(_xlfn.XLOOKUP(F201,PhpFunctions!A:A,PhpFunctions!B:B,"") =  "", _xlfn.XLOOKUP(G201,PhpFunctions!A:A,PhpFunctions!B:B,""), _xlfn.XLOOKUP(F201,PhpFunctions!A:A,PhpFunctions!B:B,""))</f>
        <v/>
      </c>
      <c r="N201" t="str">
        <f>IF(_xlfn.XLOOKUP(F201,PhpParamFunc!A:A,PhpParamFunc!B:B,"") = "", _xlfn.XLOOKUP(G201,PhpParamFunc!A:A,PhpParamFunc!B:B,""), _xlfn.XLOOKUP(F201,PhpParamFunc!A:A,PhpParamFunc!B:B,""))</f>
        <v/>
      </c>
      <c r="O201" t="str">
        <f>IF(_xlfn.XLOOKUP(F201,PhpAggrFunc!A:A,PhpAggrFunc!B:B,"") = "", _xlfn.XLOOKUP(G201,PhpAggrFunc!A:A,PhpAggrFunc!B:B,""), _xlfn.XLOOKUP(F201,PhpAggrFunc!A:A,PhpAggrFunc!B:B,""))</f>
        <v/>
      </c>
      <c r="P201" t="str">
        <f t="shared" si="20"/>
        <v>UNRESERVED</v>
      </c>
      <c r="Q201" t="str">
        <f t="shared" si="21"/>
        <v>static const String^ TOK_HEX_DECODE = "HEX_DECODE";</v>
      </c>
      <c r="R201" t="str">
        <f t="shared" si="22"/>
        <v>static const int TOK_HEX_DECODE = 686;</v>
      </c>
      <c r="S201" t="str">
        <f t="shared" si="23"/>
        <v>// _Tokens-&gt;Add((String^)GramVals::TOK_HEX_DECODE, gcnew Token(GramKeys::TOK_HEX_DECODE, EnumTokenCategory::UNRESERVED,BARE_LABEL, i++));</v>
      </c>
    </row>
    <row r="202" spans="1:19" x14ac:dyDescent="0.25">
      <c r="A202" s="3" t="s">
        <v>956</v>
      </c>
      <c r="B202" s="5">
        <v>687</v>
      </c>
      <c r="C202" s="3" t="s">
        <v>2093</v>
      </c>
      <c r="D202" s="3" t="s">
        <v>2423</v>
      </c>
      <c r="F202" t="str">
        <f t="shared" si="18"/>
        <v>HEX_ENCODE</v>
      </c>
      <c r="G202" t="s">
        <v>3710</v>
      </c>
      <c r="I202" s="3" t="str">
        <f>IF(_xlfn.XLOOKUP(F202,PgSqlRaw!B:B,PgSqlRaw!E:E,"") = "",_xlfn.XLOOKUP(G202,PgSqlRaw!B:B,PgSqlRaw!E:E,""),_xlfn.XLOOKUP(F202,PgSqlRaw!B:B,PgSqlRaw!E:E,""))</f>
        <v/>
      </c>
      <c r="J202" t="str">
        <f>IF(_xlfn.XLOOKUP(F202,PgSqlRaw!B:B,PgSqlRaw!F:F,"") = "", _xlfn.XLOOKUP(G202,PgSqlRaw!B:B,PgSqlRaw!F:F,""), _xlfn.XLOOKUP(F202,PgSqlRaw!B:B,PgSqlRaw!F:F,""))</f>
        <v/>
      </c>
      <c r="K202" t="str">
        <f t="shared" si="19"/>
        <v>BARE_LABEL</v>
      </c>
      <c r="L202" t="str">
        <f>IF(_xlfn.XLOOKUP(F202,PhpReserved!A:A,PhpReserved!B:B,"") = "", _xlfn.XLOOKUP(G202,PhpReserved!A:A,PhpReserved!B:B,""),_xlfn.XLOOKUP(F202,PhpReserved!A:A,PhpReserved!B:B,""))</f>
        <v/>
      </c>
      <c r="M202" t="str">
        <f>IF(_xlfn.XLOOKUP(F202,PhpFunctions!A:A,PhpFunctions!B:B,"") =  "", _xlfn.XLOOKUP(G202,PhpFunctions!A:A,PhpFunctions!B:B,""), _xlfn.XLOOKUP(F202,PhpFunctions!A:A,PhpFunctions!B:B,""))</f>
        <v/>
      </c>
      <c r="N202" t="str">
        <f>IF(_xlfn.XLOOKUP(F202,PhpParamFunc!A:A,PhpParamFunc!B:B,"") = "", _xlfn.XLOOKUP(G202,PhpParamFunc!A:A,PhpParamFunc!B:B,""), _xlfn.XLOOKUP(F202,PhpParamFunc!A:A,PhpParamFunc!B:B,""))</f>
        <v/>
      </c>
      <c r="O202" t="str">
        <f>IF(_xlfn.XLOOKUP(F202,PhpAggrFunc!A:A,PhpAggrFunc!B:B,"") = "", _xlfn.XLOOKUP(G202,PhpAggrFunc!A:A,PhpAggrFunc!B:B,""), _xlfn.XLOOKUP(F202,PhpAggrFunc!A:A,PhpAggrFunc!B:B,""))</f>
        <v/>
      </c>
      <c r="P202" t="str">
        <f t="shared" si="20"/>
        <v>UNRESERVED</v>
      </c>
      <c r="Q202" t="str">
        <f t="shared" si="21"/>
        <v>static const String^ TOK_HEX_ENCODE = "HEX_ENCODE";</v>
      </c>
      <c r="R202" t="str">
        <f t="shared" si="22"/>
        <v>static const int TOK_HEX_ENCODE = 687;</v>
      </c>
      <c r="S202" t="str">
        <f t="shared" si="23"/>
        <v>// _Tokens-&gt;Add((String^)GramVals::TOK_HEX_ENCODE, gcnew Token(GramKeys::TOK_HEX_ENCODE, EnumTokenCategory::UNRESERVED,BARE_LABEL, i++));</v>
      </c>
    </row>
    <row r="203" spans="1:19" x14ac:dyDescent="0.25">
      <c r="A203" s="3" t="s">
        <v>1569</v>
      </c>
      <c r="B203" s="5" t="s">
        <v>1146</v>
      </c>
      <c r="C203" s="3" t="s">
        <v>2094</v>
      </c>
      <c r="D203" s="3" t="s">
        <v>881</v>
      </c>
      <c r="F203" t="str">
        <f t="shared" si="18"/>
        <v>HOUR</v>
      </c>
      <c r="G203" t="s">
        <v>2961</v>
      </c>
      <c r="I203" s="3" t="str">
        <f>IF(_xlfn.XLOOKUP(F203,PgSqlRaw!B:B,PgSqlRaw!E:E,"") = "",_xlfn.XLOOKUP(G203,PgSqlRaw!B:B,PgSqlRaw!E:E,""),_xlfn.XLOOKUP(F203,PgSqlRaw!B:B,PgSqlRaw!E:E,""))</f>
        <v/>
      </c>
      <c r="J203" t="str">
        <f>IF(_xlfn.XLOOKUP(F203,PgSqlRaw!B:B,PgSqlRaw!F:F,"") = "", _xlfn.XLOOKUP(G203,PgSqlRaw!B:B,PgSqlRaw!F:F,""), _xlfn.XLOOKUP(F203,PgSqlRaw!B:B,PgSqlRaw!F:F,""))</f>
        <v>AS_LABEL</v>
      </c>
      <c r="K203" t="str">
        <f t="shared" si="19"/>
        <v>AS_LABEL</v>
      </c>
      <c r="L203" t="str">
        <f>IF(_xlfn.XLOOKUP(F203,PhpReserved!A:A,PhpReserved!B:B,"") = "", _xlfn.XLOOKUP(G203,PhpReserved!A:A,PhpReserved!B:B,""),_xlfn.XLOOKUP(F203,PhpReserved!A:A,PhpReserved!B:B,""))</f>
        <v>RESERVED</v>
      </c>
      <c r="M203" t="str">
        <f>IF(_xlfn.XLOOKUP(F203,PhpFunctions!A:A,PhpFunctions!B:B,"") =  "", _xlfn.XLOOKUP(G203,PhpFunctions!A:A,PhpFunctions!B:B,""), _xlfn.XLOOKUP(F203,PhpFunctions!A:A,PhpFunctions!B:B,""))</f>
        <v>FUNCTION</v>
      </c>
      <c r="N203" t="str">
        <f>IF(_xlfn.XLOOKUP(F203,PhpParamFunc!A:A,PhpParamFunc!B:B,"") = "", _xlfn.XLOOKUP(G203,PhpParamFunc!A:A,PhpParamFunc!B:B,""), _xlfn.XLOOKUP(F203,PhpParamFunc!A:A,PhpParamFunc!B:B,""))</f>
        <v>PARAM_FUNCTION</v>
      </c>
      <c r="O203" t="str">
        <f>IF(_xlfn.XLOOKUP(F203,PhpAggrFunc!A:A,PhpAggrFunc!B:B,"") = "", _xlfn.XLOOKUP(G203,PhpAggrFunc!A:A,PhpAggrFunc!B:B,""), _xlfn.XLOOKUP(F203,PhpAggrFunc!A:A,PhpAggrFunc!B:B,""))</f>
        <v/>
      </c>
      <c r="P203" t="str">
        <f t="shared" si="20"/>
        <v>PARAM_FUNCTION</v>
      </c>
      <c r="Q203" t="str">
        <f t="shared" si="21"/>
        <v>static const String^ TOK_HOUR = "HOUR";</v>
      </c>
      <c r="R203" t="str">
        <f t="shared" si="22"/>
        <v>static const int TOK_HOUR = 457;</v>
      </c>
      <c r="S203" t="str">
        <f t="shared" si="23"/>
        <v>_Tokens-&gt;Add((String^)GramVals::TOK_HOUR, gcnew Token(GramKeys::TOK_HOUR, EnumTokenCategory::PARAM_FUNCTION,AS_LABEL, i++));</v>
      </c>
    </row>
    <row r="204" spans="1:19" x14ac:dyDescent="0.25">
      <c r="A204" s="3" t="s">
        <v>1570</v>
      </c>
      <c r="B204" s="5" t="s">
        <v>1147</v>
      </c>
      <c r="C204" s="3" t="s">
        <v>2095</v>
      </c>
      <c r="D204" s="3" t="s">
        <v>2423</v>
      </c>
      <c r="F204" t="str">
        <f t="shared" si="18"/>
        <v>IDENTITY</v>
      </c>
      <c r="G204" t="s">
        <v>3417</v>
      </c>
      <c r="I204" s="3" t="str">
        <f>IF(_xlfn.XLOOKUP(F204,PgSqlRaw!B:B,PgSqlRaw!E:E,"") = "",_xlfn.XLOOKUP(G204,PgSqlRaw!B:B,PgSqlRaw!E:E,""),_xlfn.XLOOKUP(F204,PgSqlRaw!B:B,PgSqlRaw!E:E,""))</f>
        <v/>
      </c>
      <c r="J204" t="str">
        <f>IF(_xlfn.XLOOKUP(F204,PgSqlRaw!B:B,PgSqlRaw!F:F,"") = "", _xlfn.XLOOKUP(G204,PgSqlRaw!B:B,PgSqlRaw!F:F,""), _xlfn.XLOOKUP(F204,PgSqlRaw!B:B,PgSqlRaw!F:F,""))</f>
        <v>BARE_LABEL</v>
      </c>
      <c r="K204" t="str">
        <f t="shared" si="19"/>
        <v>BARE_LABEL</v>
      </c>
      <c r="L204" t="str">
        <f>IF(_xlfn.XLOOKUP(F204,PhpReserved!A:A,PhpReserved!B:B,"") = "", _xlfn.XLOOKUP(G204,PhpReserved!A:A,PhpReserved!B:B,""),_xlfn.XLOOKUP(F204,PhpReserved!A:A,PhpReserved!B:B,""))</f>
        <v/>
      </c>
      <c r="M204" t="str">
        <f>IF(_xlfn.XLOOKUP(F204,PhpFunctions!A:A,PhpFunctions!B:B,"") =  "", _xlfn.XLOOKUP(G204,PhpFunctions!A:A,PhpFunctions!B:B,""), _xlfn.XLOOKUP(F204,PhpFunctions!A:A,PhpFunctions!B:B,""))</f>
        <v/>
      </c>
      <c r="N204" t="str">
        <f>IF(_xlfn.XLOOKUP(F204,PhpParamFunc!A:A,PhpParamFunc!B:B,"") = "", _xlfn.XLOOKUP(G204,PhpParamFunc!A:A,PhpParamFunc!B:B,""), _xlfn.XLOOKUP(F204,PhpParamFunc!A:A,PhpParamFunc!B:B,""))</f>
        <v/>
      </c>
      <c r="O204" t="str">
        <f>IF(_xlfn.XLOOKUP(F204,PhpAggrFunc!A:A,PhpAggrFunc!B:B,"") = "", _xlfn.XLOOKUP(G204,PhpAggrFunc!A:A,PhpAggrFunc!B:B,""), _xlfn.XLOOKUP(F204,PhpAggrFunc!A:A,PhpAggrFunc!B:B,""))</f>
        <v/>
      </c>
      <c r="P204" t="str">
        <f t="shared" si="20"/>
        <v>UNRESERVED</v>
      </c>
      <c r="Q204" t="str">
        <f t="shared" si="21"/>
        <v>static const String^ TOK_IDENTITY = "IDENTITY";</v>
      </c>
      <c r="R204" t="str">
        <f t="shared" si="22"/>
        <v>static const int TOK_IDENTITY = 628;</v>
      </c>
      <c r="S204" t="str">
        <f t="shared" si="23"/>
        <v>// _Tokens-&gt;Add((String^)GramVals::TOK_IDENTITY, gcnew Token(GramKeys::TOK_IDENTITY, EnumTokenCategory::UNRESERVED,BARE_LABEL, i++));</v>
      </c>
    </row>
    <row r="205" spans="1:19" x14ac:dyDescent="0.25">
      <c r="A205" s="3" t="s">
        <v>954</v>
      </c>
      <c r="B205" s="5">
        <v>688</v>
      </c>
      <c r="C205" s="3" t="s">
        <v>2096</v>
      </c>
      <c r="D205" s="3" t="s">
        <v>2423</v>
      </c>
      <c r="F205" t="str">
        <f t="shared" si="18"/>
        <v>IDLE</v>
      </c>
      <c r="G205" t="s">
        <v>3711</v>
      </c>
      <c r="I205" s="3" t="str">
        <f>IF(_xlfn.XLOOKUP(F205,PgSqlRaw!B:B,PgSqlRaw!E:E,"") = "",_xlfn.XLOOKUP(G205,PgSqlRaw!B:B,PgSqlRaw!E:E,""),_xlfn.XLOOKUP(F205,PgSqlRaw!B:B,PgSqlRaw!E:E,""))</f>
        <v/>
      </c>
      <c r="J205" t="str">
        <f>IF(_xlfn.XLOOKUP(F205,PgSqlRaw!B:B,PgSqlRaw!F:F,"") = "", _xlfn.XLOOKUP(G205,PgSqlRaw!B:B,PgSqlRaw!F:F,""), _xlfn.XLOOKUP(F205,PgSqlRaw!B:B,PgSqlRaw!F:F,""))</f>
        <v/>
      </c>
      <c r="K205" t="str">
        <f t="shared" si="19"/>
        <v>BARE_LABEL</v>
      </c>
      <c r="L205" t="str">
        <f>IF(_xlfn.XLOOKUP(F205,PhpReserved!A:A,PhpReserved!B:B,"") = "", _xlfn.XLOOKUP(G205,PhpReserved!A:A,PhpReserved!B:B,""),_xlfn.XLOOKUP(F205,PhpReserved!A:A,PhpReserved!B:B,""))</f>
        <v/>
      </c>
      <c r="M205" t="str">
        <f>IF(_xlfn.XLOOKUP(F205,PhpFunctions!A:A,PhpFunctions!B:B,"") =  "", _xlfn.XLOOKUP(G205,PhpFunctions!A:A,PhpFunctions!B:B,""), _xlfn.XLOOKUP(F205,PhpFunctions!A:A,PhpFunctions!B:B,""))</f>
        <v/>
      </c>
      <c r="N205" t="str">
        <f>IF(_xlfn.XLOOKUP(F205,PhpParamFunc!A:A,PhpParamFunc!B:B,"") = "", _xlfn.XLOOKUP(G205,PhpParamFunc!A:A,PhpParamFunc!B:B,""), _xlfn.XLOOKUP(F205,PhpParamFunc!A:A,PhpParamFunc!B:B,""))</f>
        <v/>
      </c>
      <c r="O205" t="str">
        <f>IF(_xlfn.XLOOKUP(F205,PhpAggrFunc!A:A,PhpAggrFunc!B:B,"") = "", _xlfn.XLOOKUP(G205,PhpAggrFunc!A:A,PhpAggrFunc!B:B,""), _xlfn.XLOOKUP(F205,PhpAggrFunc!A:A,PhpAggrFunc!B:B,""))</f>
        <v/>
      </c>
      <c r="P205" t="str">
        <f t="shared" si="20"/>
        <v>UNRESERVED</v>
      </c>
      <c r="Q205" t="str">
        <f t="shared" si="21"/>
        <v>static const String^ TOK_IDLE = "IDLE";</v>
      </c>
      <c r="R205" t="str">
        <f t="shared" si="22"/>
        <v>static const int TOK_IDLE = 688;</v>
      </c>
      <c r="S205" t="str">
        <f t="shared" si="23"/>
        <v>// _Tokens-&gt;Add((String^)GramVals::TOK_IDLE, gcnew Token(GramKeys::TOK_IDLE, EnumTokenCategory::UNRESERVED,BARE_LABEL, i++));</v>
      </c>
    </row>
    <row r="206" spans="1:19" x14ac:dyDescent="0.25">
      <c r="A206" s="3" t="s">
        <v>1571</v>
      </c>
      <c r="B206" s="5" t="s">
        <v>1148</v>
      </c>
      <c r="C206" s="3" t="s">
        <v>2097</v>
      </c>
      <c r="D206" s="3" t="s">
        <v>2423</v>
      </c>
      <c r="F206" t="str">
        <f t="shared" si="18"/>
        <v>IF</v>
      </c>
      <c r="G206" t="s">
        <v>2962</v>
      </c>
      <c r="I206" s="3" t="str">
        <f>IF(_xlfn.XLOOKUP(F206,PgSqlRaw!B:B,PgSqlRaw!E:E,"") = "",_xlfn.XLOOKUP(G206,PgSqlRaw!B:B,PgSqlRaw!E:E,""),_xlfn.XLOOKUP(F206,PgSqlRaw!B:B,PgSqlRaw!E:E,""))</f>
        <v/>
      </c>
      <c r="J206" t="str">
        <f>IF(_xlfn.XLOOKUP(F206,PgSqlRaw!B:B,PgSqlRaw!F:F,"") = "", _xlfn.XLOOKUP(G206,PgSqlRaw!B:B,PgSqlRaw!F:F,""), _xlfn.XLOOKUP(F206,PgSqlRaw!B:B,PgSqlRaw!F:F,""))</f>
        <v>BARE_LABEL</v>
      </c>
      <c r="K206" t="str">
        <f t="shared" si="19"/>
        <v>BARE_LABEL</v>
      </c>
      <c r="L206" t="str">
        <f>IF(_xlfn.XLOOKUP(F206,PhpReserved!A:A,PhpReserved!B:B,"") = "", _xlfn.XLOOKUP(G206,PhpReserved!A:A,PhpReserved!B:B,""),_xlfn.XLOOKUP(F206,PhpReserved!A:A,PhpReserved!B:B,""))</f>
        <v>RESERVED</v>
      </c>
      <c r="M206" t="str">
        <f>IF(_xlfn.XLOOKUP(F206,PhpFunctions!A:A,PhpFunctions!B:B,"") =  "", _xlfn.XLOOKUP(G206,PhpFunctions!A:A,PhpFunctions!B:B,""), _xlfn.XLOOKUP(F206,PhpFunctions!A:A,PhpFunctions!B:B,""))</f>
        <v>FUNCTION</v>
      </c>
      <c r="N206" t="str">
        <f>IF(_xlfn.XLOOKUP(F206,PhpParamFunc!A:A,PhpParamFunc!B:B,"") = "", _xlfn.XLOOKUP(G206,PhpParamFunc!A:A,PhpParamFunc!B:B,""), _xlfn.XLOOKUP(F206,PhpParamFunc!A:A,PhpParamFunc!B:B,""))</f>
        <v>PARAM_FUNCTION</v>
      </c>
      <c r="O206" t="str">
        <f>IF(_xlfn.XLOOKUP(F206,PhpAggrFunc!A:A,PhpAggrFunc!B:B,"") = "", _xlfn.XLOOKUP(G206,PhpAggrFunc!A:A,PhpAggrFunc!B:B,""), _xlfn.XLOOKUP(F206,PhpAggrFunc!A:A,PhpAggrFunc!B:B,""))</f>
        <v/>
      </c>
      <c r="P206" t="str">
        <f t="shared" si="20"/>
        <v>PARAM_FUNCTION</v>
      </c>
      <c r="Q206" t="str">
        <f t="shared" si="21"/>
        <v>static const String^ TOK_IF = "IF";</v>
      </c>
      <c r="R206" t="str">
        <f t="shared" si="22"/>
        <v>static const int TOK_IF = 324;</v>
      </c>
      <c r="S206" t="str">
        <f t="shared" si="23"/>
        <v>_Tokens-&gt;Add((String^)GramVals::TOK_IF, gcnew Token(GramKeys::TOK_IF, EnumTokenCategory::PARAM_FUNCTION,BARE_LABEL, i++));</v>
      </c>
    </row>
    <row r="207" spans="1:19" x14ac:dyDescent="0.25">
      <c r="A207" s="3" t="s">
        <v>1572</v>
      </c>
      <c r="B207" s="5" t="s">
        <v>1149</v>
      </c>
      <c r="C207" s="3" t="s">
        <v>2098</v>
      </c>
      <c r="D207" s="3" t="s">
        <v>2423</v>
      </c>
      <c r="F207" t="str">
        <f t="shared" si="18"/>
        <v>IGNORE</v>
      </c>
      <c r="G207" t="s">
        <v>3163</v>
      </c>
      <c r="I207" s="3" t="str">
        <f>IF(_xlfn.XLOOKUP(F207,PgSqlRaw!B:B,PgSqlRaw!E:E,"") = "",_xlfn.XLOOKUP(G207,PgSqlRaw!B:B,PgSqlRaw!E:E,""),_xlfn.XLOOKUP(F207,PgSqlRaw!B:B,PgSqlRaw!E:E,""))</f>
        <v/>
      </c>
      <c r="J207" t="str">
        <f>IF(_xlfn.XLOOKUP(F207,PgSqlRaw!B:B,PgSqlRaw!F:F,"") = "", _xlfn.XLOOKUP(G207,PgSqlRaw!B:B,PgSqlRaw!F:F,""), _xlfn.XLOOKUP(F207,PgSqlRaw!B:B,PgSqlRaw!F:F,""))</f>
        <v/>
      </c>
      <c r="K207" t="str">
        <f t="shared" si="19"/>
        <v>BARE_LABEL</v>
      </c>
      <c r="L207" t="str">
        <f>IF(_xlfn.XLOOKUP(F207,PhpReserved!A:A,PhpReserved!B:B,"") = "", _xlfn.XLOOKUP(G207,PhpReserved!A:A,PhpReserved!B:B,""),_xlfn.XLOOKUP(F207,PhpReserved!A:A,PhpReserved!B:B,""))</f>
        <v>RESERVED</v>
      </c>
      <c r="M207" t="str">
        <f>IF(_xlfn.XLOOKUP(F207,PhpFunctions!A:A,PhpFunctions!B:B,"") =  "", _xlfn.XLOOKUP(G207,PhpFunctions!A:A,PhpFunctions!B:B,""), _xlfn.XLOOKUP(F207,PhpFunctions!A:A,PhpFunctions!B:B,""))</f>
        <v/>
      </c>
      <c r="N207" t="str">
        <f>IF(_xlfn.XLOOKUP(F207,PhpParamFunc!A:A,PhpParamFunc!B:B,"") = "", _xlfn.XLOOKUP(G207,PhpParamFunc!A:A,PhpParamFunc!B:B,""), _xlfn.XLOOKUP(F207,PhpParamFunc!A:A,PhpParamFunc!B:B,""))</f>
        <v/>
      </c>
      <c r="O207" t="str">
        <f>IF(_xlfn.XLOOKUP(F207,PhpAggrFunc!A:A,PhpAggrFunc!B:B,"") = "", _xlfn.XLOOKUP(G207,PhpAggrFunc!A:A,PhpAggrFunc!B:B,""), _xlfn.XLOOKUP(F207,PhpAggrFunc!A:A,PhpAggrFunc!B:B,""))</f>
        <v/>
      </c>
      <c r="P207" t="str">
        <f t="shared" si="20"/>
        <v>RESERVED</v>
      </c>
      <c r="Q207" t="str">
        <f t="shared" si="21"/>
        <v>static const String^ TOK_IGNORE = "IGNORE";</v>
      </c>
      <c r="R207" t="str">
        <f t="shared" si="22"/>
        <v>static const int TOK_IGNORE = 520;</v>
      </c>
      <c r="S207" t="str">
        <f t="shared" si="23"/>
        <v>_Tokens-&gt;Add((String^)GramVals::TOK_IGNORE, gcnew Token(GramKeys::TOK_IGNORE, EnumTokenCategory::RESERVED,BARE_LABEL, i++));</v>
      </c>
    </row>
    <row r="208" spans="1:19" x14ac:dyDescent="0.25">
      <c r="A208" s="3" t="s">
        <v>1573</v>
      </c>
      <c r="B208" s="5" t="s">
        <v>1150</v>
      </c>
      <c r="C208" s="3" t="s">
        <v>2099</v>
      </c>
      <c r="D208" s="3" t="s">
        <v>2423</v>
      </c>
      <c r="F208" t="str">
        <f t="shared" si="18"/>
        <v>IIF</v>
      </c>
      <c r="G208" t="s">
        <v>3712</v>
      </c>
      <c r="I208" s="3" t="str">
        <f>IF(_xlfn.XLOOKUP(F208,PgSqlRaw!B:B,PgSqlRaw!E:E,"") = "",_xlfn.XLOOKUP(G208,PgSqlRaw!B:B,PgSqlRaw!E:E,""),_xlfn.XLOOKUP(F208,PgSqlRaw!B:B,PgSqlRaw!E:E,""))</f>
        <v/>
      </c>
      <c r="J208" t="str">
        <f>IF(_xlfn.XLOOKUP(F208,PgSqlRaw!B:B,PgSqlRaw!F:F,"") = "", _xlfn.XLOOKUP(G208,PgSqlRaw!B:B,PgSqlRaw!F:F,""), _xlfn.XLOOKUP(F208,PgSqlRaw!B:B,PgSqlRaw!F:F,""))</f>
        <v/>
      </c>
      <c r="K208" t="str">
        <f t="shared" si="19"/>
        <v>BARE_LABEL</v>
      </c>
      <c r="L208" t="str">
        <f>IF(_xlfn.XLOOKUP(F208,PhpReserved!A:A,PhpReserved!B:B,"") = "", _xlfn.XLOOKUP(G208,PhpReserved!A:A,PhpReserved!B:B,""),_xlfn.XLOOKUP(F208,PhpReserved!A:A,PhpReserved!B:B,""))</f>
        <v/>
      </c>
      <c r="M208" t="str">
        <f>IF(_xlfn.XLOOKUP(F208,PhpFunctions!A:A,PhpFunctions!B:B,"") =  "", _xlfn.XLOOKUP(G208,PhpFunctions!A:A,PhpFunctions!B:B,""), _xlfn.XLOOKUP(F208,PhpFunctions!A:A,PhpFunctions!B:B,""))</f>
        <v/>
      </c>
      <c r="N208" t="str">
        <f>IF(_xlfn.XLOOKUP(F208,PhpParamFunc!A:A,PhpParamFunc!B:B,"") = "", _xlfn.XLOOKUP(G208,PhpParamFunc!A:A,PhpParamFunc!B:B,""), _xlfn.XLOOKUP(F208,PhpParamFunc!A:A,PhpParamFunc!B:B,""))</f>
        <v/>
      </c>
      <c r="O208" t="str">
        <f>IF(_xlfn.XLOOKUP(F208,PhpAggrFunc!A:A,PhpAggrFunc!B:B,"") = "", _xlfn.XLOOKUP(G208,PhpAggrFunc!A:A,PhpAggrFunc!B:B,""), _xlfn.XLOOKUP(F208,PhpAggrFunc!A:A,PhpAggrFunc!B:B,""))</f>
        <v/>
      </c>
      <c r="P208" t="str">
        <f t="shared" si="20"/>
        <v>UNRESERVED</v>
      </c>
      <c r="Q208" t="str">
        <f t="shared" si="21"/>
        <v>static const String^ TOK_IIF = "IIF";</v>
      </c>
      <c r="R208" t="str">
        <f t="shared" si="22"/>
        <v>static const int TOK_IIF = 502;</v>
      </c>
      <c r="S208" t="str">
        <f t="shared" si="23"/>
        <v>// _Tokens-&gt;Add((String^)GramVals::TOK_IIF, gcnew Token(GramKeys::TOK_IIF, EnumTokenCategory::UNRESERVED,BARE_LABEL, i++));</v>
      </c>
    </row>
    <row r="209" spans="1:19" x14ac:dyDescent="0.25">
      <c r="A209" s="3" t="s">
        <v>1574</v>
      </c>
      <c r="B209" s="5" t="s">
        <v>1151</v>
      </c>
      <c r="C209" s="3" t="s">
        <v>2100</v>
      </c>
      <c r="D209" s="3" t="s">
        <v>881</v>
      </c>
      <c r="F209" t="str">
        <f t="shared" si="18"/>
        <v>IN</v>
      </c>
      <c r="G209" t="s">
        <v>2964</v>
      </c>
      <c r="I209" s="3" t="str">
        <f>IF(_xlfn.XLOOKUP(F209,PgSqlRaw!B:B,PgSqlRaw!E:E,"") = "",_xlfn.XLOOKUP(G209,PgSqlRaw!B:B,PgSqlRaw!E:E,""),_xlfn.XLOOKUP(F209,PgSqlRaw!B:B,PgSqlRaw!E:E,""))</f>
        <v>RESERVED</v>
      </c>
      <c r="J209" t="str">
        <f>IF(_xlfn.XLOOKUP(F209,PgSqlRaw!B:B,PgSqlRaw!F:F,"") = "", _xlfn.XLOOKUP(G209,PgSqlRaw!B:B,PgSqlRaw!F:F,""), _xlfn.XLOOKUP(F209,PgSqlRaw!B:B,PgSqlRaw!F:F,""))</f>
        <v>BARE_LABEL</v>
      </c>
      <c r="K209" t="str">
        <f t="shared" si="19"/>
        <v>BARE_LABEL</v>
      </c>
      <c r="L209" t="str">
        <f>IF(_xlfn.XLOOKUP(F209,PhpReserved!A:A,PhpReserved!B:B,"") = "", _xlfn.XLOOKUP(G209,PhpReserved!A:A,PhpReserved!B:B,""),_xlfn.XLOOKUP(F209,PhpReserved!A:A,PhpReserved!B:B,""))</f>
        <v>RESERVED</v>
      </c>
      <c r="M209" t="str">
        <f>IF(_xlfn.XLOOKUP(F209,PhpFunctions!A:A,PhpFunctions!B:B,"") =  "", _xlfn.XLOOKUP(G209,PhpFunctions!A:A,PhpFunctions!B:B,""), _xlfn.XLOOKUP(F209,PhpFunctions!A:A,PhpFunctions!B:B,""))</f>
        <v>FUNCTION</v>
      </c>
      <c r="N209" t="str">
        <f>IF(_xlfn.XLOOKUP(F209,PhpParamFunc!A:A,PhpParamFunc!B:B,"") = "", _xlfn.XLOOKUP(G209,PhpParamFunc!A:A,PhpParamFunc!B:B,""), _xlfn.XLOOKUP(F209,PhpParamFunc!A:A,PhpParamFunc!B:B,""))</f>
        <v>PARAM_FUNCTION</v>
      </c>
      <c r="O209" t="str">
        <f>IF(_xlfn.XLOOKUP(F209,PhpAggrFunc!A:A,PhpAggrFunc!B:B,"") = "", _xlfn.XLOOKUP(G209,PhpAggrFunc!A:A,PhpAggrFunc!B:B,""), _xlfn.XLOOKUP(F209,PhpAggrFunc!A:A,PhpAggrFunc!B:B,""))</f>
        <v/>
      </c>
      <c r="P209" t="str">
        <f t="shared" si="20"/>
        <v>PARAM_FUNCTION</v>
      </c>
      <c r="Q209" t="str">
        <f t="shared" si="21"/>
        <v>static const String^ TOK_IN = "IN";</v>
      </c>
      <c r="R209" t="str">
        <f t="shared" si="22"/>
        <v>static const int TOK_IN = 325;</v>
      </c>
      <c r="S209" t="str">
        <f t="shared" si="23"/>
        <v>_Tokens-&gt;Add((String^)GramVals::TOK_IN, gcnew Token(GramKeys::TOK_IN, EnumTokenCategory::PARAM_FUNCTION,BARE_LABEL, i++));</v>
      </c>
    </row>
    <row r="210" spans="1:19" x14ac:dyDescent="0.25">
      <c r="A210" s="3" t="s">
        <v>1575</v>
      </c>
      <c r="B210" s="5" t="s">
        <v>1152</v>
      </c>
      <c r="C210" s="3" t="s">
        <v>2101</v>
      </c>
      <c r="D210" s="3" t="s">
        <v>2423</v>
      </c>
      <c r="F210" t="str">
        <f t="shared" si="18"/>
        <v>INACTIVE</v>
      </c>
      <c r="G210" t="s">
        <v>3713</v>
      </c>
      <c r="I210" s="3" t="str">
        <f>IF(_xlfn.XLOOKUP(F210,PgSqlRaw!B:B,PgSqlRaw!E:E,"") = "",_xlfn.XLOOKUP(G210,PgSqlRaw!B:B,PgSqlRaw!E:E,""),_xlfn.XLOOKUP(F210,PgSqlRaw!B:B,PgSqlRaw!E:E,""))</f>
        <v/>
      </c>
      <c r="J210" t="str">
        <f>IF(_xlfn.XLOOKUP(F210,PgSqlRaw!B:B,PgSqlRaw!F:F,"") = "", _xlfn.XLOOKUP(G210,PgSqlRaw!B:B,PgSqlRaw!F:F,""), _xlfn.XLOOKUP(F210,PgSqlRaw!B:B,PgSqlRaw!F:F,""))</f>
        <v/>
      </c>
      <c r="K210" t="str">
        <f t="shared" si="19"/>
        <v>BARE_LABEL</v>
      </c>
      <c r="L210" t="str">
        <f>IF(_xlfn.XLOOKUP(F210,PhpReserved!A:A,PhpReserved!B:B,"") = "", _xlfn.XLOOKUP(G210,PhpReserved!A:A,PhpReserved!B:B,""),_xlfn.XLOOKUP(F210,PhpReserved!A:A,PhpReserved!B:B,""))</f>
        <v/>
      </c>
      <c r="M210" t="str">
        <f>IF(_xlfn.XLOOKUP(F210,PhpFunctions!A:A,PhpFunctions!B:B,"") =  "", _xlfn.XLOOKUP(G210,PhpFunctions!A:A,PhpFunctions!B:B,""), _xlfn.XLOOKUP(F210,PhpFunctions!A:A,PhpFunctions!B:B,""))</f>
        <v/>
      </c>
      <c r="N210" t="str">
        <f>IF(_xlfn.XLOOKUP(F210,PhpParamFunc!A:A,PhpParamFunc!B:B,"") = "", _xlfn.XLOOKUP(G210,PhpParamFunc!A:A,PhpParamFunc!B:B,""), _xlfn.XLOOKUP(F210,PhpParamFunc!A:A,PhpParamFunc!B:B,""))</f>
        <v/>
      </c>
      <c r="O210" t="str">
        <f>IF(_xlfn.XLOOKUP(F210,PhpAggrFunc!A:A,PhpAggrFunc!B:B,"") = "", _xlfn.XLOOKUP(G210,PhpAggrFunc!A:A,PhpAggrFunc!B:B,""), _xlfn.XLOOKUP(F210,PhpAggrFunc!A:A,PhpAggrFunc!B:B,""))</f>
        <v/>
      </c>
      <c r="P210" t="str">
        <f t="shared" si="20"/>
        <v>UNRESERVED</v>
      </c>
      <c r="Q210" t="str">
        <f t="shared" si="21"/>
        <v>static const String^ TOK_INACTIVE = "INACTIVE";</v>
      </c>
      <c r="R210" t="str">
        <f t="shared" si="22"/>
        <v>static const int TOK_INACTIVE = 326;</v>
      </c>
      <c r="S210" t="str">
        <f t="shared" si="23"/>
        <v>// _Tokens-&gt;Add((String^)GramVals::TOK_INACTIVE, gcnew Token(GramKeys::TOK_INACTIVE, EnumTokenCategory::UNRESERVED,BARE_LABEL, i++));</v>
      </c>
    </row>
    <row r="211" spans="1:19" x14ac:dyDescent="0.25">
      <c r="A211" s="3" t="s">
        <v>1576</v>
      </c>
      <c r="B211" s="5">
        <v>690</v>
      </c>
      <c r="C211" s="3" t="s">
        <v>2102</v>
      </c>
      <c r="D211" s="3" t="s">
        <v>2423</v>
      </c>
      <c r="F211" t="str">
        <f t="shared" si="18"/>
        <v>INCLUDE</v>
      </c>
      <c r="G211" t="s">
        <v>3423</v>
      </c>
      <c r="I211" s="3" t="str">
        <f>IF(_xlfn.XLOOKUP(F211,PgSqlRaw!B:B,PgSqlRaw!E:E,"") = "",_xlfn.XLOOKUP(G211,PgSqlRaw!B:B,PgSqlRaw!E:E,""),_xlfn.XLOOKUP(F211,PgSqlRaw!B:B,PgSqlRaw!E:E,""))</f>
        <v/>
      </c>
      <c r="J211" t="str">
        <f>IF(_xlfn.XLOOKUP(F211,PgSqlRaw!B:B,PgSqlRaw!F:F,"") = "", _xlfn.XLOOKUP(G211,PgSqlRaw!B:B,PgSqlRaw!F:F,""), _xlfn.XLOOKUP(F211,PgSqlRaw!B:B,PgSqlRaw!F:F,""))</f>
        <v>BARE_LABEL</v>
      </c>
      <c r="K211" t="str">
        <f t="shared" si="19"/>
        <v>BARE_LABEL</v>
      </c>
      <c r="L211" t="str">
        <f>IF(_xlfn.XLOOKUP(F211,PhpReserved!A:A,PhpReserved!B:B,"") = "", _xlfn.XLOOKUP(G211,PhpReserved!A:A,PhpReserved!B:B,""),_xlfn.XLOOKUP(F211,PhpReserved!A:A,PhpReserved!B:B,""))</f>
        <v/>
      </c>
      <c r="M211" t="str">
        <f>IF(_xlfn.XLOOKUP(F211,PhpFunctions!A:A,PhpFunctions!B:B,"") =  "", _xlfn.XLOOKUP(G211,PhpFunctions!A:A,PhpFunctions!B:B,""), _xlfn.XLOOKUP(F211,PhpFunctions!A:A,PhpFunctions!B:B,""))</f>
        <v/>
      </c>
      <c r="N211" t="str">
        <f>IF(_xlfn.XLOOKUP(F211,PhpParamFunc!A:A,PhpParamFunc!B:B,"") = "", _xlfn.XLOOKUP(G211,PhpParamFunc!A:A,PhpParamFunc!B:B,""), _xlfn.XLOOKUP(F211,PhpParamFunc!A:A,PhpParamFunc!B:B,""))</f>
        <v/>
      </c>
      <c r="O211" t="str">
        <f>IF(_xlfn.XLOOKUP(F211,PhpAggrFunc!A:A,PhpAggrFunc!B:B,"") = "", _xlfn.XLOOKUP(G211,PhpAggrFunc!A:A,PhpAggrFunc!B:B,""), _xlfn.XLOOKUP(F211,PhpAggrFunc!A:A,PhpAggrFunc!B:B,""))</f>
        <v/>
      </c>
      <c r="P211" t="str">
        <f t="shared" si="20"/>
        <v>UNRESERVED</v>
      </c>
      <c r="Q211" t="str">
        <f t="shared" si="21"/>
        <v>static const String^ TOK_INCLUDE = "INCLUDE";</v>
      </c>
      <c r="R211" t="str">
        <f t="shared" si="22"/>
        <v>static const int TOK_INCLUDE = 690;</v>
      </c>
      <c r="S211" t="str">
        <f t="shared" si="23"/>
        <v>// _Tokens-&gt;Add((String^)GramVals::TOK_INCLUDE, gcnew Token(GramKeys::TOK_INCLUDE, EnumTokenCategory::UNRESERVED,BARE_LABEL, i++));</v>
      </c>
    </row>
    <row r="212" spans="1:19" x14ac:dyDescent="0.25">
      <c r="A212" s="3" t="s">
        <v>1577</v>
      </c>
      <c r="B212" s="5">
        <v>691</v>
      </c>
      <c r="C212" s="3" t="s">
        <v>2103</v>
      </c>
      <c r="D212" s="3" t="s">
        <v>2423</v>
      </c>
      <c r="F212" t="str">
        <f t="shared" si="18"/>
        <v>INCREMENT</v>
      </c>
      <c r="G212" t="s">
        <v>3425</v>
      </c>
      <c r="I212" s="3" t="str">
        <f>IF(_xlfn.XLOOKUP(F212,PgSqlRaw!B:B,PgSqlRaw!E:E,"") = "",_xlfn.XLOOKUP(G212,PgSqlRaw!B:B,PgSqlRaw!E:E,""),_xlfn.XLOOKUP(F212,PgSqlRaw!B:B,PgSqlRaw!E:E,""))</f>
        <v/>
      </c>
      <c r="J212" t="str">
        <f>IF(_xlfn.XLOOKUP(F212,PgSqlRaw!B:B,PgSqlRaw!F:F,"") = "", _xlfn.XLOOKUP(G212,PgSqlRaw!B:B,PgSqlRaw!F:F,""), _xlfn.XLOOKUP(F212,PgSqlRaw!B:B,PgSqlRaw!F:F,""))</f>
        <v>BARE_LABEL</v>
      </c>
      <c r="K212" t="str">
        <f t="shared" si="19"/>
        <v>BARE_LABEL</v>
      </c>
      <c r="L212" t="str">
        <f>IF(_xlfn.XLOOKUP(F212,PhpReserved!A:A,PhpReserved!B:B,"") = "", _xlfn.XLOOKUP(G212,PhpReserved!A:A,PhpReserved!B:B,""),_xlfn.XLOOKUP(F212,PhpReserved!A:A,PhpReserved!B:B,""))</f>
        <v/>
      </c>
      <c r="M212" t="str">
        <f>IF(_xlfn.XLOOKUP(F212,PhpFunctions!A:A,PhpFunctions!B:B,"") =  "", _xlfn.XLOOKUP(G212,PhpFunctions!A:A,PhpFunctions!B:B,""), _xlfn.XLOOKUP(F212,PhpFunctions!A:A,PhpFunctions!B:B,""))</f>
        <v/>
      </c>
      <c r="N212" t="str">
        <f>IF(_xlfn.XLOOKUP(F212,PhpParamFunc!A:A,PhpParamFunc!B:B,"") = "", _xlfn.XLOOKUP(G212,PhpParamFunc!A:A,PhpParamFunc!B:B,""), _xlfn.XLOOKUP(F212,PhpParamFunc!A:A,PhpParamFunc!B:B,""))</f>
        <v/>
      </c>
      <c r="O212" t="str">
        <f>IF(_xlfn.XLOOKUP(F212,PhpAggrFunc!A:A,PhpAggrFunc!B:B,"") = "", _xlfn.XLOOKUP(G212,PhpAggrFunc!A:A,PhpAggrFunc!B:B,""), _xlfn.XLOOKUP(F212,PhpAggrFunc!A:A,PhpAggrFunc!B:B,""))</f>
        <v/>
      </c>
      <c r="P212" t="str">
        <f t="shared" si="20"/>
        <v>UNRESERVED</v>
      </c>
      <c r="Q212" t="str">
        <f t="shared" si="21"/>
        <v>static const String^ TOK_INCREMENT = "INCREMENT";</v>
      </c>
      <c r="R212" t="str">
        <f t="shared" si="22"/>
        <v>static const int TOK_INCREMENT = 691;</v>
      </c>
      <c r="S212" t="str">
        <f t="shared" si="23"/>
        <v>// _Tokens-&gt;Add((String^)GramVals::TOK_INCREMENT, gcnew Token(GramKeys::TOK_INCREMENT, EnumTokenCategory::UNRESERVED,BARE_LABEL, i++));</v>
      </c>
    </row>
    <row r="213" spans="1:19" x14ac:dyDescent="0.25">
      <c r="A213" s="3" t="s">
        <v>1578</v>
      </c>
      <c r="B213" s="5" t="s">
        <v>1153</v>
      </c>
      <c r="C213" s="3" t="s">
        <v>2104</v>
      </c>
      <c r="D213" s="3" t="s">
        <v>881</v>
      </c>
      <c r="F213" t="str">
        <f t="shared" si="18"/>
        <v>INDEX</v>
      </c>
      <c r="G213" t="s">
        <v>3164</v>
      </c>
      <c r="I213" s="3" t="str">
        <f>IF(_xlfn.XLOOKUP(F213,PgSqlRaw!B:B,PgSqlRaw!E:E,"") = "",_xlfn.XLOOKUP(G213,PgSqlRaw!B:B,PgSqlRaw!E:E,""),_xlfn.XLOOKUP(F213,PgSqlRaw!B:B,PgSqlRaw!E:E,""))</f>
        <v/>
      </c>
      <c r="J213" t="str">
        <f>IF(_xlfn.XLOOKUP(F213,PgSqlRaw!B:B,PgSqlRaw!F:F,"") = "", _xlfn.XLOOKUP(G213,PgSqlRaw!B:B,PgSqlRaw!F:F,""), _xlfn.XLOOKUP(F213,PgSqlRaw!B:B,PgSqlRaw!F:F,""))</f>
        <v>BARE_LABEL</v>
      </c>
      <c r="K213" t="str">
        <f t="shared" si="19"/>
        <v>BARE_LABEL</v>
      </c>
      <c r="L213" t="str">
        <f>IF(_xlfn.XLOOKUP(F213,PhpReserved!A:A,PhpReserved!B:B,"") = "", _xlfn.XLOOKUP(G213,PhpReserved!A:A,PhpReserved!B:B,""),_xlfn.XLOOKUP(F213,PhpReserved!A:A,PhpReserved!B:B,""))</f>
        <v>RESERVED</v>
      </c>
      <c r="M213" t="str">
        <f>IF(_xlfn.XLOOKUP(F213,PhpFunctions!A:A,PhpFunctions!B:B,"") =  "", _xlfn.XLOOKUP(G213,PhpFunctions!A:A,PhpFunctions!B:B,""), _xlfn.XLOOKUP(F213,PhpFunctions!A:A,PhpFunctions!B:B,""))</f>
        <v/>
      </c>
      <c r="N213" t="str">
        <f>IF(_xlfn.XLOOKUP(F213,PhpParamFunc!A:A,PhpParamFunc!B:B,"") = "", _xlfn.XLOOKUP(G213,PhpParamFunc!A:A,PhpParamFunc!B:B,""), _xlfn.XLOOKUP(F213,PhpParamFunc!A:A,PhpParamFunc!B:B,""))</f>
        <v/>
      </c>
      <c r="O213" t="str">
        <f>IF(_xlfn.XLOOKUP(F213,PhpAggrFunc!A:A,PhpAggrFunc!B:B,"") = "", _xlfn.XLOOKUP(G213,PhpAggrFunc!A:A,PhpAggrFunc!B:B,""), _xlfn.XLOOKUP(F213,PhpAggrFunc!A:A,PhpAggrFunc!B:B,""))</f>
        <v/>
      </c>
      <c r="P213" t="str">
        <f t="shared" si="20"/>
        <v>RESERVED</v>
      </c>
      <c r="Q213" t="str">
        <f t="shared" si="21"/>
        <v>static const String^ TOK_INDEX = "INDEX";</v>
      </c>
      <c r="R213" t="str">
        <f t="shared" si="22"/>
        <v>static const int TOK_INDEX = 329;</v>
      </c>
      <c r="S213" t="str">
        <f t="shared" si="23"/>
        <v>_Tokens-&gt;Add((String^)GramVals::TOK_INDEX, gcnew Token(GramKeys::TOK_INDEX, EnumTokenCategory::RESERVED,BARE_LABEL, i++));</v>
      </c>
    </row>
    <row r="214" spans="1:19" x14ac:dyDescent="0.25">
      <c r="A214" s="3" t="s">
        <v>1579</v>
      </c>
      <c r="B214" s="5" t="s">
        <v>1154</v>
      </c>
      <c r="C214" s="3" t="s">
        <v>2105</v>
      </c>
      <c r="D214" s="3" t="s">
        <v>881</v>
      </c>
      <c r="F214" t="str">
        <f t="shared" si="18"/>
        <v>INNER</v>
      </c>
      <c r="G214" t="s">
        <v>3166</v>
      </c>
      <c r="I214" s="3" t="str">
        <f>IF(_xlfn.XLOOKUP(F214,PgSqlRaw!B:B,PgSqlRaw!E:E,"") = "",_xlfn.XLOOKUP(G214,PgSqlRaw!B:B,PgSqlRaw!E:E,""),_xlfn.XLOOKUP(F214,PgSqlRaw!B:B,PgSqlRaw!E:E,""))</f>
        <v>FUNCTION</v>
      </c>
      <c r="J214" t="str">
        <f>IF(_xlfn.XLOOKUP(F214,PgSqlRaw!B:B,PgSqlRaw!F:F,"") = "", _xlfn.XLOOKUP(G214,PgSqlRaw!B:B,PgSqlRaw!F:F,""), _xlfn.XLOOKUP(F214,PgSqlRaw!B:B,PgSqlRaw!F:F,""))</f>
        <v>BARE_LABEL</v>
      </c>
      <c r="K214" t="str">
        <f t="shared" si="19"/>
        <v>BARE_LABEL</v>
      </c>
      <c r="L214" t="str">
        <f>IF(_xlfn.XLOOKUP(F214,PhpReserved!A:A,PhpReserved!B:B,"") = "", _xlfn.XLOOKUP(G214,PhpReserved!A:A,PhpReserved!B:B,""),_xlfn.XLOOKUP(F214,PhpReserved!A:A,PhpReserved!B:B,""))</f>
        <v>RESERVED</v>
      </c>
      <c r="M214" t="str">
        <f>IF(_xlfn.XLOOKUP(F214,PhpFunctions!A:A,PhpFunctions!B:B,"") =  "", _xlfn.XLOOKUP(G214,PhpFunctions!A:A,PhpFunctions!B:B,""), _xlfn.XLOOKUP(F214,PhpFunctions!A:A,PhpFunctions!B:B,""))</f>
        <v/>
      </c>
      <c r="N214" t="str">
        <f>IF(_xlfn.XLOOKUP(F214,PhpParamFunc!A:A,PhpParamFunc!B:B,"") = "", _xlfn.XLOOKUP(G214,PhpParamFunc!A:A,PhpParamFunc!B:B,""), _xlfn.XLOOKUP(F214,PhpParamFunc!A:A,PhpParamFunc!B:B,""))</f>
        <v/>
      </c>
      <c r="O214" t="str">
        <f>IF(_xlfn.XLOOKUP(F214,PhpAggrFunc!A:A,PhpAggrFunc!B:B,"") = "", _xlfn.XLOOKUP(G214,PhpAggrFunc!A:A,PhpAggrFunc!B:B,""), _xlfn.XLOOKUP(F214,PhpAggrFunc!A:A,PhpAggrFunc!B:B,""))</f>
        <v/>
      </c>
      <c r="P214" t="str">
        <f t="shared" si="20"/>
        <v>RESERVED</v>
      </c>
      <c r="Q214" t="str">
        <f t="shared" si="21"/>
        <v>static const String^ TOK_INNER = "INNER";</v>
      </c>
      <c r="R214" t="str">
        <f t="shared" si="22"/>
        <v>static const int TOK_INNER = 327;</v>
      </c>
      <c r="S214" t="str">
        <f t="shared" si="23"/>
        <v>_Tokens-&gt;Add((String^)GramVals::TOK_INNER, gcnew Token(GramKeys::TOK_INNER, EnumTokenCategory::RESERVED,BARE_LABEL, i++));</v>
      </c>
    </row>
    <row r="215" spans="1:19" x14ac:dyDescent="0.25">
      <c r="A215" s="3" t="s">
        <v>1580</v>
      </c>
      <c r="B215" s="5" t="s">
        <v>1155</v>
      </c>
      <c r="C215" s="3" t="s">
        <v>2106</v>
      </c>
      <c r="D215" s="3" t="s">
        <v>2423</v>
      </c>
      <c r="F215" t="str">
        <f t="shared" si="18"/>
        <v>INPUT_TYPE</v>
      </c>
      <c r="G215" t="s">
        <v>3714</v>
      </c>
      <c r="I215" s="3" t="str">
        <f>IF(_xlfn.XLOOKUP(F215,PgSqlRaw!B:B,PgSqlRaw!E:E,"") = "",_xlfn.XLOOKUP(G215,PgSqlRaw!B:B,PgSqlRaw!E:E,""),_xlfn.XLOOKUP(F215,PgSqlRaw!B:B,PgSqlRaw!E:E,""))</f>
        <v/>
      </c>
      <c r="J215" t="str">
        <f>IF(_xlfn.XLOOKUP(F215,PgSqlRaw!B:B,PgSqlRaw!F:F,"") = "", _xlfn.XLOOKUP(G215,PgSqlRaw!B:B,PgSqlRaw!F:F,""), _xlfn.XLOOKUP(F215,PgSqlRaw!B:B,PgSqlRaw!F:F,""))</f>
        <v/>
      </c>
      <c r="K215" t="str">
        <f t="shared" si="19"/>
        <v>BARE_LABEL</v>
      </c>
      <c r="L215" t="str">
        <f>IF(_xlfn.XLOOKUP(F215,PhpReserved!A:A,PhpReserved!B:B,"") = "", _xlfn.XLOOKUP(G215,PhpReserved!A:A,PhpReserved!B:B,""),_xlfn.XLOOKUP(F215,PhpReserved!A:A,PhpReserved!B:B,""))</f>
        <v/>
      </c>
      <c r="M215" t="str">
        <f>IF(_xlfn.XLOOKUP(F215,PhpFunctions!A:A,PhpFunctions!B:B,"") =  "", _xlfn.XLOOKUP(G215,PhpFunctions!A:A,PhpFunctions!B:B,""), _xlfn.XLOOKUP(F215,PhpFunctions!A:A,PhpFunctions!B:B,""))</f>
        <v/>
      </c>
      <c r="N215" t="str">
        <f>IF(_xlfn.XLOOKUP(F215,PhpParamFunc!A:A,PhpParamFunc!B:B,"") = "", _xlfn.XLOOKUP(G215,PhpParamFunc!A:A,PhpParamFunc!B:B,""), _xlfn.XLOOKUP(F215,PhpParamFunc!A:A,PhpParamFunc!B:B,""))</f>
        <v/>
      </c>
      <c r="O215" t="str">
        <f>IF(_xlfn.XLOOKUP(F215,PhpAggrFunc!A:A,PhpAggrFunc!B:B,"") = "", _xlfn.XLOOKUP(G215,PhpAggrFunc!A:A,PhpAggrFunc!B:B,""), _xlfn.XLOOKUP(F215,PhpAggrFunc!A:A,PhpAggrFunc!B:B,""))</f>
        <v/>
      </c>
      <c r="P215" t="str">
        <f t="shared" si="20"/>
        <v>UNRESERVED</v>
      </c>
      <c r="Q215" t="str">
        <f t="shared" si="21"/>
        <v>static const String^ TOK_INPUT_TYPE = "INPUT_TYPE";</v>
      </c>
      <c r="R215" t="str">
        <f t="shared" si="22"/>
        <v>static const int TOK_INPUT_TYPE = 328;</v>
      </c>
      <c r="S215" t="str">
        <f t="shared" si="23"/>
        <v>// _Tokens-&gt;Add((String^)GramVals::TOK_INPUT_TYPE, gcnew Token(GramKeys::TOK_INPUT_TYPE, EnumTokenCategory::UNRESERVED,BARE_LABEL, i++));</v>
      </c>
    </row>
    <row r="216" spans="1:19" x14ac:dyDescent="0.25">
      <c r="A216" s="3" t="s">
        <v>1581</v>
      </c>
      <c r="B216" s="5" t="s">
        <v>1156</v>
      </c>
      <c r="C216" s="3" t="s">
        <v>2107</v>
      </c>
      <c r="D216" s="3" t="s">
        <v>881</v>
      </c>
      <c r="F216" t="str">
        <f t="shared" si="18"/>
        <v>INSENSITIVE</v>
      </c>
      <c r="G216" t="s">
        <v>3169</v>
      </c>
      <c r="I216" s="3" t="str">
        <f>IF(_xlfn.XLOOKUP(F216,PgSqlRaw!B:B,PgSqlRaw!E:E,"") = "",_xlfn.XLOOKUP(G216,PgSqlRaw!B:B,PgSqlRaw!E:E,""),_xlfn.XLOOKUP(F216,PgSqlRaw!B:B,PgSqlRaw!E:E,""))</f>
        <v/>
      </c>
      <c r="J216" t="str">
        <f>IF(_xlfn.XLOOKUP(F216,PgSqlRaw!B:B,PgSqlRaw!F:F,"") = "", _xlfn.XLOOKUP(G216,PgSqlRaw!B:B,PgSqlRaw!F:F,""), _xlfn.XLOOKUP(F216,PgSqlRaw!B:B,PgSqlRaw!F:F,""))</f>
        <v>BARE_LABEL</v>
      </c>
      <c r="K216" t="str">
        <f t="shared" si="19"/>
        <v>BARE_LABEL</v>
      </c>
      <c r="L216" t="str">
        <f>IF(_xlfn.XLOOKUP(F216,PhpReserved!A:A,PhpReserved!B:B,"") = "", _xlfn.XLOOKUP(G216,PhpReserved!A:A,PhpReserved!B:B,""),_xlfn.XLOOKUP(F216,PhpReserved!A:A,PhpReserved!B:B,""))</f>
        <v>RESERVED</v>
      </c>
      <c r="M216" t="str">
        <f>IF(_xlfn.XLOOKUP(F216,PhpFunctions!A:A,PhpFunctions!B:B,"") =  "", _xlfn.XLOOKUP(G216,PhpFunctions!A:A,PhpFunctions!B:B,""), _xlfn.XLOOKUP(F216,PhpFunctions!A:A,PhpFunctions!B:B,""))</f>
        <v/>
      </c>
      <c r="N216" t="str">
        <f>IF(_xlfn.XLOOKUP(F216,PhpParamFunc!A:A,PhpParamFunc!B:B,"") = "", _xlfn.XLOOKUP(G216,PhpParamFunc!A:A,PhpParamFunc!B:B,""), _xlfn.XLOOKUP(F216,PhpParamFunc!A:A,PhpParamFunc!B:B,""))</f>
        <v/>
      </c>
      <c r="O216" t="str">
        <f>IF(_xlfn.XLOOKUP(F216,PhpAggrFunc!A:A,PhpAggrFunc!B:B,"") = "", _xlfn.XLOOKUP(G216,PhpAggrFunc!A:A,PhpAggrFunc!B:B,""), _xlfn.XLOOKUP(F216,PhpAggrFunc!A:A,PhpAggrFunc!B:B,""))</f>
        <v/>
      </c>
      <c r="P216" t="str">
        <f t="shared" si="20"/>
        <v>RESERVED</v>
      </c>
      <c r="Q216" t="str">
        <f t="shared" si="21"/>
        <v>static const String^ TOK_INSENSITIVE = "INSENSITIVE";</v>
      </c>
      <c r="R216" t="str">
        <f t="shared" si="22"/>
        <v>static const int TOK_INSENSITIVE = 554;</v>
      </c>
      <c r="S216" t="str">
        <f t="shared" si="23"/>
        <v>_Tokens-&gt;Add((String^)GramVals::TOK_INSENSITIVE, gcnew Token(GramKeys::TOK_INSENSITIVE, EnumTokenCategory::RESERVED,BARE_LABEL, i++));</v>
      </c>
    </row>
    <row r="217" spans="1:19" x14ac:dyDescent="0.25">
      <c r="A217" s="3" t="s">
        <v>1582</v>
      </c>
      <c r="B217" s="5" t="s">
        <v>1157</v>
      </c>
      <c r="C217" s="3" t="s">
        <v>2108</v>
      </c>
      <c r="D217" s="3" t="s">
        <v>881</v>
      </c>
      <c r="F217" t="str">
        <f t="shared" si="18"/>
        <v>INSERT</v>
      </c>
      <c r="G217" t="s">
        <v>2967</v>
      </c>
      <c r="I217" s="3" t="str">
        <f>IF(_xlfn.XLOOKUP(F217,PgSqlRaw!B:B,PgSqlRaw!E:E,"") = "",_xlfn.XLOOKUP(G217,PgSqlRaw!B:B,PgSqlRaw!E:E,""),_xlfn.XLOOKUP(F217,PgSqlRaw!B:B,PgSqlRaw!E:E,""))</f>
        <v/>
      </c>
      <c r="J217" t="str">
        <f>IF(_xlfn.XLOOKUP(F217,PgSqlRaw!B:B,PgSqlRaw!F:F,"") = "", _xlfn.XLOOKUP(G217,PgSqlRaw!B:B,PgSqlRaw!F:F,""), _xlfn.XLOOKUP(F217,PgSqlRaw!B:B,PgSqlRaw!F:F,""))</f>
        <v>BARE_LABEL</v>
      </c>
      <c r="K217" t="str">
        <f t="shared" si="19"/>
        <v>BARE_LABEL</v>
      </c>
      <c r="L217" t="str">
        <f>IF(_xlfn.XLOOKUP(F217,PhpReserved!A:A,PhpReserved!B:B,"") = "", _xlfn.XLOOKUP(G217,PhpReserved!A:A,PhpReserved!B:B,""),_xlfn.XLOOKUP(F217,PhpReserved!A:A,PhpReserved!B:B,""))</f>
        <v>RESERVED</v>
      </c>
      <c r="M217" t="str">
        <f>IF(_xlfn.XLOOKUP(F217,PhpFunctions!A:A,PhpFunctions!B:B,"") =  "", _xlfn.XLOOKUP(G217,PhpFunctions!A:A,PhpFunctions!B:B,""), _xlfn.XLOOKUP(F217,PhpFunctions!A:A,PhpFunctions!B:B,""))</f>
        <v>FUNCTION</v>
      </c>
      <c r="N217" t="str">
        <f>IF(_xlfn.XLOOKUP(F217,PhpParamFunc!A:A,PhpParamFunc!B:B,"") = "", _xlfn.XLOOKUP(G217,PhpParamFunc!A:A,PhpParamFunc!B:B,""), _xlfn.XLOOKUP(F217,PhpParamFunc!A:A,PhpParamFunc!B:B,""))</f>
        <v>PARAM_FUNCTION</v>
      </c>
      <c r="O217" t="str">
        <f>IF(_xlfn.XLOOKUP(F217,PhpAggrFunc!A:A,PhpAggrFunc!B:B,"") = "", _xlfn.XLOOKUP(G217,PhpAggrFunc!A:A,PhpAggrFunc!B:B,""), _xlfn.XLOOKUP(F217,PhpAggrFunc!A:A,PhpAggrFunc!B:B,""))</f>
        <v/>
      </c>
      <c r="P217" t="str">
        <f t="shared" si="20"/>
        <v>PARAM_FUNCTION</v>
      </c>
      <c r="Q217" t="str">
        <f t="shared" si="21"/>
        <v>static const String^ TOK_INSERT = "INSERT";</v>
      </c>
      <c r="R217" t="str">
        <f t="shared" si="22"/>
        <v>static const int TOK_INSERT = 330;</v>
      </c>
      <c r="S217" t="str">
        <f t="shared" si="23"/>
        <v>_Tokens-&gt;Add((String^)GramVals::TOK_INSERT, gcnew Token(GramKeys::TOK_INSERT, EnumTokenCategory::PARAM_FUNCTION,BARE_LABEL, i++));</v>
      </c>
    </row>
    <row r="218" spans="1:19" x14ac:dyDescent="0.25">
      <c r="A218" s="3" t="s">
        <v>1583</v>
      </c>
      <c r="B218" s="5" t="s">
        <v>1158</v>
      </c>
      <c r="C218" s="3" t="s">
        <v>2109</v>
      </c>
      <c r="D218" s="3" t="s">
        <v>881</v>
      </c>
      <c r="F218" t="str">
        <f t="shared" si="18"/>
        <v>INSERTING</v>
      </c>
      <c r="G218" t="s">
        <v>3715</v>
      </c>
      <c r="I218" s="3" t="str">
        <f>IF(_xlfn.XLOOKUP(F218,PgSqlRaw!B:B,PgSqlRaw!E:E,"") = "",_xlfn.XLOOKUP(G218,PgSqlRaw!B:B,PgSqlRaw!E:E,""),_xlfn.XLOOKUP(F218,PgSqlRaw!B:B,PgSqlRaw!E:E,""))</f>
        <v/>
      </c>
      <c r="J218" t="str">
        <f>IF(_xlfn.XLOOKUP(F218,PgSqlRaw!B:B,PgSqlRaw!F:F,"") = "", _xlfn.XLOOKUP(G218,PgSqlRaw!B:B,PgSqlRaw!F:F,""), _xlfn.XLOOKUP(F218,PgSqlRaw!B:B,PgSqlRaw!F:F,""))</f>
        <v/>
      </c>
      <c r="K218" t="str">
        <f t="shared" si="19"/>
        <v>BARE_LABEL</v>
      </c>
      <c r="L218" t="str">
        <f>IF(_xlfn.XLOOKUP(F218,PhpReserved!A:A,PhpReserved!B:B,"") = "", _xlfn.XLOOKUP(G218,PhpReserved!A:A,PhpReserved!B:B,""),_xlfn.XLOOKUP(F218,PhpReserved!A:A,PhpReserved!B:B,""))</f>
        <v/>
      </c>
      <c r="M218" t="str">
        <f>IF(_xlfn.XLOOKUP(F218,PhpFunctions!A:A,PhpFunctions!B:B,"") =  "", _xlfn.XLOOKUP(G218,PhpFunctions!A:A,PhpFunctions!B:B,""), _xlfn.XLOOKUP(F218,PhpFunctions!A:A,PhpFunctions!B:B,""))</f>
        <v/>
      </c>
      <c r="N218" t="str">
        <f>IF(_xlfn.XLOOKUP(F218,PhpParamFunc!A:A,PhpParamFunc!B:B,"") = "", _xlfn.XLOOKUP(G218,PhpParamFunc!A:A,PhpParamFunc!B:B,""), _xlfn.XLOOKUP(F218,PhpParamFunc!A:A,PhpParamFunc!B:B,""))</f>
        <v/>
      </c>
      <c r="O218" t="str">
        <f>IF(_xlfn.XLOOKUP(F218,PhpAggrFunc!A:A,PhpAggrFunc!B:B,"") = "", _xlfn.XLOOKUP(G218,PhpAggrFunc!A:A,PhpAggrFunc!B:B,""), _xlfn.XLOOKUP(F218,PhpAggrFunc!A:A,PhpAggrFunc!B:B,""))</f>
        <v/>
      </c>
      <c r="P218" t="str">
        <f t="shared" si="20"/>
        <v>UNRESERVED</v>
      </c>
      <c r="Q218" t="str">
        <f t="shared" si="21"/>
        <v>static const String^ TOK_INSERTING = "INSERTING";</v>
      </c>
      <c r="R218" t="str">
        <f t="shared" si="22"/>
        <v>static const int TOK_INSERTING = 492;</v>
      </c>
      <c r="S218" t="str">
        <f t="shared" si="23"/>
        <v>// _Tokens-&gt;Add((String^)GramVals::TOK_INSERTING, gcnew Token(GramKeys::TOK_INSERTING, EnumTokenCategory::UNRESERVED,BARE_LABEL, i++));</v>
      </c>
    </row>
    <row r="219" spans="1:19" x14ac:dyDescent="0.25">
      <c r="A219" s="3" t="s">
        <v>1584</v>
      </c>
      <c r="B219" s="5" t="s">
        <v>1159</v>
      </c>
      <c r="C219" s="3" t="s">
        <v>2110</v>
      </c>
      <c r="D219" s="3" t="s">
        <v>881</v>
      </c>
      <c r="F219" t="str">
        <f t="shared" si="18"/>
        <v>INT</v>
      </c>
      <c r="G219" t="s">
        <v>3170</v>
      </c>
      <c r="I219" s="3" t="str">
        <f>IF(_xlfn.XLOOKUP(F219,PgSqlRaw!B:B,PgSqlRaw!E:E,"") = "",_xlfn.XLOOKUP(G219,PgSqlRaw!B:B,PgSqlRaw!E:E,""),_xlfn.XLOOKUP(F219,PgSqlRaw!B:B,PgSqlRaw!E:E,""))</f>
        <v>COLNAME_KEYWORD</v>
      </c>
      <c r="J219" t="str">
        <f>IF(_xlfn.XLOOKUP(F219,PgSqlRaw!B:B,PgSqlRaw!F:F,"") = "", _xlfn.XLOOKUP(G219,PgSqlRaw!B:B,PgSqlRaw!F:F,""), _xlfn.XLOOKUP(F219,PgSqlRaw!B:B,PgSqlRaw!F:F,""))</f>
        <v>BARE_LABEL</v>
      </c>
      <c r="K219" t="str">
        <f t="shared" si="19"/>
        <v>BARE_LABEL</v>
      </c>
      <c r="L219" t="str">
        <f>IF(_xlfn.XLOOKUP(F219,PhpReserved!A:A,PhpReserved!B:B,"") = "", _xlfn.XLOOKUP(G219,PhpReserved!A:A,PhpReserved!B:B,""),_xlfn.XLOOKUP(F219,PhpReserved!A:A,PhpReserved!B:B,""))</f>
        <v>RESERVED</v>
      </c>
      <c r="M219" t="str">
        <f>IF(_xlfn.XLOOKUP(F219,PhpFunctions!A:A,PhpFunctions!B:B,"") =  "", _xlfn.XLOOKUP(G219,PhpFunctions!A:A,PhpFunctions!B:B,""), _xlfn.XLOOKUP(F219,PhpFunctions!A:A,PhpFunctions!B:B,""))</f>
        <v/>
      </c>
      <c r="N219" t="str">
        <f>IF(_xlfn.XLOOKUP(F219,PhpParamFunc!A:A,PhpParamFunc!B:B,"") = "", _xlfn.XLOOKUP(G219,PhpParamFunc!A:A,PhpParamFunc!B:B,""), _xlfn.XLOOKUP(F219,PhpParamFunc!A:A,PhpParamFunc!B:B,""))</f>
        <v/>
      </c>
      <c r="O219" t="str">
        <f>IF(_xlfn.XLOOKUP(F219,PhpAggrFunc!A:A,PhpAggrFunc!B:B,"") = "", _xlfn.XLOOKUP(G219,PhpAggrFunc!A:A,PhpAggrFunc!B:B,""), _xlfn.XLOOKUP(F219,PhpAggrFunc!A:A,PhpAggrFunc!B:B,""))</f>
        <v/>
      </c>
      <c r="P219" t="str">
        <f t="shared" si="20"/>
        <v>RESERVED</v>
      </c>
      <c r="Q219" t="str">
        <f t="shared" si="21"/>
        <v>static const String^ TOK_INT = "INT";</v>
      </c>
      <c r="R219" t="str">
        <f t="shared" si="22"/>
        <v>static const int TOK_INT = 342;</v>
      </c>
      <c r="S219" t="str">
        <f t="shared" si="23"/>
        <v>_Tokens-&gt;Add((String^)GramVals::TOK_INT, gcnew Token(GramKeys::TOK_INT, EnumTokenCategory::RESERVED,BARE_LABEL, i++));</v>
      </c>
    </row>
    <row r="220" spans="1:19" x14ac:dyDescent="0.25">
      <c r="A220" s="3" t="s">
        <v>1585</v>
      </c>
      <c r="B220" s="5">
        <v>692</v>
      </c>
      <c r="C220" s="3" t="s">
        <v>2111</v>
      </c>
      <c r="D220" s="3" t="s">
        <v>881</v>
      </c>
      <c r="F220" t="str">
        <f t="shared" si="18"/>
        <v>INT128</v>
      </c>
      <c r="G220" t="s">
        <v>3716</v>
      </c>
      <c r="I220" s="3" t="str">
        <f>IF(_xlfn.XLOOKUP(F220,PgSqlRaw!B:B,PgSqlRaw!E:E,"") = "",_xlfn.XLOOKUP(G220,PgSqlRaw!B:B,PgSqlRaw!E:E,""),_xlfn.XLOOKUP(F220,PgSqlRaw!B:B,PgSqlRaw!E:E,""))</f>
        <v/>
      </c>
      <c r="J220" t="str">
        <f>IF(_xlfn.XLOOKUP(F220,PgSqlRaw!B:B,PgSqlRaw!F:F,"") = "", _xlfn.XLOOKUP(G220,PgSqlRaw!B:B,PgSqlRaw!F:F,""), _xlfn.XLOOKUP(F220,PgSqlRaw!B:B,PgSqlRaw!F:F,""))</f>
        <v/>
      </c>
      <c r="K220" t="str">
        <f t="shared" si="19"/>
        <v>BARE_LABEL</v>
      </c>
      <c r="L220" t="str">
        <f>IF(_xlfn.XLOOKUP(F220,PhpReserved!A:A,PhpReserved!B:B,"") = "", _xlfn.XLOOKUP(G220,PhpReserved!A:A,PhpReserved!B:B,""),_xlfn.XLOOKUP(F220,PhpReserved!A:A,PhpReserved!B:B,""))</f>
        <v/>
      </c>
      <c r="M220" t="str">
        <f>IF(_xlfn.XLOOKUP(F220,PhpFunctions!A:A,PhpFunctions!B:B,"") =  "", _xlfn.XLOOKUP(G220,PhpFunctions!A:A,PhpFunctions!B:B,""), _xlfn.XLOOKUP(F220,PhpFunctions!A:A,PhpFunctions!B:B,""))</f>
        <v/>
      </c>
      <c r="N220" t="str">
        <f>IF(_xlfn.XLOOKUP(F220,PhpParamFunc!A:A,PhpParamFunc!B:B,"") = "", _xlfn.XLOOKUP(G220,PhpParamFunc!A:A,PhpParamFunc!B:B,""), _xlfn.XLOOKUP(F220,PhpParamFunc!A:A,PhpParamFunc!B:B,""))</f>
        <v/>
      </c>
      <c r="O220" t="str">
        <f>IF(_xlfn.XLOOKUP(F220,PhpAggrFunc!A:A,PhpAggrFunc!B:B,"") = "", _xlfn.XLOOKUP(G220,PhpAggrFunc!A:A,PhpAggrFunc!B:B,""), _xlfn.XLOOKUP(F220,PhpAggrFunc!A:A,PhpAggrFunc!B:B,""))</f>
        <v/>
      </c>
      <c r="P220" t="str">
        <f t="shared" si="20"/>
        <v>UNRESERVED</v>
      </c>
      <c r="Q220" t="str">
        <f t="shared" si="21"/>
        <v>static const String^ TOK_INT128 = "INT128";</v>
      </c>
      <c r="R220" t="str">
        <f t="shared" si="22"/>
        <v>static const int TOK_INT128 = 692;</v>
      </c>
      <c r="S220" t="str">
        <f t="shared" si="23"/>
        <v>// _Tokens-&gt;Add((String^)GramVals::TOK_INT128, gcnew Token(GramKeys::TOK_INT128, EnumTokenCategory::UNRESERVED,BARE_LABEL, i++));</v>
      </c>
    </row>
    <row r="221" spans="1:19" x14ac:dyDescent="0.25">
      <c r="A221" s="3" t="s">
        <v>1586</v>
      </c>
      <c r="B221" s="5" t="s">
        <v>1160</v>
      </c>
      <c r="C221" s="3" t="s">
        <v>2112</v>
      </c>
      <c r="D221" s="3" t="s">
        <v>881</v>
      </c>
      <c r="F221" t="str">
        <f t="shared" si="18"/>
        <v>INTEGER</v>
      </c>
      <c r="G221" t="s">
        <v>3171</v>
      </c>
      <c r="I221" s="3" t="str">
        <f>IF(_xlfn.XLOOKUP(F221,PgSqlRaw!B:B,PgSqlRaw!E:E,"") = "",_xlfn.XLOOKUP(G221,PgSqlRaw!B:B,PgSqlRaw!E:E,""),_xlfn.XLOOKUP(F221,PgSqlRaw!B:B,PgSqlRaw!E:E,""))</f>
        <v>COLNAME_KEYWORD</v>
      </c>
      <c r="J221" t="str">
        <f>IF(_xlfn.XLOOKUP(F221,PgSqlRaw!B:B,PgSqlRaw!F:F,"") = "", _xlfn.XLOOKUP(G221,PgSqlRaw!B:B,PgSqlRaw!F:F,""), _xlfn.XLOOKUP(F221,PgSqlRaw!B:B,PgSqlRaw!F:F,""))</f>
        <v>BARE_LABEL</v>
      </c>
      <c r="K221" t="str">
        <f t="shared" si="19"/>
        <v>BARE_LABEL</v>
      </c>
      <c r="L221" t="str">
        <f>IF(_xlfn.XLOOKUP(F221,PhpReserved!A:A,PhpReserved!B:B,"") = "", _xlfn.XLOOKUP(G221,PhpReserved!A:A,PhpReserved!B:B,""),_xlfn.XLOOKUP(F221,PhpReserved!A:A,PhpReserved!B:B,""))</f>
        <v>RESERVED</v>
      </c>
      <c r="M221" t="str">
        <f>IF(_xlfn.XLOOKUP(F221,PhpFunctions!A:A,PhpFunctions!B:B,"") =  "", _xlfn.XLOOKUP(G221,PhpFunctions!A:A,PhpFunctions!B:B,""), _xlfn.XLOOKUP(F221,PhpFunctions!A:A,PhpFunctions!B:B,""))</f>
        <v/>
      </c>
      <c r="N221" t="str">
        <f>IF(_xlfn.XLOOKUP(F221,PhpParamFunc!A:A,PhpParamFunc!B:B,"") = "", _xlfn.XLOOKUP(G221,PhpParamFunc!A:A,PhpParamFunc!B:B,""), _xlfn.XLOOKUP(F221,PhpParamFunc!A:A,PhpParamFunc!B:B,""))</f>
        <v/>
      </c>
      <c r="O221" t="str">
        <f>IF(_xlfn.XLOOKUP(F221,PhpAggrFunc!A:A,PhpAggrFunc!B:B,"") = "", _xlfn.XLOOKUP(G221,PhpAggrFunc!A:A,PhpAggrFunc!B:B,""), _xlfn.XLOOKUP(F221,PhpAggrFunc!A:A,PhpAggrFunc!B:B,""))</f>
        <v/>
      </c>
      <c r="P221" t="str">
        <f t="shared" si="20"/>
        <v>RESERVED</v>
      </c>
      <c r="Q221" t="str">
        <f t="shared" si="21"/>
        <v>static const String^ TOK_INTEGER = "INTEGER";</v>
      </c>
      <c r="R221" t="str">
        <f t="shared" si="22"/>
        <v>static const int TOK_INTEGER = 331;</v>
      </c>
      <c r="S221" t="str">
        <f t="shared" si="23"/>
        <v>_Tokens-&gt;Add((String^)GramVals::TOK_INTEGER, gcnew Token(GramKeys::TOK_INTEGER, EnumTokenCategory::RESERVED,BARE_LABEL, i++));</v>
      </c>
    </row>
    <row r="222" spans="1:19" x14ac:dyDescent="0.25">
      <c r="A222" s="3" t="s">
        <v>1587</v>
      </c>
      <c r="B222" s="5" t="s">
        <v>1161</v>
      </c>
      <c r="C222" s="3" t="s">
        <v>2113</v>
      </c>
      <c r="D222" s="3" t="s">
        <v>881</v>
      </c>
      <c r="F222" t="str">
        <f t="shared" si="18"/>
        <v>INTO</v>
      </c>
      <c r="G222" t="s">
        <v>3172</v>
      </c>
      <c r="I222" s="3" t="str">
        <f>IF(_xlfn.XLOOKUP(F222,PgSqlRaw!B:B,PgSqlRaw!E:E,"") = "",_xlfn.XLOOKUP(G222,PgSqlRaw!B:B,PgSqlRaw!E:E,""),_xlfn.XLOOKUP(F222,PgSqlRaw!B:B,PgSqlRaw!E:E,""))</f>
        <v>RESERVED</v>
      </c>
      <c r="J222" t="str">
        <f>IF(_xlfn.XLOOKUP(F222,PgSqlRaw!B:B,PgSqlRaw!F:F,"") = "", _xlfn.XLOOKUP(G222,PgSqlRaw!B:B,PgSqlRaw!F:F,""), _xlfn.XLOOKUP(F222,PgSqlRaw!B:B,PgSqlRaw!F:F,""))</f>
        <v>AS_LABEL</v>
      </c>
      <c r="K222" t="str">
        <f t="shared" si="19"/>
        <v>AS_LABEL</v>
      </c>
      <c r="L222" t="str">
        <f>IF(_xlfn.XLOOKUP(F222,PhpReserved!A:A,PhpReserved!B:B,"") = "", _xlfn.XLOOKUP(G222,PhpReserved!A:A,PhpReserved!B:B,""),_xlfn.XLOOKUP(F222,PhpReserved!A:A,PhpReserved!B:B,""))</f>
        <v>RESERVED</v>
      </c>
      <c r="M222" t="str">
        <f>IF(_xlfn.XLOOKUP(F222,PhpFunctions!A:A,PhpFunctions!B:B,"") =  "", _xlfn.XLOOKUP(G222,PhpFunctions!A:A,PhpFunctions!B:B,""), _xlfn.XLOOKUP(F222,PhpFunctions!A:A,PhpFunctions!B:B,""))</f>
        <v/>
      </c>
      <c r="N222" t="str">
        <f>IF(_xlfn.XLOOKUP(F222,PhpParamFunc!A:A,PhpParamFunc!B:B,"") = "", _xlfn.XLOOKUP(G222,PhpParamFunc!A:A,PhpParamFunc!B:B,""), _xlfn.XLOOKUP(F222,PhpParamFunc!A:A,PhpParamFunc!B:B,""))</f>
        <v/>
      </c>
      <c r="O222" t="str">
        <f>IF(_xlfn.XLOOKUP(F222,PhpAggrFunc!A:A,PhpAggrFunc!B:B,"") = "", _xlfn.XLOOKUP(G222,PhpAggrFunc!A:A,PhpAggrFunc!B:B,""), _xlfn.XLOOKUP(F222,PhpAggrFunc!A:A,PhpAggrFunc!B:B,""))</f>
        <v/>
      </c>
      <c r="P222" t="str">
        <f t="shared" si="20"/>
        <v>RESERVED</v>
      </c>
      <c r="Q222" t="str">
        <f t="shared" si="21"/>
        <v>static const String^ TOK_INTO = "INTO";</v>
      </c>
      <c r="R222" t="str">
        <f t="shared" si="22"/>
        <v>static const int TOK_INTO = 332;</v>
      </c>
      <c r="S222" t="str">
        <f t="shared" si="23"/>
        <v>_Tokens-&gt;Add((String^)GramVals::TOK_INTO, gcnew Token(GramKeys::TOK_INTO, EnumTokenCategory::RESERVED,AS_LABEL, i++));</v>
      </c>
    </row>
    <row r="223" spans="1:19" x14ac:dyDescent="0.25">
      <c r="A223" s="3" t="s">
        <v>1588</v>
      </c>
      <c r="B223" s="5" t="s">
        <v>1162</v>
      </c>
      <c r="C223" s="3" t="s">
        <v>2114</v>
      </c>
      <c r="D223" s="3" t="s">
        <v>2423</v>
      </c>
      <c r="F223" t="str">
        <f t="shared" si="18"/>
        <v>INTRODUCER</v>
      </c>
      <c r="G223" t="s">
        <v>3717</v>
      </c>
      <c r="I223" s="3" t="str">
        <f>IF(_xlfn.XLOOKUP(F223,PgSqlRaw!B:B,PgSqlRaw!E:E,"") = "",_xlfn.XLOOKUP(G223,PgSqlRaw!B:B,PgSqlRaw!E:E,""),_xlfn.XLOOKUP(F223,PgSqlRaw!B:B,PgSqlRaw!E:E,""))</f>
        <v/>
      </c>
      <c r="J223" t="str">
        <f>IF(_xlfn.XLOOKUP(F223,PgSqlRaw!B:B,PgSqlRaw!F:F,"") = "", _xlfn.XLOOKUP(G223,PgSqlRaw!B:B,PgSqlRaw!F:F,""), _xlfn.XLOOKUP(F223,PgSqlRaw!B:B,PgSqlRaw!F:F,""))</f>
        <v/>
      </c>
      <c r="K223" t="str">
        <f t="shared" si="19"/>
        <v>BARE_LABEL</v>
      </c>
      <c r="L223" t="str">
        <f>IF(_xlfn.XLOOKUP(F223,PhpReserved!A:A,PhpReserved!B:B,"") = "", _xlfn.XLOOKUP(G223,PhpReserved!A:A,PhpReserved!B:B,""),_xlfn.XLOOKUP(F223,PhpReserved!A:A,PhpReserved!B:B,""))</f>
        <v/>
      </c>
      <c r="M223" t="str">
        <f>IF(_xlfn.XLOOKUP(F223,PhpFunctions!A:A,PhpFunctions!B:B,"") =  "", _xlfn.XLOOKUP(G223,PhpFunctions!A:A,PhpFunctions!B:B,""), _xlfn.XLOOKUP(F223,PhpFunctions!A:A,PhpFunctions!B:B,""))</f>
        <v/>
      </c>
      <c r="N223" t="str">
        <f>IF(_xlfn.XLOOKUP(F223,PhpParamFunc!A:A,PhpParamFunc!B:B,"") = "", _xlfn.XLOOKUP(G223,PhpParamFunc!A:A,PhpParamFunc!B:B,""), _xlfn.XLOOKUP(F223,PhpParamFunc!A:A,PhpParamFunc!B:B,""))</f>
        <v/>
      </c>
      <c r="O223" t="str">
        <f>IF(_xlfn.XLOOKUP(F223,PhpAggrFunc!A:A,PhpAggrFunc!B:B,"") = "", _xlfn.XLOOKUP(G223,PhpAggrFunc!A:A,PhpAggrFunc!B:B,""), _xlfn.XLOOKUP(F223,PhpAggrFunc!A:A,PhpAggrFunc!B:B,""))</f>
        <v/>
      </c>
      <c r="P223" t="str">
        <f t="shared" si="20"/>
        <v>UNRESERVED</v>
      </c>
      <c r="Q223" t="str">
        <f t="shared" si="21"/>
        <v>static const String^ TOK_INTRODUCER = "INTRODUCER";</v>
      </c>
      <c r="R223" t="str">
        <f t="shared" si="22"/>
        <v>static const int TOK_INTRODUCER = 444;</v>
      </c>
      <c r="S223" t="str">
        <f t="shared" si="23"/>
        <v>// _Tokens-&gt;Add((String^)GramVals::TOK_INTRODUCER, gcnew Token(GramKeys::TOK_INTRODUCER, EnumTokenCategory::UNRESERVED,BARE_LABEL, i++));</v>
      </c>
    </row>
    <row r="224" spans="1:19" x14ac:dyDescent="0.25">
      <c r="A224" s="3" t="s">
        <v>1589</v>
      </c>
      <c r="B224" s="5">
        <v>693</v>
      </c>
      <c r="C224" s="3" t="s">
        <v>2115</v>
      </c>
      <c r="D224" s="3" t="s">
        <v>2423</v>
      </c>
      <c r="F224" t="str">
        <f t="shared" si="18"/>
        <v>INVOKER</v>
      </c>
      <c r="G224" t="s">
        <v>3434</v>
      </c>
      <c r="I224" s="3" t="str">
        <f>IF(_xlfn.XLOOKUP(F224,PgSqlRaw!B:B,PgSqlRaw!E:E,"") = "",_xlfn.XLOOKUP(G224,PgSqlRaw!B:B,PgSqlRaw!E:E,""),_xlfn.XLOOKUP(F224,PgSqlRaw!B:B,PgSqlRaw!E:E,""))</f>
        <v/>
      </c>
      <c r="J224" t="str">
        <f>IF(_xlfn.XLOOKUP(F224,PgSqlRaw!B:B,PgSqlRaw!F:F,"") = "", _xlfn.XLOOKUP(G224,PgSqlRaw!B:B,PgSqlRaw!F:F,""), _xlfn.XLOOKUP(F224,PgSqlRaw!B:B,PgSqlRaw!F:F,""))</f>
        <v>BARE_LABEL</v>
      </c>
      <c r="K224" t="str">
        <f t="shared" si="19"/>
        <v>BARE_LABEL</v>
      </c>
      <c r="L224" t="str">
        <f>IF(_xlfn.XLOOKUP(F224,PhpReserved!A:A,PhpReserved!B:B,"") = "", _xlfn.XLOOKUP(G224,PhpReserved!A:A,PhpReserved!B:B,""),_xlfn.XLOOKUP(F224,PhpReserved!A:A,PhpReserved!B:B,""))</f>
        <v/>
      </c>
      <c r="M224" t="str">
        <f>IF(_xlfn.XLOOKUP(F224,PhpFunctions!A:A,PhpFunctions!B:B,"") =  "", _xlfn.XLOOKUP(G224,PhpFunctions!A:A,PhpFunctions!B:B,""), _xlfn.XLOOKUP(F224,PhpFunctions!A:A,PhpFunctions!B:B,""))</f>
        <v/>
      </c>
      <c r="N224" t="str">
        <f>IF(_xlfn.XLOOKUP(F224,PhpParamFunc!A:A,PhpParamFunc!B:B,"") = "", _xlfn.XLOOKUP(G224,PhpParamFunc!A:A,PhpParamFunc!B:B,""), _xlfn.XLOOKUP(F224,PhpParamFunc!A:A,PhpParamFunc!B:B,""))</f>
        <v/>
      </c>
      <c r="O224" t="str">
        <f>IF(_xlfn.XLOOKUP(F224,PhpAggrFunc!A:A,PhpAggrFunc!B:B,"") = "", _xlfn.XLOOKUP(G224,PhpAggrFunc!A:A,PhpAggrFunc!B:B,""), _xlfn.XLOOKUP(F224,PhpAggrFunc!A:A,PhpAggrFunc!B:B,""))</f>
        <v/>
      </c>
      <c r="P224" t="str">
        <f t="shared" si="20"/>
        <v>UNRESERVED</v>
      </c>
      <c r="Q224" t="str">
        <f t="shared" si="21"/>
        <v>static const String^ TOK_INVOKER = "INVOKER";</v>
      </c>
      <c r="R224" t="str">
        <f t="shared" si="22"/>
        <v>static const int TOK_INVOKER = 693;</v>
      </c>
      <c r="S224" t="str">
        <f t="shared" si="23"/>
        <v>// _Tokens-&gt;Add((String^)GramVals::TOK_INVOKER, gcnew Token(GramKeys::TOK_INVOKER, EnumTokenCategory::UNRESERVED,BARE_LABEL, i++));</v>
      </c>
    </row>
    <row r="225" spans="1:19" x14ac:dyDescent="0.25">
      <c r="A225" s="3" t="s">
        <v>1590</v>
      </c>
      <c r="B225" s="5" t="s">
        <v>1163</v>
      </c>
      <c r="C225" s="3" t="s">
        <v>2116</v>
      </c>
      <c r="D225" s="3" t="s">
        <v>881</v>
      </c>
      <c r="F225" t="str">
        <f t="shared" si="18"/>
        <v>IS</v>
      </c>
      <c r="G225" t="s">
        <v>3174</v>
      </c>
      <c r="I225" s="3" t="str">
        <f>IF(_xlfn.XLOOKUP(F225,PgSqlRaw!B:B,PgSqlRaw!E:E,"") = "",_xlfn.XLOOKUP(G225,PgSqlRaw!B:B,PgSqlRaw!E:E,""),_xlfn.XLOOKUP(F225,PgSqlRaw!B:B,PgSqlRaw!E:E,""))</f>
        <v>FUNCTION</v>
      </c>
      <c r="J225" t="str">
        <f>IF(_xlfn.XLOOKUP(F225,PgSqlRaw!B:B,PgSqlRaw!F:F,"") = "", _xlfn.XLOOKUP(G225,PgSqlRaw!B:B,PgSqlRaw!F:F,""), _xlfn.XLOOKUP(F225,PgSqlRaw!B:B,PgSqlRaw!F:F,""))</f>
        <v>BARE_LABEL</v>
      </c>
      <c r="K225" t="str">
        <f t="shared" si="19"/>
        <v>BARE_LABEL</v>
      </c>
      <c r="L225" t="str">
        <f>IF(_xlfn.XLOOKUP(F225,PhpReserved!A:A,PhpReserved!B:B,"") = "", _xlfn.XLOOKUP(G225,PhpReserved!A:A,PhpReserved!B:B,""),_xlfn.XLOOKUP(F225,PhpReserved!A:A,PhpReserved!B:B,""))</f>
        <v>RESERVED</v>
      </c>
      <c r="M225" t="str">
        <f>IF(_xlfn.XLOOKUP(F225,PhpFunctions!A:A,PhpFunctions!B:B,"") =  "", _xlfn.XLOOKUP(G225,PhpFunctions!A:A,PhpFunctions!B:B,""), _xlfn.XLOOKUP(F225,PhpFunctions!A:A,PhpFunctions!B:B,""))</f>
        <v/>
      </c>
      <c r="N225" t="str">
        <f>IF(_xlfn.XLOOKUP(F225,PhpParamFunc!A:A,PhpParamFunc!B:B,"") = "", _xlfn.XLOOKUP(G225,PhpParamFunc!A:A,PhpParamFunc!B:B,""), _xlfn.XLOOKUP(F225,PhpParamFunc!A:A,PhpParamFunc!B:B,""))</f>
        <v/>
      </c>
      <c r="O225" t="str">
        <f>IF(_xlfn.XLOOKUP(F225,PhpAggrFunc!A:A,PhpAggrFunc!B:B,"") = "", _xlfn.XLOOKUP(G225,PhpAggrFunc!A:A,PhpAggrFunc!B:B,""), _xlfn.XLOOKUP(F225,PhpAggrFunc!A:A,PhpAggrFunc!B:B,""))</f>
        <v/>
      </c>
      <c r="P225" t="str">
        <f t="shared" si="20"/>
        <v>RESERVED</v>
      </c>
      <c r="Q225" t="str">
        <f t="shared" si="21"/>
        <v>static const String^ TOK_IS = "IS";</v>
      </c>
      <c r="R225" t="str">
        <f t="shared" si="22"/>
        <v>static const int TOK_IS = 333;</v>
      </c>
      <c r="S225" t="str">
        <f t="shared" si="23"/>
        <v>_Tokens-&gt;Add((String^)GramVals::TOK_IS, gcnew Token(GramKeys::TOK_IS, EnumTokenCategory::RESERVED,BARE_LABEL, i++));</v>
      </c>
    </row>
    <row r="226" spans="1:19" x14ac:dyDescent="0.25">
      <c r="A226" s="3" t="s">
        <v>1591</v>
      </c>
      <c r="B226" s="5" t="s">
        <v>1164</v>
      </c>
      <c r="C226" s="3" t="s">
        <v>2117</v>
      </c>
      <c r="D226" s="3" t="s">
        <v>2423</v>
      </c>
      <c r="F226" t="str">
        <f t="shared" si="18"/>
        <v>ISOLATION</v>
      </c>
      <c r="G226" t="s">
        <v>3436</v>
      </c>
      <c r="I226" s="3" t="str">
        <f>IF(_xlfn.XLOOKUP(F226,PgSqlRaw!B:B,PgSqlRaw!E:E,"") = "",_xlfn.XLOOKUP(G226,PgSqlRaw!B:B,PgSqlRaw!E:E,""),_xlfn.XLOOKUP(F226,PgSqlRaw!B:B,PgSqlRaw!E:E,""))</f>
        <v/>
      </c>
      <c r="J226" t="str">
        <f>IF(_xlfn.XLOOKUP(F226,PgSqlRaw!B:B,PgSqlRaw!F:F,"") = "", _xlfn.XLOOKUP(G226,PgSqlRaw!B:B,PgSqlRaw!F:F,""), _xlfn.XLOOKUP(F226,PgSqlRaw!B:B,PgSqlRaw!F:F,""))</f>
        <v>BARE_LABEL</v>
      </c>
      <c r="K226" t="str">
        <f t="shared" si="19"/>
        <v>BARE_LABEL</v>
      </c>
      <c r="L226" t="str">
        <f>IF(_xlfn.XLOOKUP(F226,PhpReserved!A:A,PhpReserved!B:B,"") = "", _xlfn.XLOOKUP(G226,PhpReserved!A:A,PhpReserved!B:B,""),_xlfn.XLOOKUP(F226,PhpReserved!A:A,PhpReserved!B:B,""))</f>
        <v/>
      </c>
      <c r="M226" t="str">
        <f>IF(_xlfn.XLOOKUP(F226,PhpFunctions!A:A,PhpFunctions!B:B,"") =  "", _xlfn.XLOOKUP(G226,PhpFunctions!A:A,PhpFunctions!B:B,""), _xlfn.XLOOKUP(F226,PhpFunctions!A:A,PhpFunctions!B:B,""))</f>
        <v/>
      </c>
      <c r="N226" t="str">
        <f>IF(_xlfn.XLOOKUP(F226,PhpParamFunc!A:A,PhpParamFunc!B:B,"") = "", _xlfn.XLOOKUP(G226,PhpParamFunc!A:A,PhpParamFunc!B:B,""), _xlfn.XLOOKUP(F226,PhpParamFunc!A:A,PhpParamFunc!B:B,""))</f>
        <v/>
      </c>
      <c r="O226" t="str">
        <f>IF(_xlfn.XLOOKUP(F226,PhpAggrFunc!A:A,PhpAggrFunc!B:B,"") = "", _xlfn.XLOOKUP(G226,PhpAggrFunc!A:A,PhpAggrFunc!B:B,""), _xlfn.XLOOKUP(F226,PhpAggrFunc!A:A,PhpAggrFunc!B:B,""))</f>
        <v/>
      </c>
      <c r="P226" t="str">
        <f t="shared" si="20"/>
        <v>UNRESERVED</v>
      </c>
      <c r="Q226" t="str">
        <f t="shared" si="21"/>
        <v>static const String^ TOK_ISOLATION = "ISOLATION";</v>
      </c>
      <c r="R226" t="str">
        <f t="shared" si="22"/>
        <v>static const int TOK_ISOLATION = 334;</v>
      </c>
      <c r="S226" t="str">
        <f t="shared" si="23"/>
        <v>// _Tokens-&gt;Add((String^)GramVals::TOK_ISOLATION, gcnew Token(GramKeys::TOK_ISOLATION, EnumTokenCategory::UNRESERVED,BARE_LABEL, i++));</v>
      </c>
    </row>
    <row r="227" spans="1:19" x14ac:dyDescent="0.25">
      <c r="A227" s="3" t="s">
        <v>1592</v>
      </c>
      <c r="B227" s="5">
        <v>694</v>
      </c>
      <c r="C227" s="3" t="s">
        <v>2118</v>
      </c>
      <c r="D227" s="3" t="s">
        <v>2423</v>
      </c>
      <c r="F227" t="str">
        <f t="shared" si="18"/>
        <v>IV</v>
      </c>
      <c r="G227" t="s">
        <v>3718</v>
      </c>
      <c r="I227" s="3" t="str">
        <f>IF(_xlfn.XLOOKUP(F227,PgSqlRaw!B:B,PgSqlRaw!E:E,"") = "",_xlfn.XLOOKUP(G227,PgSqlRaw!B:B,PgSqlRaw!E:E,""),_xlfn.XLOOKUP(F227,PgSqlRaw!B:B,PgSqlRaw!E:E,""))</f>
        <v/>
      </c>
      <c r="J227" t="str">
        <f>IF(_xlfn.XLOOKUP(F227,PgSqlRaw!B:B,PgSqlRaw!F:F,"") = "", _xlfn.XLOOKUP(G227,PgSqlRaw!B:B,PgSqlRaw!F:F,""), _xlfn.XLOOKUP(F227,PgSqlRaw!B:B,PgSqlRaw!F:F,""))</f>
        <v/>
      </c>
      <c r="K227" t="str">
        <f t="shared" si="19"/>
        <v>BARE_LABEL</v>
      </c>
      <c r="L227" t="str">
        <f>IF(_xlfn.XLOOKUP(F227,PhpReserved!A:A,PhpReserved!B:B,"") = "", _xlfn.XLOOKUP(G227,PhpReserved!A:A,PhpReserved!B:B,""),_xlfn.XLOOKUP(F227,PhpReserved!A:A,PhpReserved!B:B,""))</f>
        <v/>
      </c>
      <c r="M227" t="str">
        <f>IF(_xlfn.XLOOKUP(F227,PhpFunctions!A:A,PhpFunctions!B:B,"") =  "", _xlfn.XLOOKUP(G227,PhpFunctions!A:A,PhpFunctions!B:B,""), _xlfn.XLOOKUP(F227,PhpFunctions!A:A,PhpFunctions!B:B,""))</f>
        <v/>
      </c>
      <c r="N227" t="str">
        <f>IF(_xlfn.XLOOKUP(F227,PhpParamFunc!A:A,PhpParamFunc!B:B,"") = "", _xlfn.XLOOKUP(G227,PhpParamFunc!A:A,PhpParamFunc!B:B,""), _xlfn.XLOOKUP(F227,PhpParamFunc!A:A,PhpParamFunc!B:B,""))</f>
        <v/>
      </c>
      <c r="O227" t="str">
        <f>IF(_xlfn.XLOOKUP(F227,PhpAggrFunc!A:A,PhpAggrFunc!B:B,"") = "", _xlfn.XLOOKUP(G227,PhpAggrFunc!A:A,PhpAggrFunc!B:B,""), _xlfn.XLOOKUP(F227,PhpAggrFunc!A:A,PhpAggrFunc!B:B,""))</f>
        <v/>
      </c>
      <c r="P227" t="str">
        <f t="shared" si="20"/>
        <v>UNRESERVED</v>
      </c>
      <c r="Q227" t="str">
        <f t="shared" si="21"/>
        <v>static const String^ TOK_IV = "IV";</v>
      </c>
      <c r="R227" t="str">
        <f t="shared" si="22"/>
        <v>static const int TOK_IV = 694;</v>
      </c>
      <c r="S227" t="str">
        <f t="shared" si="23"/>
        <v>// _Tokens-&gt;Add((String^)GramVals::TOK_IV, gcnew Token(GramKeys::TOK_IV, EnumTokenCategory::UNRESERVED,BARE_LABEL, i++));</v>
      </c>
    </row>
    <row r="228" spans="1:19" x14ac:dyDescent="0.25">
      <c r="A228" s="3" t="s">
        <v>1593</v>
      </c>
      <c r="B228" s="5" t="s">
        <v>1165</v>
      </c>
      <c r="C228" s="3" t="s">
        <v>2119</v>
      </c>
      <c r="D228" s="3" t="s">
        <v>881</v>
      </c>
      <c r="F228" t="str">
        <f t="shared" si="18"/>
        <v>JOIN</v>
      </c>
      <c r="G228" t="s">
        <v>3176</v>
      </c>
      <c r="I228" s="3" t="str">
        <f>IF(_xlfn.XLOOKUP(F228,PgSqlRaw!B:B,PgSqlRaw!E:E,"") = "",_xlfn.XLOOKUP(G228,PgSqlRaw!B:B,PgSqlRaw!E:E,""),_xlfn.XLOOKUP(F228,PgSqlRaw!B:B,PgSqlRaw!E:E,""))</f>
        <v>FUNCTION</v>
      </c>
      <c r="J228" t="str">
        <f>IF(_xlfn.XLOOKUP(F228,PgSqlRaw!B:B,PgSqlRaw!F:F,"") = "", _xlfn.XLOOKUP(G228,PgSqlRaw!B:B,PgSqlRaw!F:F,""), _xlfn.XLOOKUP(F228,PgSqlRaw!B:B,PgSqlRaw!F:F,""))</f>
        <v>BARE_LABEL</v>
      </c>
      <c r="K228" t="str">
        <f t="shared" si="19"/>
        <v>BARE_LABEL</v>
      </c>
      <c r="L228" t="str">
        <f>IF(_xlfn.XLOOKUP(F228,PhpReserved!A:A,PhpReserved!B:B,"") = "", _xlfn.XLOOKUP(G228,PhpReserved!A:A,PhpReserved!B:B,""),_xlfn.XLOOKUP(F228,PhpReserved!A:A,PhpReserved!B:B,""))</f>
        <v>RESERVED</v>
      </c>
      <c r="M228" t="str">
        <f>IF(_xlfn.XLOOKUP(F228,PhpFunctions!A:A,PhpFunctions!B:B,"") =  "", _xlfn.XLOOKUP(G228,PhpFunctions!A:A,PhpFunctions!B:B,""), _xlfn.XLOOKUP(F228,PhpFunctions!A:A,PhpFunctions!B:B,""))</f>
        <v/>
      </c>
      <c r="N228" t="str">
        <f>IF(_xlfn.XLOOKUP(F228,PhpParamFunc!A:A,PhpParamFunc!B:B,"") = "", _xlfn.XLOOKUP(G228,PhpParamFunc!A:A,PhpParamFunc!B:B,""), _xlfn.XLOOKUP(F228,PhpParamFunc!A:A,PhpParamFunc!B:B,""))</f>
        <v/>
      </c>
      <c r="O228" t="str">
        <f>IF(_xlfn.XLOOKUP(F228,PhpAggrFunc!A:A,PhpAggrFunc!B:B,"") = "", _xlfn.XLOOKUP(G228,PhpAggrFunc!A:A,PhpAggrFunc!B:B,""), _xlfn.XLOOKUP(F228,PhpAggrFunc!A:A,PhpAggrFunc!B:B,""))</f>
        <v/>
      </c>
      <c r="P228" t="str">
        <f t="shared" si="20"/>
        <v>RESERVED</v>
      </c>
      <c r="Q228" t="str">
        <f t="shared" si="21"/>
        <v>static const String^ TOK_JOIN = "JOIN";</v>
      </c>
      <c r="R228" t="str">
        <f t="shared" si="22"/>
        <v>static const int TOK_JOIN = 335;</v>
      </c>
      <c r="S228" t="str">
        <f t="shared" si="23"/>
        <v>_Tokens-&gt;Add((String^)GramVals::TOK_JOIN, gcnew Token(GramKeys::TOK_JOIN, EnumTokenCategory::RESERVED,BARE_LABEL, i++));</v>
      </c>
    </row>
    <row r="229" spans="1:19" x14ac:dyDescent="0.25">
      <c r="A229" s="3" t="s">
        <v>1594</v>
      </c>
      <c r="B229" s="5" t="s">
        <v>1166</v>
      </c>
      <c r="C229" s="3" t="s">
        <v>2120</v>
      </c>
      <c r="D229" s="3" t="s">
        <v>2423</v>
      </c>
      <c r="F229" t="str">
        <f t="shared" si="18"/>
        <v>KEY</v>
      </c>
      <c r="G229" t="s">
        <v>3177</v>
      </c>
      <c r="I229" s="3" t="str">
        <f>IF(_xlfn.XLOOKUP(F229,PgSqlRaw!B:B,PgSqlRaw!E:E,"") = "",_xlfn.XLOOKUP(G229,PgSqlRaw!B:B,PgSqlRaw!E:E,""),_xlfn.XLOOKUP(F229,PgSqlRaw!B:B,PgSqlRaw!E:E,""))</f>
        <v/>
      </c>
      <c r="J229" t="str">
        <f>IF(_xlfn.XLOOKUP(F229,PgSqlRaw!B:B,PgSqlRaw!F:F,"") = "", _xlfn.XLOOKUP(G229,PgSqlRaw!B:B,PgSqlRaw!F:F,""), _xlfn.XLOOKUP(F229,PgSqlRaw!B:B,PgSqlRaw!F:F,""))</f>
        <v>BARE_LABEL</v>
      </c>
      <c r="K229" t="str">
        <f t="shared" si="19"/>
        <v>BARE_LABEL</v>
      </c>
      <c r="L229" t="str">
        <f>IF(_xlfn.XLOOKUP(F229,PhpReserved!A:A,PhpReserved!B:B,"") = "", _xlfn.XLOOKUP(G229,PhpReserved!A:A,PhpReserved!B:B,""),_xlfn.XLOOKUP(F229,PhpReserved!A:A,PhpReserved!B:B,""))</f>
        <v>RESERVED</v>
      </c>
      <c r="M229" t="str">
        <f>IF(_xlfn.XLOOKUP(F229,PhpFunctions!A:A,PhpFunctions!B:B,"") =  "", _xlfn.XLOOKUP(G229,PhpFunctions!A:A,PhpFunctions!B:B,""), _xlfn.XLOOKUP(F229,PhpFunctions!A:A,PhpFunctions!B:B,""))</f>
        <v/>
      </c>
      <c r="N229" t="str">
        <f>IF(_xlfn.XLOOKUP(F229,PhpParamFunc!A:A,PhpParamFunc!B:B,"") = "", _xlfn.XLOOKUP(G229,PhpParamFunc!A:A,PhpParamFunc!B:B,""), _xlfn.XLOOKUP(F229,PhpParamFunc!A:A,PhpParamFunc!B:B,""))</f>
        <v/>
      </c>
      <c r="O229" t="str">
        <f>IF(_xlfn.XLOOKUP(F229,PhpAggrFunc!A:A,PhpAggrFunc!B:B,"") = "", _xlfn.XLOOKUP(G229,PhpAggrFunc!A:A,PhpAggrFunc!B:B,""), _xlfn.XLOOKUP(F229,PhpAggrFunc!A:A,PhpAggrFunc!B:B,""))</f>
        <v/>
      </c>
      <c r="P229" t="str">
        <f t="shared" si="20"/>
        <v>RESERVED</v>
      </c>
      <c r="Q229" t="str">
        <f t="shared" si="21"/>
        <v>static const String^ TOK_KEY = "KEY";</v>
      </c>
      <c r="R229" t="str">
        <f t="shared" si="22"/>
        <v>static const int TOK_KEY = 336;</v>
      </c>
      <c r="S229" t="str">
        <f t="shared" si="23"/>
        <v>_Tokens-&gt;Add((String^)GramVals::TOK_KEY, gcnew Token(GramKeys::TOK_KEY, EnumTokenCategory::RESERVED,BARE_LABEL, i++));</v>
      </c>
    </row>
    <row r="230" spans="1:19" x14ac:dyDescent="0.25">
      <c r="A230" s="3" t="s">
        <v>1595</v>
      </c>
      <c r="B230" s="5" t="s">
        <v>1167</v>
      </c>
      <c r="C230" s="3" t="s">
        <v>2121</v>
      </c>
      <c r="D230" s="3" t="s">
        <v>2423</v>
      </c>
      <c r="F230" t="str">
        <f t="shared" si="18"/>
        <v>LAG</v>
      </c>
      <c r="G230" t="s">
        <v>3719</v>
      </c>
      <c r="I230" s="3" t="str">
        <f>IF(_xlfn.XLOOKUP(F230,PgSqlRaw!B:B,PgSqlRaw!E:E,"") = "",_xlfn.XLOOKUP(G230,PgSqlRaw!B:B,PgSqlRaw!E:E,""),_xlfn.XLOOKUP(F230,PgSqlRaw!B:B,PgSqlRaw!E:E,""))</f>
        <v/>
      </c>
      <c r="J230" t="str">
        <f>IF(_xlfn.XLOOKUP(F230,PgSqlRaw!B:B,PgSqlRaw!F:F,"") = "", _xlfn.XLOOKUP(G230,PgSqlRaw!B:B,PgSqlRaw!F:F,""), _xlfn.XLOOKUP(F230,PgSqlRaw!B:B,PgSqlRaw!F:F,""))</f>
        <v/>
      </c>
      <c r="K230" t="str">
        <f t="shared" si="19"/>
        <v>BARE_LABEL</v>
      </c>
      <c r="L230" t="str">
        <f>IF(_xlfn.XLOOKUP(F230,PhpReserved!A:A,PhpReserved!B:B,"") = "", _xlfn.XLOOKUP(G230,PhpReserved!A:A,PhpReserved!B:B,""),_xlfn.XLOOKUP(F230,PhpReserved!A:A,PhpReserved!B:B,""))</f>
        <v/>
      </c>
      <c r="M230" t="str">
        <f>IF(_xlfn.XLOOKUP(F230,PhpFunctions!A:A,PhpFunctions!B:B,"") =  "", _xlfn.XLOOKUP(G230,PhpFunctions!A:A,PhpFunctions!B:B,""), _xlfn.XLOOKUP(F230,PhpFunctions!A:A,PhpFunctions!B:B,""))</f>
        <v/>
      </c>
      <c r="N230" t="str">
        <f>IF(_xlfn.XLOOKUP(F230,PhpParamFunc!A:A,PhpParamFunc!B:B,"") = "", _xlfn.XLOOKUP(G230,PhpParamFunc!A:A,PhpParamFunc!B:B,""), _xlfn.XLOOKUP(F230,PhpParamFunc!A:A,PhpParamFunc!B:B,""))</f>
        <v/>
      </c>
      <c r="O230" t="str">
        <f>IF(_xlfn.XLOOKUP(F230,PhpAggrFunc!A:A,PhpAggrFunc!B:B,"") = "", _xlfn.XLOOKUP(G230,PhpAggrFunc!A:A,PhpAggrFunc!B:B,""), _xlfn.XLOOKUP(F230,PhpAggrFunc!A:A,PhpAggrFunc!B:B,""))</f>
        <v/>
      </c>
      <c r="P230" t="str">
        <f t="shared" si="20"/>
        <v>UNRESERVED</v>
      </c>
      <c r="Q230" t="str">
        <f t="shared" si="21"/>
        <v>static const String^ TOK_LAG = "LAG";</v>
      </c>
      <c r="R230" t="str">
        <f t="shared" si="22"/>
        <v>static const int TOK_LAG = 633;</v>
      </c>
      <c r="S230" t="str">
        <f t="shared" si="23"/>
        <v>// _Tokens-&gt;Add((String^)GramVals::TOK_LAG, gcnew Token(GramKeys::TOK_LAG, EnumTokenCategory::UNRESERVED,BARE_LABEL, i++));</v>
      </c>
    </row>
    <row r="231" spans="1:19" x14ac:dyDescent="0.25">
      <c r="A231" s="3" t="s">
        <v>1596</v>
      </c>
      <c r="B231" s="5" t="s">
        <v>1168</v>
      </c>
      <c r="C231" s="3" t="s">
        <v>2122</v>
      </c>
      <c r="D231" s="3" t="s">
        <v>2423</v>
      </c>
      <c r="F231" t="str">
        <f t="shared" si="18"/>
        <v>LAST</v>
      </c>
      <c r="G231" t="s">
        <v>3440</v>
      </c>
      <c r="I231" s="3" t="str">
        <f>IF(_xlfn.XLOOKUP(F231,PgSqlRaw!B:B,PgSqlRaw!E:E,"") = "",_xlfn.XLOOKUP(G231,PgSqlRaw!B:B,PgSqlRaw!E:E,""),_xlfn.XLOOKUP(F231,PgSqlRaw!B:B,PgSqlRaw!E:E,""))</f>
        <v/>
      </c>
      <c r="J231" t="str">
        <f>IF(_xlfn.XLOOKUP(F231,PgSqlRaw!B:B,PgSqlRaw!F:F,"") = "", _xlfn.XLOOKUP(G231,PgSqlRaw!B:B,PgSqlRaw!F:F,""), _xlfn.XLOOKUP(F231,PgSqlRaw!B:B,PgSqlRaw!F:F,""))</f>
        <v>BARE_LABEL</v>
      </c>
      <c r="K231" t="str">
        <f t="shared" si="19"/>
        <v>BARE_LABEL</v>
      </c>
      <c r="L231" t="str">
        <f>IF(_xlfn.XLOOKUP(F231,PhpReserved!A:A,PhpReserved!B:B,"") = "", _xlfn.XLOOKUP(G231,PhpReserved!A:A,PhpReserved!B:B,""),_xlfn.XLOOKUP(F231,PhpReserved!A:A,PhpReserved!B:B,""))</f>
        <v/>
      </c>
      <c r="M231" t="str">
        <f>IF(_xlfn.XLOOKUP(F231,PhpFunctions!A:A,PhpFunctions!B:B,"") =  "", _xlfn.XLOOKUP(G231,PhpFunctions!A:A,PhpFunctions!B:B,""), _xlfn.XLOOKUP(F231,PhpFunctions!A:A,PhpFunctions!B:B,""))</f>
        <v/>
      </c>
      <c r="N231" t="str">
        <f>IF(_xlfn.XLOOKUP(F231,PhpParamFunc!A:A,PhpParamFunc!B:B,"") = "", _xlfn.XLOOKUP(G231,PhpParamFunc!A:A,PhpParamFunc!B:B,""), _xlfn.XLOOKUP(F231,PhpParamFunc!A:A,PhpParamFunc!B:B,""))</f>
        <v/>
      </c>
      <c r="O231" t="str">
        <f>IF(_xlfn.XLOOKUP(F231,PhpAggrFunc!A:A,PhpAggrFunc!B:B,"") = "", _xlfn.XLOOKUP(G231,PhpAggrFunc!A:A,PhpAggrFunc!B:B,""), _xlfn.XLOOKUP(F231,PhpAggrFunc!A:A,PhpAggrFunc!B:B,""))</f>
        <v/>
      </c>
      <c r="P231" t="str">
        <f t="shared" si="20"/>
        <v>UNRESERVED</v>
      </c>
      <c r="Q231" t="str">
        <f t="shared" si="21"/>
        <v>static const String^ TOK_LAST = "LAST";</v>
      </c>
      <c r="R231" t="str">
        <f t="shared" si="22"/>
        <v>static const int TOK_LAST = 485;</v>
      </c>
      <c r="S231" t="str">
        <f t="shared" si="23"/>
        <v>// _Tokens-&gt;Add((String^)GramVals::TOK_LAST, gcnew Token(GramKeys::TOK_LAST, EnumTokenCategory::UNRESERVED,BARE_LABEL, i++));</v>
      </c>
    </row>
    <row r="232" spans="1:19" x14ac:dyDescent="0.25">
      <c r="A232" s="3" t="s">
        <v>1597</v>
      </c>
      <c r="B232" s="5">
        <v>695</v>
      </c>
      <c r="C232" s="3" t="s">
        <v>2123</v>
      </c>
      <c r="D232" s="3" t="s">
        <v>2423</v>
      </c>
      <c r="F232" t="str">
        <f t="shared" si="18"/>
        <v>LAST_DAY</v>
      </c>
      <c r="G232" t="s">
        <v>2972</v>
      </c>
      <c r="I232" s="3" t="str">
        <f>IF(_xlfn.XLOOKUP(F232,PgSqlRaw!B:B,PgSqlRaw!E:E,"") = "",_xlfn.XLOOKUP(G232,PgSqlRaw!B:B,PgSqlRaw!E:E,""),_xlfn.XLOOKUP(F232,PgSqlRaw!B:B,PgSqlRaw!E:E,""))</f>
        <v/>
      </c>
      <c r="J232" t="str">
        <f>IF(_xlfn.XLOOKUP(F232,PgSqlRaw!B:B,PgSqlRaw!F:F,"") = "", _xlfn.XLOOKUP(G232,PgSqlRaw!B:B,PgSqlRaw!F:F,""), _xlfn.XLOOKUP(F232,PgSqlRaw!B:B,PgSqlRaw!F:F,""))</f>
        <v/>
      </c>
      <c r="K232" t="str">
        <f t="shared" si="19"/>
        <v>BARE_LABEL</v>
      </c>
      <c r="L232" t="str">
        <f>IF(_xlfn.XLOOKUP(F232,PhpReserved!A:A,PhpReserved!B:B,"") = "", _xlfn.XLOOKUP(G232,PhpReserved!A:A,PhpReserved!B:B,""),_xlfn.XLOOKUP(F232,PhpReserved!A:A,PhpReserved!B:B,""))</f>
        <v>RESERVED</v>
      </c>
      <c r="M232" t="str">
        <f>IF(_xlfn.XLOOKUP(F232,PhpFunctions!A:A,PhpFunctions!B:B,"") =  "", _xlfn.XLOOKUP(G232,PhpFunctions!A:A,PhpFunctions!B:B,""), _xlfn.XLOOKUP(F232,PhpFunctions!A:A,PhpFunctions!B:B,""))</f>
        <v>FUNCTION</v>
      </c>
      <c r="N232" t="str">
        <f>IF(_xlfn.XLOOKUP(F232,PhpParamFunc!A:A,PhpParamFunc!B:B,"") = "", _xlfn.XLOOKUP(G232,PhpParamFunc!A:A,PhpParamFunc!B:B,""), _xlfn.XLOOKUP(F232,PhpParamFunc!A:A,PhpParamFunc!B:B,""))</f>
        <v>PARAM_FUNCTION</v>
      </c>
      <c r="O232" t="str">
        <f>IF(_xlfn.XLOOKUP(F232,PhpAggrFunc!A:A,PhpAggrFunc!B:B,"") = "", _xlfn.XLOOKUP(G232,PhpAggrFunc!A:A,PhpAggrFunc!B:B,""), _xlfn.XLOOKUP(F232,PhpAggrFunc!A:A,PhpAggrFunc!B:B,""))</f>
        <v/>
      </c>
      <c r="P232" t="str">
        <f t="shared" si="20"/>
        <v>PARAM_FUNCTION</v>
      </c>
      <c r="Q232" t="str">
        <f t="shared" si="21"/>
        <v>static const String^ TOK_LAST_DAY = "LAST_DAY";</v>
      </c>
      <c r="R232" t="str">
        <f t="shared" si="22"/>
        <v>static const int TOK_LAST_DAY = 695;</v>
      </c>
      <c r="S232" t="str">
        <f t="shared" si="23"/>
        <v>_Tokens-&gt;Add((String^)GramVals::TOK_LAST_DAY, gcnew Token(GramKeys::TOK_LAST_DAY, EnumTokenCategory::PARAM_FUNCTION,BARE_LABEL, i++));</v>
      </c>
    </row>
    <row r="233" spans="1:19" x14ac:dyDescent="0.25">
      <c r="A233" s="3" t="s">
        <v>1598</v>
      </c>
      <c r="B233" s="5" t="s">
        <v>1169</v>
      </c>
      <c r="C233" s="3" t="s">
        <v>2124</v>
      </c>
      <c r="D233" s="3" t="s">
        <v>2423</v>
      </c>
      <c r="F233" t="str">
        <f t="shared" si="18"/>
        <v>LAST_VALUE</v>
      </c>
      <c r="G233" t="s">
        <v>3720</v>
      </c>
      <c r="I233" s="3" t="str">
        <f>IF(_xlfn.XLOOKUP(F233,PgSqlRaw!B:B,PgSqlRaw!E:E,"") = "",_xlfn.XLOOKUP(G233,PgSqlRaw!B:B,PgSqlRaw!E:E,""),_xlfn.XLOOKUP(F233,PgSqlRaw!B:B,PgSqlRaw!E:E,""))</f>
        <v/>
      </c>
      <c r="J233" t="str">
        <f>IF(_xlfn.XLOOKUP(F233,PgSqlRaw!B:B,PgSqlRaw!F:F,"") = "", _xlfn.XLOOKUP(G233,PgSqlRaw!B:B,PgSqlRaw!F:F,""), _xlfn.XLOOKUP(F233,PgSqlRaw!B:B,PgSqlRaw!F:F,""))</f>
        <v/>
      </c>
      <c r="K233" t="str">
        <f t="shared" si="19"/>
        <v>BARE_LABEL</v>
      </c>
      <c r="L233" t="str">
        <f>IF(_xlfn.XLOOKUP(F233,PhpReserved!A:A,PhpReserved!B:B,"") = "", _xlfn.XLOOKUP(G233,PhpReserved!A:A,PhpReserved!B:B,""),_xlfn.XLOOKUP(F233,PhpReserved!A:A,PhpReserved!B:B,""))</f>
        <v/>
      </c>
      <c r="M233" t="str">
        <f>IF(_xlfn.XLOOKUP(F233,PhpFunctions!A:A,PhpFunctions!B:B,"") =  "", _xlfn.XLOOKUP(G233,PhpFunctions!A:A,PhpFunctions!B:B,""), _xlfn.XLOOKUP(F233,PhpFunctions!A:A,PhpFunctions!B:B,""))</f>
        <v/>
      </c>
      <c r="N233" t="str">
        <f>IF(_xlfn.XLOOKUP(F233,PhpParamFunc!A:A,PhpParamFunc!B:B,"") = "", _xlfn.XLOOKUP(G233,PhpParamFunc!A:A,PhpParamFunc!B:B,""), _xlfn.XLOOKUP(F233,PhpParamFunc!A:A,PhpParamFunc!B:B,""))</f>
        <v/>
      </c>
      <c r="O233" t="str">
        <f>IF(_xlfn.XLOOKUP(F233,PhpAggrFunc!A:A,PhpAggrFunc!B:B,"") = "", _xlfn.XLOOKUP(G233,PhpAggrFunc!A:A,PhpAggrFunc!B:B,""), _xlfn.XLOOKUP(F233,PhpAggrFunc!A:A,PhpAggrFunc!B:B,""))</f>
        <v/>
      </c>
      <c r="P233" t="str">
        <f t="shared" si="20"/>
        <v>UNRESERVED</v>
      </c>
      <c r="Q233" t="str">
        <f t="shared" si="21"/>
        <v>static const String^ TOK_LAST_VALUE = "LAST_VALUE";</v>
      </c>
      <c r="R233" t="str">
        <f t="shared" si="22"/>
        <v>static const int TOK_LAST_VALUE = 632;</v>
      </c>
      <c r="S233" t="str">
        <f t="shared" si="23"/>
        <v>// _Tokens-&gt;Add((String^)GramVals::TOK_LAST_VALUE, gcnew Token(GramKeys::TOK_LAST_VALUE, EnumTokenCategory::UNRESERVED,BARE_LABEL, i++));</v>
      </c>
    </row>
    <row r="234" spans="1:19" x14ac:dyDescent="0.25">
      <c r="A234" s="3" t="s">
        <v>1599</v>
      </c>
      <c r="B234" s="5" t="s">
        <v>1170</v>
      </c>
      <c r="C234" s="3" t="s">
        <v>2125</v>
      </c>
      <c r="D234" s="3" t="s">
        <v>2423</v>
      </c>
      <c r="F234" t="str">
        <f t="shared" si="18"/>
        <v>LASTNAME</v>
      </c>
      <c r="G234" t="s">
        <v>3721</v>
      </c>
      <c r="I234" s="3" t="str">
        <f>IF(_xlfn.XLOOKUP(F234,PgSqlRaw!B:B,PgSqlRaw!E:E,"") = "",_xlfn.XLOOKUP(G234,PgSqlRaw!B:B,PgSqlRaw!E:E,""),_xlfn.XLOOKUP(F234,PgSqlRaw!B:B,PgSqlRaw!E:E,""))</f>
        <v/>
      </c>
      <c r="J234" t="str">
        <f>IF(_xlfn.XLOOKUP(F234,PgSqlRaw!B:B,PgSqlRaw!F:F,"") = "", _xlfn.XLOOKUP(G234,PgSqlRaw!B:B,PgSqlRaw!F:F,""), _xlfn.XLOOKUP(F234,PgSqlRaw!B:B,PgSqlRaw!F:F,""))</f>
        <v/>
      </c>
      <c r="K234" t="str">
        <f t="shared" si="19"/>
        <v>BARE_LABEL</v>
      </c>
      <c r="L234" t="str">
        <f>IF(_xlfn.XLOOKUP(F234,PhpReserved!A:A,PhpReserved!B:B,"") = "", _xlfn.XLOOKUP(G234,PhpReserved!A:A,PhpReserved!B:B,""),_xlfn.XLOOKUP(F234,PhpReserved!A:A,PhpReserved!B:B,""))</f>
        <v/>
      </c>
      <c r="M234" t="str">
        <f>IF(_xlfn.XLOOKUP(F234,PhpFunctions!A:A,PhpFunctions!B:B,"") =  "", _xlfn.XLOOKUP(G234,PhpFunctions!A:A,PhpFunctions!B:B,""), _xlfn.XLOOKUP(F234,PhpFunctions!A:A,PhpFunctions!B:B,""))</f>
        <v/>
      </c>
      <c r="N234" t="str">
        <f>IF(_xlfn.XLOOKUP(F234,PhpParamFunc!A:A,PhpParamFunc!B:B,"") = "", _xlfn.XLOOKUP(G234,PhpParamFunc!A:A,PhpParamFunc!B:B,""), _xlfn.XLOOKUP(F234,PhpParamFunc!A:A,PhpParamFunc!B:B,""))</f>
        <v/>
      </c>
      <c r="O234" t="str">
        <f>IF(_xlfn.XLOOKUP(F234,PhpAggrFunc!A:A,PhpAggrFunc!B:B,"") = "", _xlfn.XLOOKUP(G234,PhpAggrFunc!A:A,PhpAggrFunc!B:B,""), _xlfn.XLOOKUP(F234,PhpAggrFunc!A:A,PhpAggrFunc!B:B,""))</f>
        <v/>
      </c>
      <c r="P234" t="str">
        <f t="shared" si="20"/>
        <v>UNRESERVED</v>
      </c>
      <c r="Q234" t="str">
        <f t="shared" si="21"/>
        <v>static const String^ TOK_LASTNAME = "LASTNAME";</v>
      </c>
      <c r="R234" t="str">
        <f t="shared" si="22"/>
        <v>static const int TOK_LASTNAME = 594;</v>
      </c>
      <c r="S234" t="str">
        <f t="shared" si="23"/>
        <v>// _Tokens-&gt;Add((String^)GramVals::TOK_LASTNAME, gcnew Token(GramKeys::TOK_LASTNAME, EnumTokenCategory::UNRESERVED,BARE_LABEL, i++));</v>
      </c>
    </row>
    <row r="235" spans="1:19" x14ac:dyDescent="0.25">
      <c r="A235" s="3" t="s">
        <v>1600</v>
      </c>
      <c r="B235" s="5">
        <v>696</v>
      </c>
      <c r="C235" s="3" t="s">
        <v>2126</v>
      </c>
      <c r="D235" s="3" t="s">
        <v>881</v>
      </c>
      <c r="F235" t="str">
        <f t="shared" si="18"/>
        <v>LATERAL</v>
      </c>
      <c r="G235" t="s">
        <v>3441</v>
      </c>
      <c r="I235" s="3" t="str">
        <f>IF(_xlfn.XLOOKUP(F235,PgSqlRaw!B:B,PgSqlRaw!E:E,"") = "",_xlfn.XLOOKUP(G235,PgSqlRaw!B:B,PgSqlRaw!E:E,""),_xlfn.XLOOKUP(F235,PgSqlRaw!B:B,PgSqlRaw!E:E,""))</f>
        <v>RESERVED</v>
      </c>
      <c r="J235" t="str">
        <f>IF(_xlfn.XLOOKUP(F235,PgSqlRaw!B:B,PgSqlRaw!F:F,"") = "", _xlfn.XLOOKUP(G235,PgSqlRaw!B:B,PgSqlRaw!F:F,""), _xlfn.XLOOKUP(F235,PgSqlRaw!B:B,PgSqlRaw!F:F,""))</f>
        <v>BARE_LABEL</v>
      </c>
      <c r="K235" t="str">
        <f t="shared" si="19"/>
        <v>BARE_LABEL</v>
      </c>
      <c r="L235" t="str">
        <f>IF(_xlfn.XLOOKUP(F235,PhpReserved!A:A,PhpReserved!B:B,"") = "", _xlfn.XLOOKUP(G235,PhpReserved!A:A,PhpReserved!B:B,""),_xlfn.XLOOKUP(F235,PhpReserved!A:A,PhpReserved!B:B,""))</f>
        <v/>
      </c>
      <c r="M235" t="str">
        <f>IF(_xlfn.XLOOKUP(F235,PhpFunctions!A:A,PhpFunctions!B:B,"") =  "", _xlfn.XLOOKUP(G235,PhpFunctions!A:A,PhpFunctions!B:B,""), _xlfn.XLOOKUP(F235,PhpFunctions!A:A,PhpFunctions!B:B,""))</f>
        <v/>
      </c>
      <c r="N235" t="str">
        <f>IF(_xlfn.XLOOKUP(F235,PhpParamFunc!A:A,PhpParamFunc!B:B,"") = "", _xlfn.XLOOKUP(G235,PhpParamFunc!A:A,PhpParamFunc!B:B,""), _xlfn.XLOOKUP(F235,PhpParamFunc!A:A,PhpParamFunc!B:B,""))</f>
        <v/>
      </c>
      <c r="O235" t="str">
        <f>IF(_xlfn.XLOOKUP(F235,PhpAggrFunc!A:A,PhpAggrFunc!B:B,"") = "", _xlfn.XLOOKUP(G235,PhpAggrFunc!A:A,PhpAggrFunc!B:B,""), _xlfn.XLOOKUP(F235,PhpAggrFunc!A:A,PhpAggrFunc!B:B,""))</f>
        <v/>
      </c>
      <c r="P235" t="str">
        <f t="shared" si="20"/>
        <v>RESERVED</v>
      </c>
      <c r="Q235" t="str">
        <f t="shared" si="21"/>
        <v>static const String^ TOK_LATERAL = "LATERAL";</v>
      </c>
      <c r="R235" t="str">
        <f t="shared" si="22"/>
        <v>static const int TOK_LATERAL = 696;</v>
      </c>
      <c r="S235" t="str">
        <f t="shared" si="23"/>
        <v>_Tokens-&gt;Add((String^)GramVals::TOK_LATERAL, gcnew Token(GramKeys::TOK_LATERAL, EnumTokenCategory::RESERVED,BARE_LABEL, i++));</v>
      </c>
    </row>
    <row r="236" spans="1:19" x14ac:dyDescent="0.25">
      <c r="A236" s="3" t="s">
        <v>1601</v>
      </c>
      <c r="B236" s="5" t="s">
        <v>1171</v>
      </c>
      <c r="C236" s="3" t="s">
        <v>2127</v>
      </c>
      <c r="D236" s="3" t="s">
        <v>2423</v>
      </c>
      <c r="F236" t="str">
        <f t="shared" si="18"/>
        <v>LEAD</v>
      </c>
      <c r="G236" t="s">
        <v>3722</v>
      </c>
      <c r="I236" s="3" t="str">
        <f>IF(_xlfn.XLOOKUP(F236,PgSqlRaw!B:B,PgSqlRaw!E:E,"") = "",_xlfn.XLOOKUP(G236,PgSqlRaw!B:B,PgSqlRaw!E:E,""),_xlfn.XLOOKUP(F236,PgSqlRaw!B:B,PgSqlRaw!E:E,""))</f>
        <v/>
      </c>
      <c r="J236" t="str">
        <f>IF(_xlfn.XLOOKUP(F236,PgSqlRaw!B:B,PgSqlRaw!F:F,"") = "", _xlfn.XLOOKUP(G236,PgSqlRaw!B:B,PgSqlRaw!F:F,""), _xlfn.XLOOKUP(F236,PgSqlRaw!B:B,PgSqlRaw!F:F,""))</f>
        <v/>
      </c>
      <c r="K236" t="str">
        <f t="shared" si="19"/>
        <v>BARE_LABEL</v>
      </c>
      <c r="L236" t="str">
        <f>IF(_xlfn.XLOOKUP(F236,PhpReserved!A:A,PhpReserved!B:B,"") = "", _xlfn.XLOOKUP(G236,PhpReserved!A:A,PhpReserved!B:B,""),_xlfn.XLOOKUP(F236,PhpReserved!A:A,PhpReserved!B:B,""))</f>
        <v/>
      </c>
      <c r="M236" t="str">
        <f>IF(_xlfn.XLOOKUP(F236,PhpFunctions!A:A,PhpFunctions!B:B,"") =  "", _xlfn.XLOOKUP(G236,PhpFunctions!A:A,PhpFunctions!B:B,""), _xlfn.XLOOKUP(F236,PhpFunctions!A:A,PhpFunctions!B:B,""))</f>
        <v/>
      </c>
      <c r="N236" t="str">
        <f>IF(_xlfn.XLOOKUP(F236,PhpParamFunc!A:A,PhpParamFunc!B:B,"") = "", _xlfn.XLOOKUP(G236,PhpParamFunc!A:A,PhpParamFunc!B:B,""), _xlfn.XLOOKUP(F236,PhpParamFunc!A:A,PhpParamFunc!B:B,""))</f>
        <v/>
      </c>
      <c r="O236" t="str">
        <f>IF(_xlfn.XLOOKUP(F236,PhpAggrFunc!A:A,PhpAggrFunc!B:B,"") = "", _xlfn.XLOOKUP(G236,PhpAggrFunc!A:A,PhpAggrFunc!B:B,""), _xlfn.XLOOKUP(F236,PhpAggrFunc!A:A,PhpAggrFunc!B:B,""))</f>
        <v/>
      </c>
      <c r="P236" t="str">
        <f t="shared" si="20"/>
        <v>UNRESERVED</v>
      </c>
      <c r="Q236" t="str">
        <f t="shared" si="21"/>
        <v>static const String^ TOK_LEAD = "LEAD";</v>
      </c>
      <c r="R236" t="str">
        <f t="shared" si="22"/>
        <v>static const int TOK_LEAD = 634;</v>
      </c>
      <c r="S236" t="str">
        <f t="shared" si="23"/>
        <v>// _Tokens-&gt;Add((String^)GramVals::TOK_LEAD, gcnew Token(GramKeys::TOK_LEAD, EnumTokenCategory::UNRESERVED,BARE_LABEL, i++));</v>
      </c>
    </row>
    <row r="237" spans="1:19" x14ac:dyDescent="0.25">
      <c r="A237" s="3" t="s">
        <v>1602</v>
      </c>
      <c r="B237" s="5" t="s">
        <v>1172</v>
      </c>
      <c r="C237" s="3" t="s">
        <v>2128</v>
      </c>
      <c r="D237" s="3" t="s">
        <v>881</v>
      </c>
      <c r="F237" t="str">
        <f t="shared" si="18"/>
        <v>LEADING</v>
      </c>
      <c r="G237" t="s">
        <v>3180</v>
      </c>
      <c r="I237" s="3" t="str">
        <f>IF(_xlfn.XLOOKUP(F237,PgSqlRaw!B:B,PgSqlRaw!E:E,"") = "",_xlfn.XLOOKUP(G237,PgSqlRaw!B:B,PgSqlRaw!E:E,""),_xlfn.XLOOKUP(F237,PgSqlRaw!B:B,PgSqlRaw!E:E,""))</f>
        <v>RESERVED</v>
      </c>
      <c r="J237" t="str">
        <f>IF(_xlfn.XLOOKUP(F237,PgSqlRaw!B:B,PgSqlRaw!F:F,"") = "", _xlfn.XLOOKUP(G237,PgSqlRaw!B:B,PgSqlRaw!F:F,""), _xlfn.XLOOKUP(F237,PgSqlRaw!B:B,PgSqlRaw!F:F,""))</f>
        <v>BARE_LABEL</v>
      </c>
      <c r="K237" t="str">
        <f t="shared" si="19"/>
        <v>BARE_LABEL</v>
      </c>
      <c r="L237" t="str">
        <f>IF(_xlfn.XLOOKUP(F237,PhpReserved!A:A,PhpReserved!B:B,"") = "", _xlfn.XLOOKUP(G237,PhpReserved!A:A,PhpReserved!B:B,""),_xlfn.XLOOKUP(F237,PhpReserved!A:A,PhpReserved!B:B,""))</f>
        <v>RESERVED</v>
      </c>
      <c r="M237" t="str">
        <f>IF(_xlfn.XLOOKUP(F237,PhpFunctions!A:A,PhpFunctions!B:B,"") =  "", _xlfn.XLOOKUP(G237,PhpFunctions!A:A,PhpFunctions!B:B,""), _xlfn.XLOOKUP(F237,PhpFunctions!A:A,PhpFunctions!B:B,""))</f>
        <v/>
      </c>
      <c r="N237" t="str">
        <f>IF(_xlfn.XLOOKUP(F237,PhpParamFunc!A:A,PhpParamFunc!B:B,"") = "", _xlfn.XLOOKUP(G237,PhpParamFunc!A:A,PhpParamFunc!B:B,""), _xlfn.XLOOKUP(F237,PhpParamFunc!A:A,PhpParamFunc!B:B,""))</f>
        <v/>
      </c>
      <c r="O237" t="str">
        <f>IF(_xlfn.XLOOKUP(F237,PhpAggrFunc!A:A,PhpAggrFunc!B:B,"") = "", _xlfn.XLOOKUP(G237,PhpAggrFunc!A:A,PhpAggrFunc!B:B,""), _xlfn.XLOOKUP(F237,PhpAggrFunc!A:A,PhpAggrFunc!B:B,""))</f>
        <v/>
      </c>
      <c r="P237" t="str">
        <f t="shared" si="20"/>
        <v>RESERVED</v>
      </c>
      <c r="Q237" t="str">
        <f t="shared" si="21"/>
        <v>static const String^ TOK_LEADING = "LEADING";</v>
      </c>
      <c r="R237" t="str">
        <f t="shared" si="22"/>
        <v>static const int TOK_LEADING = 514;</v>
      </c>
      <c r="S237" t="str">
        <f t="shared" si="23"/>
        <v>_Tokens-&gt;Add((String^)GramVals::TOK_LEADING, gcnew Token(GramKeys::TOK_LEADING, EnumTokenCategory::RESERVED,BARE_LABEL, i++));</v>
      </c>
    </row>
    <row r="238" spans="1:19" x14ac:dyDescent="0.25">
      <c r="A238" s="3" t="s">
        <v>1603</v>
      </c>
      <c r="B238" s="5" t="s">
        <v>1173</v>
      </c>
      <c r="C238" s="3" t="s">
        <v>2129</v>
      </c>
      <c r="D238" s="3" t="s">
        <v>2423</v>
      </c>
      <c r="F238" t="str">
        <f t="shared" si="18"/>
        <v>LEAVE</v>
      </c>
      <c r="G238" t="s">
        <v>3181</v>
      </c>
      <c r="I238" s="3" t="str">
        <f>IF(_xlfn.XLOOKUP(F238,PgSqlRaw!B:B,PgSqlRaw!E:E,"") = "",_xlfn.XLOOKUP(G238,PgSqlRaw!B:B,PgSqlRaw!E:E,""),_xlfn.XLOOKUP(F238,PgSqlRaw!B:B,PgSqlRaw!E:E,""))</f>
        <v/>
      </c>
      <c r="J238" t="str">
        <f>IF(_xlfn.XLOOKUP(F238,PgSqlRaw!B:B,PgSqlRaw!F:F,"") = "", _xlfn.XLOOKUP(G238,PgSqlRaw!B:B,PgSqlRaw!F:F,""), _xlfn.XLOOKUP(F238,PgSqlRaw!B:B,PgSqlRaw!F:F,""))</f>
        <v/>
      </c>
      <c r="K238" t="str">
        <f t="shared" si="19"/>
        <v>BARE_LABEL</v>
      </c>
      <c r="L238" t="str">
        <f>IF(_xlfn.XLOOKUP(F238,PhpReserved!A:A,PhpReserved!B:B,"") = "", _xlfn.XLOOKUP(G238,PhpReserved!A:A,PhpReserved!B:B,""),_xlfn.XLOOKUP(F238,PhpReserved!A:A,PhpReserved!B:B,""))</f>
        <v>RESERVED</v>
      </c>
      <c r="M238" t="str">
        <f>IF(_xlfn.XLOOKUP(F238,PhpFunctions!A:A,PhpFunctions!B:B,"") =  "", _xlfn.XLOOKUP(G238,PhpFunctions!A:A,PhpFunctions!B:B,""), _xlfn.XLOOKUP(F238,PhpFunctions!A:A,PhpFunctions!B:B,""))</f>
        <v/>
      </c>
      <c r="N238" t="str">
        <f>IF(_xlfn.XLOOKUP(F238,PhpParamFunc!A:A,PhpParamFunc!B:B,"") = "", _xlfn.XLOOKUP(G238,PhpParamFunc!A:A,PhpParamFunc!B:B,""), _xlfn.XLOOKUP(F238,PhpParamFunc!A:A,PhpParamFunc!B:B,""))</f>
        <v/>
      </c>
      <c r="O238" t="str">
        <f>IF(_xlfn.XLOOKUP(F238,PhpAggrFunc!A:A,PhpAggrFunc!B:B,"") = "", _xlfn.XLOOKUP(G238,PhpAggrFunc!A:A,PhpAggrFunc!B:B,""), _xlfn.XLOOKUP(F238,PhpAggrFunc!A:A,PhpAggrFunc!B:B,""))</f>
        <v/>
      </c>
      <c r="P238" t="str">
        <f t="shared" si="20"/>
        <v>RESERVED</v>
      </c>
      <c r="Q238" t="str">
        <f t="shared" si="21"/>
        <v>static const String^ TOK_LEAVE = "LEAVE";</v>
      </c>
      <c r="R238" t="str">
        <f t="shared" si="22"/>
        <v>static const int TOK_LEAVE = 491;</v>
      </c>
      <c r="S238" t="str">
        <f t="shared" si="23"/>
        <v>_Tokens-&gt;Add((String^)GramVals::TOK_LEAVE, gcnew Token(GramKeys::TOK_LEAVE, EnumTokenCategory::RESERVED,BARE_LABEL, i++));</v>
      </c>
    </row>
    <row r="239" spans="1:19" x14ac:dyDescent="0.25">
      <c r="A239" s="3" t="s">
        <v>1604</v>
      </c>
      <c r="B239" s="5" t="s">
        <v>1174</v>
      </c>
      <c r="C239" s="3" t="s">
        <v>2130</v>
      </c>
      <c r="D239" s="3" t="s">
        <v>881</v>
      </c>
      <c r="F239" t="str">
        <f t="shared" si="18"/>
        <v>LEFT</v>
      </c>
      <c r="G239" t="s">
        <v>2976</v>
      </c>
      <c r="I239" s="3" t="str">
        <f>IF(_xlfn.XLOOKUP(F239,PgSqlRaw!B:B,PgSqlRaw!E:E,"") = "",_xlfn.XLOOKUP(G239,PgSqlRaw!B:B,PgSqlRaw!E:E,""),_xlfn.XLOOKUP(F239,PgSqlRaw!B:B,PgSqlRaw!E:E,""))</f>
        <v>FUNCTION</v>
      </c>
      <c r="J239" t="str">
        <f>IF(_xlfn.XLOOKUP(F239,PgSqlRaw!B:B,PgSqlRaw!F:F,"") = "", _xlfn.XLOOKUP(G239,PgSqlRaw!B:B,PgSqlRaw!F:F,""), _xlfn.XLOOKUP(F239,PgSqlRaw!B:B,PgSqlRaw!F:F,""))</f>
        <v>BARE_LABEL</v>
      </c>
      <c r="K239" t="str">
        <f t="shared" si="19"/>
        <v>BARE_LABEL</v>
      </c>
      <c r="L239" t="str">
        <f>IF(_xlfn.XLOOKUP(F239,PhpReserved!A:A,PhpReserved!B:B,"") = "", _xlfn.XLOOKUP(G239,PhpReserved!A:A,PhpReserved!B:B,""),_xlfn.XLOOKUP(F239,PhpReserved!A:A,PhpReserved!B:B,""))</f>
        <v>RESERVED</v>
      </c>
      <c r="M239" t="str">
        <f>IF(_xlfn.XLOOKUP(F239,PhpFunctions!A:A,PhpFunctions!B:B,"") =  "", _xlfn.XLOOKUP(G239,PhpFunctions!A:A,PhpFunctions!B:B,""), _xlfn.XLOOKUP(F239,PhpFunctions!A:A,PhpFunctions!B:B,""))</f>
        <v>FUNCTION</v>
      </c>
      <c r="N239" t="str">
        <f>IF(_xlfn.XLOOKUP(F239,PhpParamFunc!A:A,PhpParamFunc!B:B,"") = "", _xlfn.XLOOKUP(G239,PhpParamFunc!A:A,PhpParamFunc!B:B,""), _xlfn.XLOOKUP(F239,PhpParamFunc!A:A,PhpParamFunc!B:B,""))</f>
        <v>PARAM_FUNCTION</v>
      </c>
      <c r="O239" t="str">
        <f>IF(_xlfn.XLOOKUP(F239,PhpAggrFunc!A:A,PhpAggrFunc!B:B,"") = "", _xlfn.XLOOKUP(G239,PhpAggrFunc!A:A,PhpAggrFunc!B:B,""), _xlfn.XLOOKUP(F239,PhpAggrFunc!A:A,PhpAggrFunc!B:B,""))</f>
        <v/>
      </c>
      <c r="P239" t="str">
        <f t="shared" si="20"/>
        <v>PARAM_FUNCTION</v>
      </c>
      <c r="Q239" t="str">
        <f t="shared" si="21"/>
        <v>static const String^ TOK_LEFT = "LEFT";</v>
      </c>
      <c r="R239" t="str">
        <f t="shared" si="22"/>
        <v>static const int TOK_LEFT = 349;</v>
      </c>
      <c r="S239" t="str">
        <f t="shared" si="23"/>
        <v>_Tokens-&gt;Add((String^)GramVals::TOK_LEFT, gcnew Token(GramKeys::TOK_LEFT, EnumTokenCategory::PARAM_FUNCTION,BARE_LABEL, i++));</v>
      </c>
    </row>
    <row r="240" spans="1:19" x14ac:dyDescent="0.25">
      <c r="A240" s="3" t="s">
        <v>1605</v>
      </c>
      <c r="B240" s="5">
        <v>697</v>
      </c>
      <c r="C240" s="3" t="s">
        <v>2131</v>
      </c>
      <c r="D240" s="3" t="s">
        <v>2423</v>
      </c>
      <c r="F240" t="str">
        <f t="shared" si="18"/>
        <v>LEGACY</v>
      </c>
      <c r="G240" t="s">
        <v>3723</v>
      </c>
      <c r="I240" s="3" t="str">
        <f>IF(_xlfn.XLOOKUP(F240,PgSqlRaw!B:B,PgSqlRaw!E:E,"") = "",_xlfn.XLOOKUP(G240,PgSqlRaw!B:B,PgSqlRaw!E:E,""),_xlfn.XLOOKUP(F240,PgSqlRaw!B:B,PgSqlRaw!E:E,""))</f>
        <v/>
      </c>
      <c r="J240" t="str">
        <f>IF(_xlfn.XLOOKUP(F240,PgSqlRaw!B:B,PgSqlRaw!F:F,"") = "", _xlfn.XLOOKUP(G240,PgSqlRaw!B:B,PgSqlRaw!F:F,""), _xlfn.XLOOKUP(F240,PgSqlRaw!B:B,PgSqlRaw!F:F,""))</f>
        <v/>
      </c>
      <c r="K240" t="str">
        <f t="shared" si="19"/>
        <v>BARE_LABEL</v>
      </c>
      <c r="L240" t="str">
        <f>IF(_xlfn.XLOOKUP(F240,PhpReserved!A:A,PhpReserved!B:B,"") = "", _xlfn.XLOOKUP(G240,PhpReserved!A:A,PhpReserved!B:B,""),_xlfn.XLOOKUP(F240,PhpReserved!A:A,PhpReserved!B:B,""))</f>
        <v/>
      </c>
      <c r="M240" t="str">
        <f>IF(_xlfn.XLOOKUP(F240,PhpFunctions!A:A,PhpFunctions!B:B,"") =  "", _xlfn.XLOOKUP(G240,PhpFunctions!A:A,PhpFunctions!B:B,""), _xlfn.XLOOKUP(F240,PhpFunctions!A:A,PhpFunctions!B:B,""))</f>
        <v/>
      </c>
      <c r="N240" t="str">
        <f>IF(_xlfn.XLOOKUP(F240,PhpParamFunc!A:A,PhpParamFunc!B:B,"") = "", _xlfn.XLOOKUP(G240,PhpParamFunc!A:A,PhpParamFunc!B:B,""), _xlfn.XLOOKUP(F240,PhpParamFunc!A:A,PhpParamFunc!B:B,""))</f>
        <v/>
      </c>
      <c r="O240" t="str">
        <f>IF(_xlfn.XLOOKUP(F240,PhpAggrFunc!A:A,PhpAggrFunc!B:B,"") = "", _xlfn.XLOOKUP(G240,PhpAggrFunc!A:A,PhpAggrFunc!B:B,""), _xlfn.XLOOKUP(F240,PhpAggrFunc!A:A,PhpAggrFunc!B:B,""))</f>
        <v/>
      </c>
      <c r="P240" t="str">
        <f t="shared" si="20"/>
        <v>UNRESERVED</v>
      </c>
      <c r="Q240" t="str">
        <f t="shared" si="21"/>
        <v>static const String^ TOK_LEGACY = "LEGACY";</v>
      </c>
      <c r="R240" t="str">
        <f t="shared" si="22"/>
        <v>static const int TOK_LEGACY = 697;</v>
      </c>
      <c r="S240" t="str">
        <f t="shared" si="23"/>
        <v>// _Tokens-&gt;Add((String^)GramVals::TOK_LEGACY, gcnew Token(GramKeys::TOK_LEGACY, EnumTokenCategory::UNRESERVED,BARE_LABEL, i++));</v>
      </c>
    </row>
    <row r="241" spans="1:19" x14ac:dyDescent="0.25">
      <c r="A241" s="3" t="s">
        <v>1606</v>
      </c>
      <c r="B241" s="5" t="s">
        <v>1175</v>
      </c>
      <c r="C241" s="3" t="s">
        <v>2132</v>
      </c>
      <c r="D241" s="3" t="s">
        <v>2423</v>
      </c>
      <c r="F241" t="str">
        <f t="shared" si="18"/>
        <v>LENGTH</v>
      </c>
      <c r="G241" t="s">
        <v>2977</v>
      </c>
      <c r="I241" s="3" t="str">
        <f>IF(_xlfn.XLOOKUP(F241,PgSqlRaw!B:B,PgSqlRaw!E:E,"") = "",_xlfn.XLOOKUP(G241,PgSqlRaw!B:B,PgSqlRaw!E:E,""),_xlfn.XLOOKUP(F241,PgSqlRaw!B:B,PgSqlRaw!E:E,""))</f>
        <v/>
      </c>
      <c r="J241" t="str">
        <f>IF(_xlfn.XLOOKUP(F241,PgSqlRaw!B:B,PgSqlRaw!F:F,"") = "", _xlfn.XLOOKUP(G241,PgSqlRaw!B:B,PgSqlRaw!F:F,""), _xlfn.XLOOKUP(F241,PgSqlRaw!B:B,PgSqlRaw!F:F,""))</f>
        <v/>
      </c>
      <c r="K241" t="str">
        <f t="shared" si="19"/>
        <v>BARE_LABEL</v>
      </c>
      <c r="L241" t="str">
        <f>IF(_xlfn.XLOOKUP(F241,PhpReserved!A:A,PhpReserved!B:B,"") = "", _xlfn.XLOOKUP(G241,PhpReserved!A:A,PhpReserved!B:B,""),_xlfn.XLOOKUP(F241,PhpReserved!A:A,PhpReserved!B:B,""))</f>
        <v>RESERVED</v>
      </c>
      <c r="M241" t="str">
        <f>IF(_xlfn.XLOOKUP(F241,PhpFunctions!A:A,PhpFunctions!B:B,"") =  "", _xlfn.XLOOKUP(G241,PhpFunctions!A:A,PhpFunctions!B:B,""), _xlfn.XLOOKUP(F241,PhpFunctions!A:A,PhpFunctions!B:B,""))</f>
        <v>FUNCTION</v>
      </c>
      <c r="N241" t="str">
        <f>IF(_xlfn.XLOOKUP(F241,PhpParamFunc!A:A,PhpParamFunc!B:B,"") = "", _xlfn.XLOOKUP(G241,PhpParamFunc!A:A,PhpParamFunc!B:B,""), _xlfn.XLOOKUP(F241,PhpParamFunc!A:A,PhpParamFunc!B:B,""))</f>
        <v>PARAM_FUNCTION</v>
      </c>
      <c r="O241" t="str">
        <f>IF(_xlfn.XLOOKUP(F241,PhpAggrFunc!A:A,PhpAggrFunc!B:B,"") = "", _xlfn.XLOOKUP(G241,PhpAggrFunc!A:A,PhpAggrFunc!B:B,""), _xlfn.XLOOKUP(F241,PhpAggrFunc!A:A,PhpAggrFunc!B:B,""))</f>
        <v/>
      </c>
      <c r="P241" t="str">
        <f t="shared" si="20"/>
        <v>PARAM_FUNCTION</v>
      </c>
      <c r="Q241" t="str">
        <f t="shared" si="21"/>
        <v>static const String^ TOK_LENGTH = "LENGTH";</v>
      </c>
      <c r="R241" t="str">
        <f t="shared" si="22"/>
        <v>static const int TOK_LENGTH = 348;</v>
      </c>
      <c r="S241" t="str">
        <f t="shared" si="23"/>
        <v>_Tokens-&gt;Add((String^)GramVals::TOK_LENGTH, gcnew Token(GramKeys::TOK_LENGTH, EnumTokenCategory::PARAM_FUNCTION,BARE_LABEL, i++));</v>
      </c>
    </row>
    <row r="242" spans="1:19" x14ac:dyDescent="0.25">
      <c r="A242" s="3" t="s">
        <v>1607</v>
      </c>
      <c r="B242" s="5" t="s">
        <v>1176</v>
      </c>
      <c r="C242" s="3" t="s">
        <v>2133</v>
      </c>
      <c r="D242" s="3" t="s">
        <v>881</v>
      </c>
      <c r="E242" s="3" t="s">
        <v>3484</v>
      </c>
      <c r="F242" t="str">
        <f t="shared" si="18"/>
        <v>LEQ</v>
      </c>
      <c r="G242" t="s">
        <v>3724</v>
      </c>
      <c r="I242" s="3" t="str">
        <f>IF(_xlfn.XLOOKUP(F242,PgSqlRaw!B:B,PgSqlRaw!E:E,"") = "",_xlfn.XLOOKUP(G242,PgSqlRaw!B:B,PgSqlRaw!E:E,""),_xlfn.XLOOKUP(F242,PgSqlRaw!B:B,PgSqlRaw!E:E,""))</f>
        <v/>
      </c>
      <c r="J242" t="str">
        <f>IF(_xlfn.XLOOKUP(F242,PgSqlRaw!B:B,PgSqlRaw!F:F,"") = "", _xlfn.XLOOKUP(G242,PgSqlRaw!B:B,PgSqlRaw!F:F,""), _xlfn.XLOOKUP(F242,PgSqlRaw!B:B,PgSqlRaw!F:F,""))</f>
        <v/>
      </c>
      <c r="K242" t="str">
        <f t="shared" si="19"/>
        <v>BARE_LABEL</v>
      </c>
      <c r="L242" t="str">
        <f>IF(_xlfn.XLOOKUP(F242,PhpReserved!A:A,PhpReserved!B:B,"") = "", _xlfn.XLOOKUP(G242,PhpReserved!A:A,PhpReserved!B:B,""),_xlfn.XLOOKUP(F242,PhpReserved!A:A,PhpReserved!B:B,""))</f>
        <v/>
      </c>
      <c r="M242" t="str">
        <f>IF(_xlfn.XLOOKUP(F242,PhpFunctions!A:A,PhpFunctions!B:B,"") =  "", _xlfn.XLOOKUP(G242,PhpFunctions!A:A,PhpFunctions!B:B,""), _xlfn.XLOOKUP(F242,PhpFunctions!A:A,PhpFunctions!B:B,""))</f>
        <v/>
      </c>
      <c r="N242" t="str">
        <f>IF(_xlfn.XLOOKUP(F242,PhpParamFunc!A:A,PhpParamFunc!B:B,"") = "", _xlfn.XLOOKUP(G242,PhpParamFunc!A:A,PhpParamFunc!B:B,""), _xlfn.XLOOKUP(F242,PhpParamFunc!A:A,PhpParamFunc!B:B,""))</f>
        <v/>
      </c>
      <c r="O242" t="str">
        <f>IF(_xlfn.XLOOKUP(F242,PhpAggrFunc!A:A,PhpAggrFunc!B:B,"") = "", _xlfn.XLOOKUP(G242,PhpAggrFunc!A:A,PhpAggrFunc!B:B,""), _xlfn.XLOOKUP(F242,PhpAggrFunc!A:A,PhpAggrFunc!B:B,""))</f>
        <v/>
      </c>
      <c r="P242" t="str">
        <f t="shared" si="20"/>
        <v>OPERATOR</v>
      </c>
      <c r="Q242" t="str">
        <f t="shared" si="21"/>
        <v>static const String^ TOK_LEQ = "&lt;=";</v>
      </c>
      <c r="R242" t="str">
        <f t="shared" si="22"/>
        <v>static const int TOK_LEQ = 350;</v>
      </c>
      <c r="S242" t="str">
        <f t="shared" si="23"/>
        <v>_Tokens-&gt;Add((String^)GramVals::TOK_LEQ, gcnew Token(GramKeys::TOK_LEQ, EnumTokenCategory::OPERATOR,BARE_LABEL, i++));</v>
      </c>
    </row>
    <row r="243" spans="1:19" x14ac:dyDescent="0.25">
      <c r="A243" s="3" t="s">
        <v>1608</v>
      </c>
      <c r="B243" s="5" t="s">
        <v>1177</v>
      </c>
      <c r="C243" s="3" t="s">
        <v>2134</v>
      </c>
      <c r="D243" s="3" t="s">
        <v>2423</v>
      </c>
      <c r="F243" t="str">
        <f t="shared" si="18"/>
        <v>LEVEL</v>
      </c>
      <c r="G243" t="s">
        <v>3443</v>
      </c>
      <c r="I243" s="3" t="str">
        <f>IF(_xlfn.XLOOKUP(F243,PgSqlRaw!B:B,PgSqlRaw!E:E,"") = "",_xlfn.XLOOKUP(G243,PgSqlRaw!B:B,PgSqlRaw!E:E,""),_xlfn.XLOOKUP(F243,PgSqlRaw!B:B,PgSqlRaw!E:E,""))</f>
        <v/>
      </c>
      <c r="J243" t="str">
        <f>IF(_xlfn.XLOOKUP(F243,PgSqlRaw!B:B,PgSqlRaw!F:F,"") = "", _xlfn.XLOOKUP(G243,PgSqlRaw!B:B,PgSqlRaw!F:F,""), _xlfn.XLOOKUP(F243,PgSqlRaw!B:B,PgSqlRaw!F:F,""))</f>
        <v>BARE_LABEL</v>
      </c>
      <c r="K243" t="str">
        <f t="shared" si="19"/>
        <v>BARE_LABEL</v>
      </c>
      <c r="L243" t="str">
        <f>IF(_xlfn.XLOOKUP(F243,PhpReserved!A:A,PhpReserved!B:B,"") = "", _xlfn.XLOOKUP(G243,PhpReserved!A:A,PhpReserved!B:B,""),_xlfn.XLOOKUP(F243,PhpReserved!A:A,PhpReserved!B:B,""))</f>
        <v/>
      </c>
      <c r="M243" t="str">
        <f>IF(_xlfn.XLOOKUP(F243,PhpFunctions!A:A,PhpFunctions!B:B,"") =  "", _xlfn.XLOOKUP(G243,PhpFunctions!A:A,PhpFunctions!B:B,""), _xlfn.XLOOKUP(F243,PhpFunctions!A:A,PhpFunctions!B:B,""))</f>
        <v/>
      </c>
      <c r="N243" t="str">
        <f>IF(_xlfn.XLOOKUP(F243,PhpParamFunc!A:A,PhpParamFunc!B:B,"") = "", _xlfn.XLOOKUP(G243,PhpParamFunc!A:A,PhpParamFunc!B:B,""), _xlfn.XLOOKUP(F243,PhpParamFunc!A:A,PhpParamFunc!B:B,""))</f>
        <v/>
      </c>
      <c r="O243" t="str">
        <f>IF(_xlfn.XLOOKUP(F243,PhpAggrFunc!A:A,PhpAggrFunc!B:B,"") = "", _xlfn.XLOOKUP(G243,PhpAggrFunc!A:A,PhpAggrFunc!B:B,""), _xlfn.XLOOKUP(F243,PhpAggrFunc!A:A,PhpAggrFunc!B:B,""))</f>
        <v/>
      </c>
      <c r="P243" t="str">
        <f t="shared" si="20"/>
        <v>UNRESERVED</v>
      </c>
      <c r="Q243" t="str">
        <f t="shared" si="21"/>
        <v>static const String^ TOK_LEVEL = "LEVEL";</v>
      </c>
      <c r="R243" t="str">
        <f t="shared" si="22"/>
        <v>static const int TOK_LEVEL = 351;</v>
      </c>
      <c r="S243" t="str">
        <f t="shared" si="23"/>
        <v>// _Tokens-&gt;Add((String^)GramVals::TOK_LEVEL, gcnew Token(GramKeys::TOK_LEVEL, EnumTokenCategory::UNRESERVED,BARE_LABEL, i++));</v>
      </c>
    </row>
    <row r="244" spans="1:19" x14ac:dyDescent="0.25">
      <c r="A244" s="3" t="s">
        <v>1609</v>
      </c>
      <c r="B244" s="5">
        <v>698</v>
      </c>
      <c r="C244" s="3" t="s">
        <v>2135</v>
      </c>
      <c r="D244" s="3" t="s">
        <v>2423</v>
      </c>
      <c r="F244" t="str">
        <f t="shared" si="18"/>
        <v>LIFETIME</v>
      </c>
      <c r="G244" t="s">
        <v>3725</v>
      </c>
      <c r="I244" s="3" t="str">
        <f>IF(_xlfn.XLOOKUP(F244,PgSqlRaw!B:B,PgSqlRaw!E:E,"") = "",_xlfn.XLOOKUP(G244,PgSqlRaw!B:B,PgSqlRaw!E:E,""),_xlfn.XLOOKUP(F244,PgSqlRaw!B:B,PgSqlRaw!E:E,""))</f>
        <v/>
      </c>
      <c r="J244" t="str">
        <f>IF(_xlfn.XLOOKUP(F244,PgSqlRaw!B:B,PgSqlRaw!F:F,"") = "", _xlfn.XLOOKUP(G244,PgSqlRaw!B:B,PgSqlRaw!F:F,""), _xlfn.XLOOKUP(F244,PgSqlRaw!B:B,PgSqlRaw!F:F,""))</f>
        <v/>
      </c>
      <c r="K244" t="str">
        <f t="shared" si="19"/>
        <v>BARE_LABEL</v>
      </c>
      <c r="L244" t="str">
        <f>IF(_xlfn.XLOOKUP(F244,PhpReserved!A:A,PhpReserved!B:B,"") = "", _xlfn.XLOOKUP(G244,PhpReserved!A:A,PhpReserved!B:B,""),_xlfn.XLOOKUP(F244,PhpReserved!A:A,PhpReserved!B:B,""))</f>
        <v/>
      </c>
      <c r="M244" t="str">
        <f>IF(_xlfn.XLOOKUP(F244,PhpFunctions!A:A,PhpFunctions!B:B,"") =  "", _xlfn.XLOOKUP(G244,PhpFunctions!A:A,PhpFunctions!B:B,""), _xlfn.XLOOKUP(F244,PhpFunctions!A:A,PhpFunctions!B:B,""))</f>
        <v/>
      </c>
      <c r="N244" t="str">
        <f>IF(_xlfn.XLOOKUP(F244,PhpParamFunc!A:A,PhpParamFunc!B:B,"") = "", _xlfn.XLOOKUP(G244,PhpParamFunc!A:A,PhpParamFunc!B:B,""), _xlfn.XLOOKUP(F244,PhpParamFunc!A:A,PhpParamFunc!B:B,""))</f>
        <v/>
      </c>
      <c r="O244" t="str">
        <f>IF(_xlfn.XLOOKUP(F244,PhpAggrFunc!A:A,PhpAggrFunc!B:B,"") = "", _xlfn.XLOOKUP(G244,PhpAggrFunc!A:A,PhpAggrFunc!B:B,""), _xlfn.XLOOKUP(F244,PhpAggrFunc!A:A,PhpAggrFunc!B:B,""))</f>
        <v/>
      </c>
      <c r="P244" t="str">
        <f t="shared" si="20"/>
        <v>UNRESERVED</v>
      </c>
      <c r="Q244" t="str">
        <f t="shared" si="21"/>
        <v>static const String^ TOK_LIFETIME = "LIFETIME";</v>
      </c>
      <c r="R244" t="str">
        <f t="shared" si="22"/>
        <v>static const int TOK_LIFETIME = 698;</v>
      </c>
      <c r="S244" t="str">
        <f t="shared" si="23"/>
        <v>// _Tokens-&gt;Add((String^)GramVals::TOK_LIFETIME, gcnew Token(GramKeys::TOK_LIFETIME, EnumTokenCategory::UNRESERVED,BARE_LABEL, i++));</v>
      </c>
    </row>
    <row r="245" spans="1:19" x14ac:dyDescent="0.25">
      <c r="A245" s="3" t="s">
        <v>1610</v>
      </c>
      <c r="B245" s="5" t="s">
        <v>1178</v>
      </c>
      <c r="C245" s="3" t="s">
        <v>2136</v>
      </c>
      <c r="D245" s="3" t="s">
        <v>881</v>
      </c>
      <c r="F245" t="str">
        <f t="shared" si="18"/>
        <v>LIKE</v>
      </c>
      <c r="G245" t="s">
        <v>3182</v>
      </c>
      <c r="I245" s="3" t="str">
        <f>IF(_xlfn.XLOOKUP(F245,PgSqlRaw!B:B,PgSqlRaw!E:E,"") = "",_xlfn.XLOOKUP(G245,PgSqlRaw!B:B,PgSqlRaw!E:E,""),_xlfn.XLOOKUP(F245,PgSqlRaw!B:B,PgSqlRaw!E:E,""))</f>
        <v>FUNCTION</v>
      </c>
      <c r="J245" t="str">
        <f>IF(_xlfn.XLOOKUP(F245,PgSqlRaw!B:B,PgSqlRaw!F:F,"") = "", _xlfn.XLOOKUP(G245,PgSqlRaw!B:B,PgSqlRaw!F:F,""), _xlfn.XLOOKUP(F245,PgSqlRaw!B:B,PgSqlRaw!F:F,""))</f>
        <v>BARE_LABEL</v>
      </c>
      <c r="K245" t="str">
        <f t="shared" si="19"/>
        <v>BARE_LABEL</v>
      </c>
      <c r="L245" t="str">
        <f>IF(_xlfn.XLOOKUP(F245,PhpReserved!A:A,PhpReserved!B:B,"") = "", _xlfn.XLOOKUP(G245,PhpReserved!A:A,PhpReserved!B:B,""),_xlfn.XLOOKUP(F245,PhpReserved!A:A,PhpReserved!B:B,""))</f>
        <v>RESERVED</v>
      </c>
      <c r="M245" t="str">
        <f>IF(_xlfn.XLOOKUP(F245,PhpFunctions!A:A,PhpFunctions!B:B,"") =  "", _xlfn.XLOOKUP(G245,PhpFunctions!A:A,PhpFunctions!B:B,""), _xlfn.XLOOKUP(F245,PhpFunctions!A:A,PhpFunctions!B:B,""))</f>
        <v/>
      </c>
      <c r="N245" t="str">
        <f>IF(_xlfn.XLOOKUP(F245,PhpParamFunc!A:A,PhpParamFunc!B:B,"") = "", _xlfn.XLOOKUP(G245,PhpParamFunc!A:A,PhpParamFunc!B:B,""), _xlfn.XLOOKUP(F245,PhpParamFunc!A:A,PhpParamFunc!B:B,""))</f>
        <v/>
      </c>
      <c r="O245" t="str">
        <f>IF(_xlfn.XLOOKUP(F245,PhpAggrFunc!A:A,PhpAggrFunc!B:B,"") = "", _xlfn.XLOOKUP(G245,PhpAggrFunc!A:A,PhpAggrFunc!B:B,""), _xlfn.XLOOKUP(F245,PhpAggrFunc!A:A,PhpAggrFunc!B:B,""))</f>
        <v/>
      </c>
      <c r="P245" t="str">
        <f t="shared" si="20"/>
        <v>RESERVED</v>
      </c>
      <c r="Q245" t="str">
        <f t="shared" si="21"/>
        <v>static const String^ TOK_LIKE = "LIKE";</v>
      </c>
      <c r="R245" t="str">
        <f t="shared" si="22"/>
        <v>static const int TOK_LIKE = 352;</v>
      </c>
      <c r="S245" t="str">
        <f t="shared" si="23"/>
        <v>_Tokens-&gt;Add((String^)GramVals::TOK_LIKE, gcnew Token(GramKeys::TOK_LIKE, EnumTokenCategory::RESERVED,BARE_LABEL, i++));</v>
      </c>
    </row>
    <row r="246" spans="1:19" x14ac:dyDescent="0.25">
      <c r="A246" s="3" t="s">
        <v>1611</v>
      </c>
      <c r="B246" s="5" t="s">
        <v>1179</v>
      </c>
      <c r="C246" s="3" t="s">
        <v>2137</v>
      </c>
      <c r="D246" s="3" t="s">
        <v>2423</v>
      </c>
      <c r="F246" t="str">
        <f t="shared" si="18"/>
        <v>LIMBO</v>
      </c>
      <c r="G246" t="s">
        <v>3726</v>
      </c>
      <c r="I246" s="3" t="str">
        <f>IF(_xlfn.XLOOKUP(F246,PgSqlRaw!B:B,PgSqlRaw!E:E,"") = "",_xlfn.XLOOKUP(G246,PgSqlRaw!B:B,PgSqlRaw!E:E,""),_xlfn.XLOOKUP(F246,PgSqlRaw!B:B,PgSqlRaw!E:E,""))</f>
        <v/>
      </c>
      <c r="J246" t="str">
        <f>IF(_xlfn.XLOOKUP(F246,PgSqlRaw!B:B,PgSqlRaw!F:F,"") = "", _xlfn.XLOOKUP(G246,PgSqlRaw!B:B,PgSqlRaw!F:F,""), _xlfn.XLOOKUP(F246,PgSqlRaw!B:B,PgSqlRaw!F:F,""))</f>
        <v/>
      </c>
      <c r="K246" t="str">
        <f t="shared" si="19"/>
        <v>BARE_LABEL</v>
      </c>
      <c r="L246" t="str">
        <f>IF(_xlfn.XLOOKUP(F246,PhpReserved!A:A,PhpReserved!B:B,"") = "", _xlfn.XLOOKUP(G246,PhpReserved!A:A,PhpReserved!B:B,""),_xlfn.XLOOKUP(F246,PhpReserved!A:A,PhpReserved!B:B,""))</f>
        <v/>
      </c>
      <c r="M246" t="str">
        <f>IF(_xlfn.XLOOKUP(F246,PhpFunctions!A:A,PhpFunctions!B:B,"") =  "", _xlfn.XLOOKUP(G246,PhpFunctions!A:A,PhpFunctions!B:B,""), _xlfn.XLOOKUP(F246,PhpFunctions!A:A,PhpFunctions!B:B,""))</f>
        <v/>
      </c>
      <c r="N246" t="str">
        <f>IF(_xlfn.XLOOKUP(F246,PhpParamFunc!A:A,PhpParamFunc!B:B,"") = "", _xlfn.XLOOKUP(G246,PhpParamFunc!A:A,PhpParamFunc!B:B,""), _xlfn.XLOOKUP(F246,PhpParamFunc!A:A,PhpParamFunc!B:B,""))</f>
        <v/>
      </c>
      <c r="O246" t="str">
        <f>IF(_xlfn.XLOOKUP(F246,PhpAggrFunc!A:A,PhpAggrFunc!B:B,"") = "", _xlfn.XLOOKUP(G246,PhpAggrFunc!A:A,PhpAggrFunc!B:B,""), _xlfn.XLOOKUP(F246,PhpAggrFunc!A:A,PhpAggrFunc!B:B,""))</f>
        <v/>
      </c>
      <c r="P246" t="str">
        <f t="shared" si="20"/>
        <v>UNRESERVED</v>
      </c>
      <c r="Q246" t="str">
        <f t="shared" si="21"/>
        <v>static const String^ TOK_LIMBO = "LIMBO";</v>
      </c>
      <c r="R246" t="str">
        <f t="shared" si="22"/>
        <v>static const int TOK_LIMBO = 521;</v>
      </c>
      <c r="S246" t="str">
        <f t="shared" si="23"/>
        <v>// _Tokens-&gt;Add((String^)GramVals::TOK_LIMBO, gcnew Token(GramKeys::TOK_LIMBO, EnumTokenCategory::UNRESERVED,BARE_LABEL, i++));</v>
      </c>
    </row>
    <row r="247" spans="1:19" x14ac:dyDescent="0.25">
      <c r="A247" s="3" t="s">
        <v>1612</v>
      </c>
      <c r="B247" s="5" t="s">
        <v>1180</v>
      </c>
      <c r="C247" s="3" t="s">
        <v>2138</v>
      </c>
      <c r="D247" s="3" t="s">
        <v>2423</v>
      </c>
      <c r="F247" t="str">
        <f t="shared" si="18"/>
        <v>LIMIT64_INT</v>
      </c>
      <c r="G247" t="s">
        <v>3727</v>
      </c>
      <c r="I247" s="3" t="str">
        <f>IF(_xlfn.XLOOKUP(F247,PgSqlRaw!B:B,PgSqlRaw!E:E,"") = "",_xlfn.XLOOKUP(G247,PgSqlRaw!B:B,PgSqlRaw!E:E,""),_xlfn.XLOOKUP(F247,PgSqlRaw!B:B,PgSqlRaw!E:E,""))</f>
        <v/>
      </c>
      <c r="J247" t="str">
        <f>IF(_xlfn.XLOOKUP(F247,PgSqlRaw!B:B,PgSqlRaw!F:F,"") = "", _xlfn.XLOOKUP(G247,PgSqlRaw!B:B,PgSqlRaw!F:F,""), _xlfn.XLOOKUP(F247,PgSqlRaw!B:B,PgSqlRaw!F:F,""))</f>
        <v/>
      </c>
      <c r="K247" t="str">
        <f t="shared" si="19"/>
        <v>BARE_LABEL</v>
      </c>
      <c r="L247" t="str">
        <f>IF(_xlfn.XLOOKUP(F247,PhpReserved!A:A,PhpReserved!B:B,"") = "", _xlfn.XLOOKUP(G247,PhpReserved!A:A,PhpReserved!B:B,""),_xlfn.XLOOKUP(F247,PhpReserved!A:A,PhpReserved!B:B,""))</f>
        <v/>
      </c>
      <c r="M247" t="str">
        <f>IF(_xlfn.XLOOKUP(F247,PhpFunctions!A:A,PhpFunctions!B:B,"") =  "", _xlfn.XLOOKUP(G247,PhpFunctions!A:A,PhpFunctions!B:B,""), _xlfn.XLOOKUP(F247,PhpFunctions!A:A,PhpFunctions!B:B,""))</f>
        <v/>
      </c>
      <c r="N247" t="str">
        <f>IF(_xlfn.XLOOKUP(F247,PhpParamFunc!A:A,PhpParamFunc!B:B,"") = "", _xlfn.XLOOKUP(G247,PhpParamFunc!A:A,PhpParamFunc!B:B,""), _xlfn.XLOOKUP(F247,PhpParamFunc!A:A,PhpParamFunc!B:B,""))</f>
        <v/>
      </c>
      <c r="O247" t="str">
        <f>IF(_xlfn.XLOOKUP(F247,PhpAggrFunc!A:A,PhpAggrFunc!B:B,"") = "", _xlfn.XLOOKUP(G247,PhpAggrFunc!A:A,PhpAggrFunc!B:B,""), _xlfn.XLOOKUP(F247,PhpAggrFunc!A:A,PhpAggrFunc!B:B,""))</f>
        <v/>
      </c>
      <c r="P247" t="str">
        <f t="shared" si="20"/>
        <v>UNRESERVED</v>
      </c>
      <c r="Q247" t="str">
        <f t="shared" si="21"/>
        <v>static const String^ TOK_LIMIT64_INT = "TOK_LIMIT64_INT";</v>
      </c>
      <c r="R247" t="str">
        <f t="shared" si="22"/>
        <v>static const int TOK_LIMIT64_INT = 650;</v>
      </c>
      <c r="S247" t="str">
        <f t="shared" si="23"/>
        <v>// _Tokens-&gt;Add((String^)GramVals::TOK_LIMIT64_INT, gcnew Token(GramKeys::TOK_LIMIT64_INT, EnumTokenCategory::UNRESERVED,BARE_LABEL, i++));</v>
      </c>
    </row>
    <row r="248" spans="1:19" x14ac:dyDescent="0.25">
      <c r="A248" s="3" t="s">
        <v>1613</v>
      </c>
      <c r="B248" s="5" t="s">
        <v>1181</v>
      </c>
      <c r="C248" s="3" t="s">
        <v>2139</v>
      </c>
      <c r="D248" s="3" t="s">
        <v>2423</v>
      </c>
      <c r="F248" t="str">
        <f t="shared" si="18"/>
        <v>LIMIT64_NUMBER</v>
      </c>
      <c r="G248" t="s">
        <v>3728</v>
      </c>
      <c r="I248" s="3" t="str">
        <f>IF(_xlfn.XLOOKUP(F248,PgSqlRaw!B:B,PgSqlRaw!E:E,"") = "",_xlfn.XLOOKUP(G248,PgSqlRaw!B:B,PgSqlRaw!E:E,""),_xlfn.XLOOKUP(F248,PgSqlRaw!B:B,PgSqlRaw!E:E,""))</f>
        <v/>
      </c>
      <c r="J248" t="str">
        <f>IF(_xlfn.XLOOKUP(F248,PgSqlRaw!B:B,PgSqlRaw!F:F,"") = "", _xlfn.XLOOKUP(G248,PgSqlRaw!B:B,PgSqlRaw!F:F,""), _xlfn.XLOOKUP(F248,PgSqlRaw!B:B,PgSqlRaw!F:F,""))</f>
        <v/>
      </c>
      <c r="K248" t="str">
        <f t="shared" si="19"/>
        <v>BARE_LABEL</v>
      </c>
      <c r="L248" t="str">
        <f>IF(_xlfn.XLOOKUP(F248,PhpReserved!A:A,PhpReserved!B:B,"") = "", _xlfn.XLOOKUP(G248,PhpReserved!A:A,PhpReserved!B:B,""),_xlfn.XLOOKUP(F248,PhpReserved!A:A,PhpReserved!B:B,""))</f>
        <v/>
      </c>
      <c r="M248" t="str">
        <f>IF(_xlfn.XLOOKUP(F248,PhpFunctions!A:A,PhpFunctions!B:B,"") =  "", _xlfn.XLOOKUP(G248,PhpFunctions!A:A,PhpFunctions!B:B,""), _xlfn.XLOOKUP(F248,PhpFunctions!A:A,PhpFunctions!B:B,""))</f>
        <v/>
      </c>
      <c r="N248" t="str">
        <f>IF(_xlfn.XLOOKUP(F248,PhpParamFunc!A:A,PhpParamFunc!B:B,"") = "", _xlfn.XLOOKUP(G248,PhpParamFunc!A:A,PhpParamFunc!B:B,""), _xlfn.XLOOKUP(F248,PhpParamFunc!A:A,PhpParamFunc!B:B,""))</f>
        <v/>
      </c>
      <c r="O248" t="str">
        <f>IF(_xlfn.XLOOKUP(F248,PhpAggrFunc!A:A,PhpAggrFunc!B:B,"") = "", _xlfn.XLOOKUP(G248,PhpAggrFunc!A:A,PhpAggrFunc!B:B,""), _xlfn.XLOOKUP(F248,PhpAggrFunc!A:A,PhpAggrFunc!B:B,""))</f>
        <v/>
      </c>
      <c r="P248" t="str">
        <f t="shared" si="20"/>
        <v>UNRESERVED</v>
      </c>
      <c r="Q248" t="str">
        <f t="shared" si="21"/>
        <v>static const String^ TOK_LIMIT64_NUMBER = "TOK_LIMIT64_NUMBER";</v>
      </c>
      <c r="R248" t="str">
        <f t="shared" si="22"/>
        <v>static const int TOK_LIMIT64_NUMBER = 649;</v>
      </c>
      <c r="S248" t="str">
        <f t="shared" si="23"/>
        <v>// _Tokens-&gt;Add((String^)GramVals::TOK_LIMIT64_NUMBER, gcnew Token(GramKeys::TOK_LIMIT64_NUMBER, EnumTokenCategory::UNRESERVED,BARE_LABEL, i++));</v>
      </c>
    </row>
    <row r="249" spans="1:19" x14ac:dyDescent="0.25">
      <c r="A249" s="3" t="s">
        <v>1614</v>
      </c>
      <c r="B249" s="5" t="s">
        <v>1182</v>
      </c>
      <c r="C249" s="3" t="s">
        <v>2140</v>
      </c>
      <c r="D249" s="3" t="s">
        <v>2423</v>
      </c>
      <c r="F249" t="str">
        <f t="shared" si="18"/>
        <v>LINGER</v>
      </c>
      <c r="G249" t="s">
        <v>3729</v>
      </c>
      <c r="I249" s="3" t="str">
        <f>IF(_xlfn.XLOOKUP(F249,PgSqlRaw!B:B,PgSqlRaw!E:E,"") = "",_xlfn.XLOOKUP(G249,PgSqlRaw!B:B,PgSqlRaw!E:E,""),_xlfn.XLOOKUP(F249,PgSqlRaw!B:B,PgSqlRaw!E:E,""))</f>
        <v/>
      </c>
      <c r="J249" t="str">
        <f>IF(_xlfn.XLOOKUP(F249,PgSqlRaw!B:B,PgSqlRaw!F:F,"") = "", _xlfn.XLOOKUP(G249,PgSqlRaw!B:B,PgSqlRaw!F:F,""), _xlfn.XLOOKUP(F249,PgSqlRaw!B:B,PgSqlRaw!F:F,""))</f>
        <v/>
      </c>
      <c r="K249" t="str">
        <f t="shared" si="19"/>
        <v>BARE_LABEL</v>
      </c>
      <c r="L249" t="str">
        <f>IF(_xlfn.XLOOKUP(F249,PhpReserved!A:A,PhpReserved!B:B,"") = "", _xlfn.XLOOKUP(G249,PhpReserved!A:A,PhpReserved!B:B,""),_xlfn.XLOOKUP(F249,PhpReserved!A:A,PhpReserved!B:B,""))</f>
        <v/>
      </c>
      <c r="M249" t="str">
        <f>IF(_xlfn.XLOOKUP(F249,PhpFunctions!A:A,PhpFunctions!B:B,"") =  "", _xlfn.XLOOKUP(G249,PhpFunctions!A:A,PhpFunctions!B:B,""), _xlfn.XLOOKUP(F249,PhpFunctions!A:A,PhpFunctions!B:B,""))</f>
        <v/>
      </c>
      <c r="N249" t="str">
        <f>IF(_xlfn.XLOOKUP(F249,PhpParamFunc!A:A,PhpParamFunc!B:B,"") = "", _xlfn.XLOOKUP(G249,PhpParamFunc!A:A,PhpParamFunc!B:B,""), _xlfn.XLOOKUP(F249,PhpParamFunc!A:A,PhpParamFunc!B:B,""))</f>
        <v/>
      </c>
      <c r="O249" t="str">
        <f>IF(_xlfn.XLOOKUP(F249,PhpAggrFunc!A:A,PhpAggrFunc!B:B,"") = "", _xlfn.XLOOKUP(G249,PhpAggrFunc!A:A,PhpAggrFunc!B:B,""), _xlfn.XLOOKUP(F249,PhpAggrFunc!A:A,PhpAggrFunc!B:B,""))</f>
        <v/>
      </c>
      <c r="P249" t="str">
        <f t="shared" si="20"/>
        <v>UNRESERVED</v>
      </c>
      <c r="Q249" t="str">
        <f t="shared" si="21"/>
        <v>static const String^ TOK_LINGER = "LINGER";</v>
      </c>
      <c r="R249" t="str">
        <f t="shared" si="22"/>
        <v>static const int TOK_LINGER = 644;</v>
      </c>
      <c r="S249" t="str">
        <f t="shared" si="23"/>
        <v>// _Tokens-&gt;Add((String^)GramVals::TOK_LINGER, gcnew Token(GramKeys::TOK_LINGER, EnumTokenCategory::UNRESERVED,BARE_LABEL, i++));</v>
      </c>
    </row>
    <row r="250" spans="1:19" x14ac:dyDescent="0.25">
      <c r="A250" s="3" t="s">
        <v>1615</v>
      </c>
      <c r="B250" s="5" t="s">
        <v>1183</v>
      </c>
      <c r="C250" s="3" t="s">
        <v>2141</v>
      </c>
      <c r="D250" s="3" t="s">
        <v>2423</v>
      </c>
      <c r="F250" t="str">
        <f t="shared" si="18"/>
        <v>LIST</v>
      </c>
      <c r="G250" t="s">
        <v>3730</v>
      </c>
      <c r="I250" s="3" t="str">
        <f>IF(_xlfn.XLOOKUP(F250,PgSqlRaw!B:B,PgSqlRaw!E:E,"") = "",_xlfn.XLOOKUP(G250,PgSqlRaw!B:B,PgSqlRaw!E:E,""),_xlfn.XLOOKUP(F250,PgSqlRaw!B:B,PgSqlRaw!E:E,""))</f>
        <v/>
      </c>
      <c r="J250" t="str">
        <f>IF(_xlfn.XLOOKUP(F250,PgSqlRaw!B:B,PgSqlRaw!F:F,"") = "", _xlfn.XLOOKUP(G250,PgSqlRaw!B:B,PgSqlRaw!F:F,""), _xlfn.XLOOKUP(F250,PgSqlRaw!B:B,PgSqlRaw!F:F,""))</f>
        <v/>
      </c>
      <c r="K250" t="str">
        <f t="shared" si="19"/>
        <v>BARE_LABEL</v>
      </c>
      <c r="L250" t="str">
        <f>IF(_xlfn.XLOOKUP(F250,PhpReserved!A:A,PhpReserved!B:B,"") = "", _xlfn.XLOOKUP(G250,PhpReserved!A:A,PhpReserved!B:B,""),_xlfn.XLOOKUP(F250,PhpReserved!A:A,PhpReserved!B:B,""))</f>
        <v/>
      </c>
      <c r="M250" t="str">
        <f>IF(_xlfn.XLOOKUP(F250,PhpFunctions!A:A,PhpFunctions!B:B,"") =  "", _xlfn.XLOOKUP(G250,PhpFunctions!A:A,PhpFunctions!B:B,""), _xlfn.XLOOKUP(F250,PhpFunctions!A:A,PhpFunctions!B:B,""))</f>
        <v/>
      </c>
      <c r="N250" t="str">
        <f>IF(_xlfn.XLOOKUP(F250,PhpParamFunc!A:A,PhpParamFunc!B:B,"") = "", _xlfn.XLOOKUP(G250,PhpParamFunc!A:A,PhpParamFunc!B:B,""), _xlfn.XLOOKUP(F250,PhpParamFunc!A:A,PhpParamFunc!B:B,""))</f>
        <v/>
      </c>
      <c r="O250" t="str">
        <f>IF(_xlfn.XLOOKUP(F250,PhpAggrFunc!A:A,PhpAggrFunc!B:B,"") = "", _xlfn.XLOOKUP(G250,PhpAggrFunc!A:A,PhpAggrFunc!B:B,""), _xlfn.XLOOKUP(F250,PhpAggrFunc!A:A,PhpAggrFunc!B:B,""))</f>
        <v/>
      </c>
      <c r="P250" t="str">
        <f t="shared" si="20"/>
        <v>UNRESERVED</v>
      </c>
      <c r="Q250" t="str">
        <f t="shared" si="21"/>
        <v>static const String^ TOK_LIST = "LIST";</v>
      </c>
      <c r="R250" t="str">
        <f t="shared" si="22"/>
        <v>static const int TOK_LIST = 555;</v>
      </c>
      <c r="S250" t="str">
        <f t="shared" si="23"/>
        <v>// _Tokens-&gt;Add((String^)GramVals::TOK_LIST, gcnew Token(GramKeys::TOK_LIST, EnumTokenCategory::UNRESERVED,BARE_LABEL, i++));</v>
      </c>
    </row>
    <row r="251" spans="1:19" x14ac:dyDescent="0.25">
      <c r="A251" s="3" t="s">
        <v>1616</v>
      </c>
      <c r="B251" s="5" t="s">
        <v>1184</v>
      </c>
      <c r="C251" s="3" t="s">
        <v>2142</v>
      </c>
      <c r="D251" s="3" t="s">
        <v>2423</v>
      </c>
      <c r="F251" t="str">
        <f t="shared" si="18"/>
        <v>LN</v>
      </c>
      <c r="G251" t="s">
        <v>2978</v>
      </c>
      <c r="I251" s="3" t="str">
        <f>IF(_xlfn.XLOOKUP(F251,PgSqlRaw!B:B,PgSqlRaw!E:E,"") = "",_xlfn.XLOOKUP(G251,PgSqlRaw!B:B,PgSqlRaw!E:E,""),_xlfn.XLOOKUP(F251,PgSqlRaw!B:B,PgSqlRaw!E:E,""))</f>
        <v/>
      </c>
      <c r="J251" t="str">
        <f>IF(_xlfn.XLOOKUP(F251,PgSqlRaw!B:B,PgSqlRaw!F:F,"") = "", _xlfn.XLOOKUP(G251,PgSqlRaw!B:B,PgSqlRaw!F:F,""), _xlfn.XLOOKUP(F251,PgSqlRaw!B:B,PgSqlRaw!F:F,""))</f>
        <v/>
      </c>
      <c r="K251" t="str">
        <f t="shared" si="19"/>
        <v>BARE_LABEL</v>
      </c>
      <c r="L251" t="str">
        <f>IF(_xlfn.XLOOKUP(F251,PhpReserved!A:A,PhpReserved!B:B,"") = "", _xlfn.XLOOKUP(G251,PhpReserved!A:A,PhpReserved!B:B,""),_xlfn.XLOOKUP(F251,PhpReserved!A:A,PhpReserved!B:B,""))</f>
        <v>RESERVED</v>
      </c>
      <c r="M251" t="str">
        <f>IF(_xlfn.XLOOKUP(F251,PhpFunctions!A:A,PhpFunctions!B:B,"") =  "", _xlfn.XLOOKUP(G251,PhpFunctions!A:A,PhpFunctions!B:B,""), _xlfn.XLOOKUP(F251,PhpFunctions!A:A,PhpFunctions!B:B,""))</f>
        <v>FUNCTION</v>
      </c>
      <c r="N251" t="str">
        <f>IF(_xlfn.XLOOKUP(F251,PhpParamFunc!A:A,PhpParamFunc!B:B,"") = "", _xlfn.XLOOKUP(G251,PhpParamFunc!A:A,PhpParamFunc!B:B,""), _xlfn.XLOOKUP(F251,PhpParamFunc!A:A,PhpParamFunc!B:B,""))</f>
        <v>PARAM_FUNCTION</v>
      </c>
      <c r="O251" t="str">
        <f>IF(_xlfn.XLOOKUP(F251,PhpAggrFunc!A:A,PhpAggrFunc!B:B,"") = "", _xlfn.XLOOKUP(G251,PhpAggrFunc!A:A,PhpAggrFunc!B:B,""), _xlfn.XLOOKUP(F251,PhpAggrFunc!A:A,PhpAggrFunc!B:B,""))</f>
        <v/>
      </c>
      <c r="P251" t="str">
        <f t="shared" si="20"/>
        <v>PARAM_FUNCTION</v>
      </c>
      <c r="Q251" t="str">
        <f t="shared" si="21"/>
        <v>static const String^ TOK_LN = "LN";</v>
      </c>
      <c r="R251" t="str">
        <f t="shared" si="22"/>
        <v>static const int TOK_LN = 556;</v>
      </c>
      <c r="S251" t="str">
        <f t="shared" si="23"/>
        <v>_Tokens-&gt;Add((String^)GramVals::TOK_LN, gcnew Token(GramKeys::TOK_LN, EnumTokenCategory::PARAM_FUNCTION,BARE_LABEL, i++));</v>
      </c>
    </row>
    <row r="252" spans="1:19" x14ac:dyDescent="0.25">
      <c r="A252" s="3" t="s">
        <v>1617</v>
      </c>
      <c r="B252" s="5">
        <v>699</v>
      </c>
      <c r="C252" s="3" t="s">
        <v>2143</v>
      </c>
      <c r="D252" s="3" t="s">
        <v>881</v>
      </c>
      <c r="F252" t="str">
        <f t="shared" si="18"/>
        <v>LOCAL</v>
      </c>
      <c r="G252" t="s">
        <v>3445</v>
      </c>
      <c r="I252" s="3" t="str">
        <f>IF(_xlfn.XLOOKUP(F252,PgSqlRaw!B:B,PgSqlRaw!E:E,"") = "",_xlfn.XLOOKUP(G252,PgSqlRaw!B:B,PgSqlRaw!E:E,""),_xlfn.XLOOKUP(F252,PgSqlRaw!B:B,PgSqlRaw!E:E,""))</f>
        <v/>
      </c>
      <c r="J252" t="str">
        <f>IF(_xlfn.XLOOKUP(F252,PgSqlRaw!B:B,PgSqlRaw!F:F,"") = "", _xlfn.XLOOKUP(G252,PgSqlRaw!B:B,PgSqlRaw!F:F,""), _xlfn.XLOOKUP(F252,PgSqlRaw!B:B,PgSqlRaw!F:F,""))</f>
        <v>BARE_LABEL</v>
      </c>
      <c r="K252" t="str">
        <f t="shared" si="19"/>
        <v>BARE_LABEL</v>
      </c>
      <c r="L252" t="str">
        <f>IF(_xlfn.XLOOKUP(F252,PhpReserved!A:A,PhpReserved!B:B,"") = "", _xlfn.XLOOKUP(G252,PhpReserved!A:A,PhpReserved!B:B,""),_xlfn.XLOOKUP(F252,PhpReserved!A:A,PhpReserved!B:B,""))</f>
        <v/>
      </c>
      <c r="M252" t="str">
        <f>IF(_xlfn.XLOOKUP(F252,PhpFunctions!A:A,PhpFunctions!B:B,"") =  "", _xlfn.XLOOKUP(G252,PhpFunctions!A:A,PhpFunctions!B:B,""), _xlfn.XLOOKUP(F252,PhpFunctions!A:A,PhpFunctions!B:B,""))</f>
        <v/>
      </c>
      <c r="N252" t="str">
        <f>IF(_xlfn.XLOOKUP(F252,PhpParamFunc!A:A,PhpParamFunc!B:B,"") = "", _xlfn.XLOOKUP(G252,PhpParamFunc!A:A,PhpParamFunc!B:B,""), _xlfn.XLOOKUP(F252,PhpParamFunc!A:A,PhpParamFunc!B:B,""))</f>
        <v/>
      </c>
      <c r="O252" t="str">
        <f>IF(_xlfn.XLOOKUP(F252,PhpAggrFunc!A:A,PhpAggrFunc!B:B,"") = "", _xlfn.XLOOKUP(G252,PhpAggrFunc!A:A,PhpAggrFunc!B:B,""), _xlfn.XLOOKUP(F252,PhpAggrFunc!A:A,PhpAggrFunc!B:B,""))</f>
        <v/>
      </c>
      <c r="P252" t="str">
        <f t="shared" si="20"/>
        <v>UNRESERVED</v>
      </c>
      <c r="Q252" t="str">
        <f t="shared" si="21"/>
        <v>static const String^ TOK_LOCAL = "LOCAL";</v>
      </c>
      <c r="R252" t="str">
        <f t="shared" si="22"/>
        <v>static const int TOK_LOCAL = 699;</v>
      </c>
      <c r="S252" t="str">
        <f t="shared" si="23"/>
        <v>// _Tokens-&gt;Add((String^)GramVals::TOK_LOCAL, gcnew Token(GramKeys::TOK_LOCAL, EnumTokenCategory::UNRESERVED,BARE_LABEL, i++));</v>
      </c>
    </row>
    <row r="253" spans="1:19" x14ac:dyDescent="0.25">
      <c r="A253" s="3" t="s">
        <v>1618</v>
      </c>
      <c r="B253" s="5">
        <v>700</v>
      </c>
      <c r="C253" s="3" t="s">
        <v>2144</v>
      </c>
      <c r="D253" s="3" t="s">
        <v>881</v>
      </c>
      <c r="F253" t="str">
        <f t="shared" si="18"/>
        <v>LOCALTIME</v>
      </c>
      <c r="G253" t="s">
        <v>2980</v>
      </c>
      <c r="I253" s="3" t="str">
        <f>IF(_xlfn.XLOOKUP(F253,PgSqlRaw!B:B,PgSqlRaw!E:E,"") = "",_xlfn.XLOOKUP(G253,PgSqlRaw!B:B,PgSqlRaw!E:E,""),_xlfn.XLOOKUP(F253,PgSqlRaw!B:B,PgSqlRaw!E:E,""))</f>
        <v>RESERVED</v>
      </c>
      <c r="J253" t="str">
        <f>IF(_xlfn.XLOOKUP(F253,PgSqlRaw!B:B,PgSqlRaw!F:F,"") = "", _xlfn.XLOOKUP(G253,PgSqlRaw!B:B,PgSqlRaw!F:F,""), _xlfn.XLOOKUP(F253,PgSqlRaw!B:B,PgSqlRaw!F:F,""))</f>
        <v>BARE_LABEL</v>
      </c>
      <c r="K253" t="str">
        <f t="shared" si="19"/>
        <v>BARE_LABEL</v>
      </c>
      <c r="L253" t="str">
        <f>IF(_xlfn.XLOOKUP(F253,PhpReserved!A:A,PhpReserved!B:B,"") = "", _xlfn.XLOOKUP(G253,PhpReserved!A:A,PhpReserved!B:B,""),_xlfn.XLOOKUP(F253,PhpReserved!A:A,PhpReserved!B:B,""))</f>
        <v>RESERVED</v>
      </c>
      <c r="M253" t="str">
        <f>IF(_xlfn.XLOOKUP(F253,PhpFunctions!A:A,PhpFunctions!B:B,"") =  "", _xlfn.XLOOKUP(G253,PhpFunctions!A:A,PhpFunctions!B:B,""), _xlfn.XLOOKUP(F253,PhpFunctions!A:A,PhpFunctions!B:B,""))</f>
        <v>FUNCTION</v>
      </c>
      <c r="N253" t="str">
        <f>IF(_xlfn.XLOOKUP(F253,PhpParamFunc!A:A,PhpParamFunc!B:B,"") = "", _xlfn.XLOOKUP(G253,PhpParamFunc!A:A,PhpParamFunc!B:B,""), _xlfn.XLOOKUP(F253,PhpParamFunc!A:A,PhpParamFunc!B:B,""))</f>
        <v/>
      </c>
      <c r="O253" t="str">
        <f>IF(_xlfn.XLOOKUP(F253,PhpAggrFunc!A:A,PhpAggrFunc!B:B,"") = "", _xlfn.XLOOKUP(G253,PhpAggrFunc!A:A,PhpAggrFunc!B:B,""), _xlfn.XLOOKUP(F253,PhpAggrFunc!A:A,PhpAggrFunc!B:B,""))</f>
        <v/>
      </c>
      <c r="P253" t="str">
        <f t="shared" si="20"/>
        <v>FUNCTION</v>
      </c>
      <c r="Q253" t="str">
        <f t="shared" si="21"/>
        <v>static const String^ TOK_LOCALTIME = "LOCALTIME";</v>
      </c>
      <c r="R253" t="str">
        <f t="shared" si="22"/>
        <v>static const int TOK_LOCALTIME = 700;</v>
      </c>
      <c r="S253" t="str">
        <f t="shared" si="23"/>
        <v>_Tokens-&gt;Add((String^)GramVals::TOK_LOCALTIME, gcnew Token(GramKeys::TOK_LOCALTIME, EnumTokenCategory::FUNCTION,BARE_LABEL, i++));</v>
      </c>
    </row>
    <row r="254" spans="1:19" x14ac:dyDescent="0.25">
      <c r="A254" s="3" t="s">
        <v>1619</v>
      </c>
      <c r="B254" s="5">
        <v>701</v>
      </c>
      <c r="C254" s="3" t="s">
        <v>2145</v>
      </c>
      <c r="D254" s="3" t="s">
        <v>881</v>
      </c>
      <c r="F254" t="str">
        <f t="shared" si="18"/>
        <v>LOCALTIMESTAMP</v>
      </c>
      <c r="G254" t="s">
        <v>2981</v>
      </c>
      <c r="I254" s="3" t="str">
        <f>IF(_xlfn.XLOOKUP(F254,PgSqlRaw!B:B,PgSqlRaw!E:E,"") = "",_xlfn.XLOOKUP(G254,PgSqlRaw!B:B,PgSqlRaw!E:E,""),_xlfn.XLOOKUP(F254,PgSqlRaw!B:B,PgSqlRaw!E:E,""))</f>
        <v>RESERVED</v>
      </c>
      <c r="J254" t="str">
        <f>IF(_xlfn.XLOOKUP(F254,PgSqlRaw!B:B,PgSqlRaw!F:F,"") = "", _xlfn.XLOOKUP(G254,PgSqlRaw!B:B,PgSqlRaw!F:F,""), _xlfn.XLOOKUP(F254,PgSqlRaw!B:B,PgSqlRaw!F:F,""))</f>
        <v>BARE_LABEL</v>
      </c>
      <c r="K254" t="str">
        <f t="shared" si="19"/>
        <v>BARE_LABEL</v>
      </c>
      <c r="L254" t="str">
        <f>IF(_xlfn.XLOOKUP(F254,PhpReserved!A:A,PhpReserved!B:B,"") = "", _xlfn.XLOOKUP(G254,PhpReserved!A:A,PhpReserved!B:B,""),_xlfn.XLOOKUP(F254,PhpReserved!A:A,PhpReserved!B:B,""))</f>
        <v>RESERVED</v>
      </c>
      <c r="M254" t="str">
        <f>IF(_xlfn.XLOOKUP(F254,PhpFunctions!A:A,PhpFunctions!B:B,"") =  "", _xlfn.XLOOKUP(G254,PhpFunctions!A:A,PhpFunctions!B:B,""), _xlfn.XLOOKUP(F254,PhpFunctions!A:A,PhpFunctions!B:B,""))</f>
        <v>FUNCTION</v>
      </c>
      <c r="N254" t="str">
        <f>IF(_xlfn.XLOOKUP(F254,PhpParamFunc!A:A,PhpParamFunc!B:B,"") = "", _xlfn.XLOOKUP(G254,PhpParamFunc!A:A,PhpParamFunc!B:B,""), _xlfn.XLOOKUP(F254,PhpParamFunc!A:A,PhpParamFunc!B:B,""))</f>
        <v/>
      </c>
      <c r="O254" t="str">
        <f>IF(_xlfn.XLOOKUP(F254,PhpAggrFunc!A:A,PhpAggrFunc!B:B,"") = "", _xlfn.XLOOKUP(G254,PhpAggrFunc!A:A,PhpAggrFunc!B:B,""), _xlfn.XLOOKUP(F254,PhpAggrFunc!A:A,PhpAggrFunc!B:B,""))</f>
        <v/>
      </c>
      <c r="P254" t="str">
        <f t="shared" si="20"/>
        <v>FUNCTION</v>
      </c>
      <c r="Q254" t="str">
        <f t="shared" si="21"/>
        <v>static const String^ TOK_LOCALTIMESTAMP = "LOCALTIMESTAMP";</v>
      </c>
      <c r="R254" t="str">
        <f t="shared" si="22"/>
        <v>static const int TOK_LOCALTIMESTAMP = 701;</v>
      </c>
      <c r="S254" t="str">
        <f t="shared" si="23"/>
        <v>_Tokens-&gt;Add((String^)GramVals::TOK_LOCALTIMESTAMP, gcnew Token(GramKeys::TOK_LOCALTIMESTAMP, EnumTokenCategory::FUNCTION,BARE_LABEL, i++));</v>
      </c>
    </row>
    <row r="255" spans="1:19" x14ac:dyDescent="0.25">
      <c r="A255" s="3" t="s">
        <v>1620</v>
      </c>
      <c r="B255" s="5" t="s">
        <v>1185</v>
      </c>
      <c r="C255" s="3" t="s">
        <v>2146</v>
      </c>
      <c r="D255" s="3" t="s">
        <v>2423</v>
      </c>
      <c r="F255" t="str">
        <f t="shared" si="18"/>
        <v>LOCK</v>
      </c>
      <c r="G255" t="s">
        <v>3186</v>
      </c>
      <c r="I255" s="3" t="str">
        <f>IF(_xlfn.XLOOKUP(F255,PgSqlRaw!B:B,PgSqlRaw!E:E,"") = "",_xlfn.XLOOKUP(G255,PgSqlRaw!B:B,PgSqlRaw!E:E,""),_xlfn.XLOOKUP(F255,PgSqlRaw!B:B,PgSqlRaw!E:E,""))</f>
        <v/>
      </c>
      <c r="J255" t="str">
        <f>IF(_xlfn.XLOOKUP(F255,PgSqlRaw!B:B,PgSqlRaw!F:F,"") = "", _xlfn.XLOOKUP(G255,PgSqlRaw!B:B,PgSqlRaw!F:F,""), _xlfn.XLOOKUP(F255,PgSqlRaw!B:B,PgSqlRaw!F:F,""))</f>
        <v>BARE_LABEL</v>
      </c>
      <c r="K255" t="str">
        <f t="shared" si="19"/>
        <v>BARE_LABEL</v>
      </c>
      <c r="L255" t="str">
        <f>IF(_xlfn.XLOOKUP(F255,PhpReserved!A:A,PhpReserved!B:B,"") = "", _xlfn.XLOOKUP(G255,PhpReserved!A:A,PhpReserved!B:B,""),_xlfn.XLOOKUP(F255,PhpReserved!A:A,PhpReserved!B:B,""))</f>
        <v>RESERVED</v>
      </c>
      <c r="M255" t="str">
        <f>IF(_xlfn.XLOOKUP(F255,PhpFunctions!A:A,PhpFunctions!B:B,"") =  "", _xlfn.XLOOKUP(G255,PhpFunctions!A:A,PhpFunctions!B:B,""), _xlfn.XLOOKUP(F255,PhpFunctions!A:A,PhpFunctions!B:B,""))</f>
        <v/>
      </c>
      <c r="N255" t="str">
        <f>IF(_xlfn.XLOOKUP(F255,PhpParamFunc!A:A,PhpParamFunc!B:B,"") = "", _xlfn.XLOOKUP(G255,PhpParamFunc!A:A,PhpParamFunc!B:B,""), _xlfn.XLOOKUP(F255,PhpParamFunc!A:A,PhpParamFunc!B:B,""))</f>
        <v/>
      </c>
      <c r="O255" t="str">
        <f>IF(_xlfn.XLOOKUP(F255,PhpAggrFunc!A:A,PhpAggrFunc!B:B,"") = "", _xlfn.XLOOKUP(G255,PhpAggrFunc!A:A,PhpAggrFunc!B:B,""), _xlfn.XLOOKUP(F255,PhpAggrFunc!A:A,PhpAggrFunc!B:B,""))</f>
        <v/>
      </c>
      <c r="P255" t="str">
        <f t="shared" si="20"/>
        <v>RESERVED</v>
      </c>
      <c r="Q255" t="str">
        <f t="shared" si="21"/>
        <v>static const String^ TOK_LOCK = "LOCK";</v>
      </c>
      <c r="R255" t="str">
        <f t="shared" si="22"/>
        <v>static const int TOK_LOCK = 487;</v>
      </c>
      <c r="S255" t="str">
        <f t="shared" si="23"/>
        <v>_Tokens-&gt;Add((String^)GramVals::TOK_LOCK, gcnew Token(GramKeys::TOK_LOCK, EnumTokenCategory::RESERVED,BARE_LABEL, i++));</v>
      </c>
    </row>
    <row r="256" spans="1:19" x14ac:dyDescent="0.25">
      <c r="A256" s="3" t="s">
        <v>1621</v>
      </c>
      <c r="B256" s="5">
        <v>702</v>
      </c>
      <c r="C256" s="3" t="s">
        <v>2147</v>
      </c>
      <c r="D256" s="3" t="s">
        <v>2423</v>
      </c>
      <c r="F256" t="str">
        <f t="shared" si="18"/>
        <v>LOCKED</v>
      </c>
      <c r="G256" t="s">
        <v>3447</v>
      </c>
      <c r="I256" s="3" t="str">
        <f>IF(_xlfn.XLOOKUP(F256,PgSqlRaw!B:B,PgSqlRaw!E:E,"") = "",_xlfn.XLOOKUP(G256,PgSqlRaw!B:B,PgSqlRaw!E:E,""),_xlfn.XLOOKUP(F256,PgSqlRaw!B:B,PgSqlRaw!E:E,""))</f>
        <v/>
      </c>
      <c r="J256" t="str">
        <f>IF(_xlfn.XLOOKUP(F256,PgSqlRaw!B:B,PgSqlRaw!F:F,"") = "", _xlfn.XLOOKUP(G256,PgSqlRaw!B:B,PgSqlRaw!F:F,""), _xlfn.XLOOKUP(F256,PgSqlRaw!B:B,PgSqlRaw!F:F,""))</f>
        <v>BARE_LABEL</v>
      </c>
      <c r="K256" t="str">
        <f t="shared" si="19"/>
        <v>BARE_LABEL</v>
      </c>
      <c r="L256" t="str">
        <f>IF(_xlfn.XLOOKUP(F256,PhpReserved!A:A,PhpReserved!B:B,"") = "", _xlfn.XLOOKUP(G256,PhpReserved!A:A,PhpReserved!B:B,""),_xlfn.XLOOKUP(F256,PhpReserved!A:A,PhpReserved!B:B,""))</f>
        <v/>
      </c>
      <c r="M256" t="str">
        <f>IF(_xlfn.XLOOKUP(F256,PhpFunctions!A:A,PhpFunctions!B:B,"") =  "", _xlfn.XLOOKUP(G256,PhpFunctions!A:A,PhpFunctions!B:B,""), _xlfn.XLOOKUP(F256,PhpFunctions!A:A,PhpFunctions!B:B,""))</f>
        <v/>
      </c>
      <c r="N256" t="str">
        <f>IF(_xlfn.XLOOKUP(F256,PhpParamFunc!A:A,PhpParamFunc!B:B,"") = "", _xlfn.XLOOKUP(G256,PhpParamFunc!A:A,PhpParamFunc!B:B,""), _xlfn.XLOOKUP(F256,PhpParamFunc!A:A,PhpParamFunc!B:B,""))</f>
        <v/>
      </c>
      <c r="O256" t="str">
        <f>IF(_xlfn.XLOOKUP(F256,PhpAggrFunc!A:A,PhpAggrFunc!B:B,"") = "", _xlfn.XLOOKUP(G256,PhpAggrFunc!A:A,PhpAggrFunc!B:B,""), _xlfn.XLOOKUP(F256,PhpAggrFunc!A:A,PhpAggrFunc!B:B,""))</f>
        <v/>
      </c>
      <c r="P256" t="str">
        <f t="shared" si="20"/>
        <v>UNRESERVED</v>
      </c>
      <c r="Q256" t="str">
        <f t="shared" si="21"/>
        <v>static const String^ TOK_LOCKED = "LOCKED";</v>
      </c>
      <c r="R256" t="str">
        <f t="shared" si="22"/>
        <v>static const int TOK_LOCKED = 702;</v>
      </c>
      <c r="S256" t="str">
        <f t="shared" si="23"/>
        <v>// _Tokens-&gt;Add((String^)GramVals::TOK_LOCKED, gcnew Token(GramKeys::TOK_LOCKED, EnumTokenCategory::UNRESERVED,BARE_LABEL, i++));</v>
      </c>
    </row>
    <row r="257" spans="1:19" x14ac:dyDescent="0.25">
      <c r="A257" s="3" t="s">
        <v>1622</v>
      </c>
      <c r="B257" s="5" t="s">
        <v>1186</v>
      </c>
      <c r="C257" s="3" t="s">
        <v>2148</v>
      </c>
      <c r="D257" s="3" t="s">
        <v>2423</v>
      </c>
      <c r="F257" t="str">
        <f t="shared" si="18"/>
        <v>LOG</v>
      </c>
      <c r="G257" t="s">
        <v>2983</v>
      </c>
      <c r="I257" s="3" t="str">
        <f>IF(_xlfn.XLOOKUP(F257,PgSqlRaw!B:B,PgSqlRaw!E:E,"") = "",_xlfn.XLOOKUP(G257,PgSqlRaw!B:B,PgSqlRaw!E:E,""),_xlfn.XLOOKUP(F257,PgSqlRaw!B:B,PgSqlRaw!E:E,""))</f>
        <v/>
      </c>
      <c r="J257" t="str">
        <f>IF(_xlfn.XLOOKUP(F257,PgSqlRaw!B:B,PgSqlRaw!F:F,"") = "", _xlfn.XLOOKUP(G257,PgSqlRaw!B:B,PgSqlRaw!F:F,""), _xlfn.XLOOKUP(F257,PgSqlRaw!B:B,PgSqlRaw!F:F,""))</f>
        <v/>
      </c>
      <c r="K257" t="str">
        <f t="shared" si="19"/>
        <v>BARE_LABEL</v>
      </c>
      <c r="L257" t="str">
        <f>IF(_xlfn.XLOOKUP(F257,PhpReserved!A:A,PhpReserved!B:B,"") = "", _xlfn.XLOOKUP(G257,PhpReserved!A:A,PhpReserved!B:B,""),_xlfn.XLOOKUP(F257,PhpReserved!A:A,PhpReserved!B:B,""))</f>
        <v>RESERVED</v>
      </c>
      <c r="M257" t="str">
        <f>IF(_xlfn.XLOOKUP(F257,PhpFunctions!A:A,PhpFunctions!B:B,"") =  "", _xlfn.XLOOKUP(G257,PhpFunctions!A:A,PhpFunctions!B:B,""), _xlfn.XLOOKUP(F257,PhpFunctions!A:A,PhpFunctions!B:B,""))</f>
        <v>FUNCTION</v>
      </c>
      <c r="N257" t="str">
        <f>IF(_xlfn.XLOOKUP(F257,PhpParamFunc!A:A,PhpParamFunc!B:B,"") = "", _xlfn.XLOOKUP(G257,PhpParamFunc!A:A,PhpParamFunc!B:B,""), _xlfn.XLOOKUP(F257,PhpParamFunc!A:A,PhpParamFunc!B:B,""))</f>
        <v>PARAM_FUNCTION</v>
      </c>
      <c r="O257" t="str">
        <f>IF(_xlfn.XLOOKUP(F257,PhpAggrFunc!A:A,PhpAggrFunc!B:B,"") = "", _xlfn.XLOOKUP(G257,PhpAggrFunc!A:A,PhpAggrFunc!B:B,""), _xlfn.XLOOKUP(F257,PhpAggrFunc!A:A,PhpAggrFunc!B:B,""))</f>
        <v/>
      </c>
      <c r="P257" t="str">
        <f t="shared" si="20"/>
        <v>PARAM_FUNCTION</v>
      </c>
      <c r="Q257" t="str">
        <f t="shared" si="21"/>
        <v>static const String^ TOK_LOG = "LOG";</v>
      </c>
      <c r="R257" t="str">
        <f t="shared" si="22"/>
        <v>static const int TOK_LOG = 557;</v>
      </c>
      <c r="S257" t="str">
        <f t="shared" si="23"/>
        <v>_Tokens-&gt;Add((String^)GramVals::TOK_LOG, gcnew Token(GramKeys::TOK_LOG, EnumTokenCategory::PARAM_FUNCTION,BARE_LABEL, i++));</v>
      </c>
    </row>
    <row r="258" spans="1:19" x14ac:dyDescent="0.25">
      <c r="A258" s="3" t="s">
        <v>1623</v>
      </c>
      <c r="B258" s="5" t="s">
        <v>1187</v>
      </c>
      <c r="C258" s="3" t="s">
        <v>2149</v>
      </c>
      <c r="D258" s="3" t="s">
        <v>2423</v>
      </c>
      <c r="F258" t="str">
        <f t="shared" si="18"/>
        <v>LOG10</v>
      </c>
      <c r="G258" t="s">
        <v>2985</v>
      </c>
      <c r="I258" s="3" t="str">
        <f>IF(_xlfn.XLOOKUP(F258,PgSqlRaw!B:B,PgSqlRaw!E:E,"") = "",_xlfn.XLOOKUP(G258,PgSqlRaw!B:B,PgSqlRaw!E:E,""),_xlfn.XLOOKUP(F258,PgSqlRaw!B:B,PgSqlRaw!E:E,""))</f>
        <v/>
      </c>
      <c r="J258" t="str">
        <f>IF(_xlfn.XLOOKUP(F258,PgSqlRaw!B:B,PgSqlRaw!F:F,"") = "", _xlfn.XLOOKUP(G258,PgSqlRaw!B:B,PgSqlRaw!F:F,""), _xlfn.XLOOKUP(F258,PgSqlRaw!B:B,PgSqlRaw!F:F,""))</f>
        <v/>
      </c>
      <c r="K258" t="str">
        <f t="shared" si="19"/>
        <v>BARE_LABEL</v>
      </c>
      <c r="L258" t="str">
        <f>IF(_xlfn.XLOOKUP(F258,PhpReserved!A:A,PhpReserved!B:B,"") = "", _xlfn.XLOOKUP(G258,PhpReserved!A:A,PhpReserved!B:B,""),_xlfn.XLOOKUP(F258,PhpReserved!A:A,PhpReserved!B:B,""))</f>
        <v>RESERVED</v>
      </c>
      <c r="M258" t="str">
        <f>IF(_xlfn.XLOOKUP(F258,PhpFunctions!A:A,PhpFunctions!B:B,"") =  "", _xlfn.XLOOKUP(G258,PhpFunctions!A:A,PhpFunctions!B:B,""), _xlfn.XLOOKUP(F258,PhpFunctions!A:A,PhpFunctions!B:B,""))</f>
        <v>FUNCTION</v>
      </c>
      <c r="N258" t="str">
        <f>IF(_xlfn.XLOOKUP(F258,PhpParamFunc!A:A,PhpParamFunc!B:B,"") = "", _xlfn.XLOOKUP(G258,PhpParamFunc!A:A,PhpParamFunc!B:B,""), _xlfn.XLOOKUP(F258,PhpParamFunc!A:A,PhpParamFunc!B:B,""))</f>
        <v>PARAM_FUNCTION</v>
      </c>
      <c r="O258" t="str">
        <f>IF(_xlfn.XLOOKUP(F258,PhpAggrFunc!A:A,PhpAggrFunc!B:B,"") = "", _xlfn.XLOOKUP(G258,PhpAggrFunc!A:A,PhpAggrFunc!B:B,""), _xlfn.XLOOKUP(F258,PhpAggrFunc!A:A,PhpAggrFunc!B:B,""))</f>
        <v/>
      </c>
      <c r="P258" t="str">
        <f t="shared" si="20"/>
        <v>PARAM_FUNCTION</v>
      </c>
      <c r="Q258" t="str">
        <f t="shared" si="21"/>
        <v>static const String^ TOK_LOG10 = "LOG10";</v>
      </c>
      <c r="R258" t="str">
        <f t="shared" si="22"/>
        <v>static const int TOK_LOG10 = 558;</v>
      </c>
      <c r="S258" t="str">
        <f t="shared" si="23"/>
        <v>_Tokens-&gt;Add((String^)GramVals::TOK_LOG10, gcnew Token(GramKeys::TOK_LOG10, EnumTokenCategory::PARAM_FUNCTION,BARE_LABEL, i++));</v>
      </c>
    </row>
    <row r="259" spans="1:19" x14ac:dyDescent="0.25">
      <c r="A259" s="3" t="s">
        <v>1624</v>
      </c>
      <c r="B259" s="5" t="s">
        <v>1188</v>
      </c>
      <c r="C259" s="3" t="s">
        <v>2150</v>
      </c>
      <c r="D259" s="3" t="s">
        <v>881</v>
      </c>
      <c r="F259" t="str">
        <f t="shared" si="18"/>
        <v>LONG</v>
      </c>
      <c r="G259" t="s">
        <v>3187</v>
      </c>
      <c r="I259" s="3" t="str">
        <f>IF(_xlfn.XLOOKUP(F259,PgSqlRaw!B:B,PgSqlRaw!E:E,"") = "",_xlfn.XLOOKUP(G259,PgSqlRaw!B:B,PgSqlRaw!E:E,""),_xlfn.XLOOKUP(F259,PgSqlRaw!B:B,PgSqlRaw!E:E,""))</f>
        <v/>
      </c>
      <c r="J259" t="str">
        <f>IF(_xlfn.XLOOKUP(F259,PgSqlRaw!B:B,PgSqlRaw!F:F,"") = "", _xlfn.XLOOKUP(G259,PgSqlRaw!B:B,PgSqlRaw!F:F,""), _xlfn.XLOOKUP(F259,PgSqlRaw!B:B,PgSqlRaw!F:F,""))</f>
        <v/>
      </c>
      <c r="K259" t="str">
        <f t="shared" si="19"/>
        <v>BARE_LABEL</v>
      </c>
      <c r="L259" t="str">
        <f>IF(_xlfn.XLOOKUP(F259,PhpReserved!A:A,PhpReserved!B:B,"") = "", _xlfn.XLOOKUP(G259,PhpReserved!A:A,PhpReserved!B:B,""),_xlfn.XLOOKUP(F259,PhpReserved!A:A,PhpReserved!B:B,""))</f>
        <v>RESERVED</v>
      </c>
      <c r="M259" t="str">
        <f>IF(_xlfn.XLOOKUP(F259,PhpFunctions!A:A,PhpFunctions!B:B,"") =  "", _xlfn.XLOOKUP(G259,PhpFunctions!A:A,PhpFunctions!B:B,""), _xlfn.XLOOKUP(F259,PhpFunctions!A:A,PhpFunctions!B:B,""))</f>
        <v/>
      </c>
      <c r="N259" t="str">
        <f>IF(_xlfn.XLOOKUP(F259,PhpParamFunc!A:A,PhpParamFunc!B:B,"") = "", _xlfn.XLOOKUP(G259,PhpParamFunc!A:A,PhpParamFunc!B:B,""), _xlfn.XLOOKUP(F259,PhpParamFunc!A:A,PhpParamFunc!B:B,""))</f>
        <v/>
      </c>
      <c r="O259" t="str">
        <f>IF(_xlfn.XLOOKUP(F259,PhpAggrFunc!A:A,PhpAggrFunc!B:B,"") = "", _xlfn.XLOOKUP(G259,PhpAggrFunc!A:A,PhpAggrFunc!B:B,""), _xlfn.XLOOKUP(F259,PhpAggrFunc!A:A,PhpAggrFunc!B:B,""))</f>
        <v/>
      </c>
      <c r="P259" t="str">
        <f t="shared" si="20"/>
        <v>RESERVED</v>
      </c>
      <c r="Q259" t="str">
        <f t="shared" si="21"/>
        <v>static const String^ TOK_LONG = "LONG";</v>
      </c>
      <c r="R259" t="str">
        <f t="shared" si="22"/>
        <v>static const int TOK_LONG = 343;</v>
      </c>
      <c r="S259" t="str">
        <f t="shared" si="23"/>
        <v>_Tokens-&gt;Add((String^)GramVals::TOK_LONG, gcnew Token(GramKeys::TOK_LONG, EnumTokenCategory::RESERVED,BARE_LABEL, i++));</v>
      </c>
    </row>
    <row r="260" spans="1:19" x14ac:dyDescent="0.25">
      <c r="A260" s="3" t="s">
        <v>1625</v>
      </c>
      <c r="B260" s="5" t="s">
        <v>1189</v>
      </c>
      <c r="C260" s="3" t="s">
        <v>2151</v>
      </c>
      <c r="D260" s="3" t="s">
        <v>881</v>
      </c>
      <c r="F260" t="str">
        <f t="shared" ref="F260:F323" si="24">MID(A260,5,99)</f>
        <v>LOWER</v>
      </c>
      <c r="G260" t="s">
        <v>2986</v>
      </c>
      <c r="I260" s="3" t="str">
        <f>IF(_xlfn.XLOOKUP(F260,PgSqlRaw!B:B,PgSqlRaw!E:E,"") = "",_xlfn.XLOOKUP(G260,PgSqlRaw!B:B,PgSqlRaw!E:E,""),_xlfn.XLOOKUP(F260,PgSqlRaw!B:B,PgSqlRaw!E:E,""))</f>
        <v/>
      </c>
      <c r="J260" t="str">
        <f>IF(_xlfn.XLOOKUP(F260,PgSqlRaw!B:B,PgSqlRaw!F:F,"") = "", _xlfn.XLOOKUP(G260,PgSqlRaw!B:B,PgSqlRaw!F:F,""), _xlfn.XLOOKUP(F260,PgSqlRaw!B:B,PgSqlRaw!F:F,""))</f>
        <v/>
      </c>
      <c r="K260" t="str">
        <f t="shared" ref="K260:K323" si="25">IF(J260 = "", "BARE_LABEL", J260)</f>
        <v>BARE_LABEL</v>
      </c>
      <c r="L260" t="str">
        <f>IF(_xlfn.XLOOKUP(F260,PhpReserved!A:A,PhpReserved!B:B,"") = "", _xlfn.XLOOKUP(G260,PhpReserved!A:A,PhpReserved!B:B,""),_xlfn.XLOOKUP(F260,PhpReserved!A:A,PhpReserved!B:B,""))</f>
        <v>RESERVED</v>
      </c>
      <c r="M260" t="str">
        <f>IF(_xlfn.XLOOKUP(F260,PhpFunctions!A:A,PhpFunctions!B:B,"") =  "", _xlfn.XLOOKUP(G260,PhpFunctions!A:A,PhpFunctions!B:B,""), _xlfn.XLOOKUP(F260,PhpFunctions!A:A,PhpFunctions!B:B,""))</f>
        <v>FUNCTION</v>
      </c>
      <c r="N260" t="str">
        <f>IF(_xlfn.XLOOKUP(F260,PhpParamFunc!A:A,PhpParamFunc!B:B,"") = "", _xlfn.XLOOKUP(G260,PhpParamFunc!A:A,PhpParamFunc!B:B,""), _xlfn.XLOOKUP(F260,PhpParamFunc!A:A,PhpParamFunc!B:B,""))</f>
        <v>PARAM_FUNCTION</v>
      </c>
      <c r="O260" t="str">
        <f>IF(_xlfn.XLOOKUP(F260,PhpAggrFunc!A:A,PhpAggrFunc!B:B,"") = "", _xlfn.XLOOKUP(G260,PhpAggrFunc!A:A,PhpAggrFunc!B:B,""), _xlfn.XLOOKUP(F260,PhpAggrFunc!A:A,PhpAggrFunc!B:B,""))</f>
        <v/>
      </c>
      <c r="P260" t="str">
        <f t="shared" ref="P260:P323" si="26">IF(O260 = "",IF(N260 = "", IF(M260 = "", IF(L260 = "", IF(I260 = "",IF(E260 = "","UNRESERVED",E260),I260),L260),M260),N260),O260)</f>
        <v>PARAM_FUNCTION</v>
      </c>
      <c r="Q260" t="str">
        <f t="shared" ref="Q260:Q323" si="27">_xlfn.CONCAT("static const String^ ", A260, " = ", C260, ";")</f>
        <v>static const String^ TOK_LOWER = "LOWER";</v>
      </c>
      <c r="R260" t="str">
        <f t="shared" ref="R260:R323" si="28">_xlfn.CONCAT("static const int ", A260, " = ", B260, ";")</f>
        <v>static const int TOK_LOWER = 515;</v>
      </c>
      <c r="S260" t="str">
        <f t="shared" ref="S260:S323" si="29">_xlfn.CONCAT(IF(P260 = "UNRESERVED", "// ", ""),"_Tokens-&gt;Add((String^)GramVals::", A260, ", gcnew Token(GramKeys::", A260, ", EnumTokenCategory::", P260, ",",K260, ", i++));")</f>
        <v>_Tokens-&gt;Add((String^)GramVals::TOK_LOWER, gcnew Token(GramKeys::TOK_LOWER, EnumTokenCategory::PARAM_FUNCTION,BARE_LABEL, i++));</v>
      </c>
    </row>
    <row r="261" spans="1:19" x14ac:dyDescent="0.25">
      <c r="A261" s="3" t="s">
        <v>1626</v>
      </c>
      <c r="B261" s="5" t="s">
        <v>1190</v>
      </c>
      <c r="C261" s="3" t="s">
        <v>2152</v>
      </c>
      <c r="D261" s="3" t="s">
        <v>2423</v>
      </c>
      <c r="F261" t="str">
        <f t="shared" si="24"/>
        <v>LPAD</v>
      </c>
      <c r="G261" t="s">
        <v>2987</v>
      </c>
      <c r="I261" s="3" t="str">
        <f>IF(_xlfn.XLOOKUP(F261,PgSqlRaw!B:B,PgSqlRaw!E:E,"") = "",_xlfn.XLOOKUP(G261,PgSqlRaw!B:B,PgSqlRaw!E:E,""),_xlfn.XLOOKUP(F261,PgSqlRaw!B:B,PgSqlRaw!E:E,""))</f>
        <v/>
      </c>
      <c r="J261" t="str">
        <f>IF(_xlfn.XLOOKUP(F261,PgSqlRaw!B:B,PgSqlRaw!F:F,"") = "", _xlfn.XLOOKUP(G261,PgSqlRaw!B:B,PgSqlRaw!F:F,""), _xlfn.XLOOKUP(F261,PgSqlRaw!B:B,PgSqlRaw!F:F,""))</f>
        <v/>
      </c>
      <c r="K261" t="str">
        <f t="shared" si="25"/>
        <v>BARE_LABEL</v>
      </c>
      <c r="L261" t="str">
        <f>IF(_xlfn.XLOOKUP(F261,PhpReserved!A:A,PhpReserved!B:B,"") = "", _xlfn.XLOOKUP(G261,PhpReserved!A:A,PhpReserved!B:B,""),_xlfn.XLOOKUP(F261,PhpReserved!A:A,PhpReserved!B:B,""))</f>
        <v>RESERVED</v>
      </c>
      <c r="M261" t="str">
        <f>IF(_xlfn.XLOOKUP(F261,PhpFunctions!A:A,PhpFunctions!B:B,"") =  "", _xlfn.XLOOKUP(G261,PhpFunctions!A:A,PhpFunctions!B:B,""), _xlfn.XLOOKUP(F261,PhpFunctions!A:A,PhpFunctions!B:B,""))</f>
        <v>FUNCTION</v>
      </c>
      <c r="N261" t="str">
        <f>IF(_xlfn.XLOOKUP(F261,PhpParamFunc!A:A,PhpParamFunc!B:B,"") = "", _xlfn.XLOOKUP(G261,PhpParamFunc!A:A,PhpParamFunc!B:B,""), _xlfn.XLOOKUP(F261,PhpParamFunc!A:A,PhpParamFunc!B:B,""))</f>
        <v>PARAM_FUNCTION</v>
      </c>
      <c r="O261" t="str">
        <f>IF(_xlfn.XLOOKUP(F261,PhpAggrFunc!A:A,PhpAggrFunc!B:B,"") = "", _xlfn.XLOOKUP(G261,PhpAggrFunc!A:A,PhpAggrFunc!B:B,""), _xlfn.XLOOKUP(F261,PhpAggrFunc!A:A,PhpAggrFunc!B:B,""))</f>
        <v/>
      </c>
      <c r="P261" t="str">
        <f t="shared" si="26"/>
        <v>PARAM_FUNCTION</v>
      </c>
      <c r="Q261" t="str">
        <f t="shared" si="27"/>
        <v>static const String^ TOK_LPAD = "LPAD";</v>
      </c>
      <c r="R261" t="str">
        <f t="shared" si="28"/>
        <v>static const int TOK_LPAD = 559;</v>
      </c>
      <c r="S261" t="str">
        <f t="shared" si="29"/>
        <v>_Tokens-&gt;Add((String^)GramVals::TOK_LPAD, gcnew Token(GramKeys::TOK_LPAD, EnumTokenCategory::PARAM_FUNCTION,BARE_LABEL, i++));</v>
      </c>
    </row>
    <row r="262" spans="1:19" x14ac:dyDescent="0.25">
      <c r="A262" s="3" t="s">
        <v>1627</v>
      </c>
      <c r="B262" s="5">
        <v>703</v>
      </c>
      <c r="C262" s="3" t="s">
        <v>2153</v>
      </c>
      <c r="D262" s="3" t="s">
        <v>2423</v>
      </c>
      <c r="F262" t="str">
        <f t="shared" si="24"/>
        <v>LPARAM</v>
      </c>
      <c r="G262" t="s">
        <v>3731</v>
      </c>
      <c r="I262" s="3" t="str">
        <f>IF(_xlfn.XLOOKUP(F262,PgSqlRaw!B:B,PgSqlRaw!E:E,"") = "",_xlfn.XLOOKUP(G262,PgSqlRaw!B:B,PgSqlRaw!E:E,""),_xlfn.XLOOKUP(F262,PgSqlRaw!B:B,PgSqlRaw!E:E,""))</f>
        <v/>
      </c>
      <c r="J262" t="str">
        <f>IF(_xlfn.XLOOKUP(F262,PgSqlRaw!B:B,PgSqlRaw!F:F,"") = "", _xlfn.XLOOKUP(G262,PgSqlRaw!B:B,PgSqlRaw!F:F,""), _xlfn.XLOOKUP(F262,PgSqlRaw!B:B,PgSqlRaw!F:F,""))</f>
        <v/>
      </c>
      <c r="K262" t="str">
        <f t="shared" si="25"/>
        <v>BARE_LABEL</v>
      </c>
      <c r="L262" t="str">
        <f>IF(_xlfn.XLOOKUP(F262,PhpReserved!A:A,PhpReserved!B:B,"") = "", _xlfn.XLOOKUP(G262,PhpReserved!A:A,PhpReserved!B:B,""),_xlfn.XLOOKUP(F262,PhpReserved!A:A,PhpReserved!B:B,""))</f>
        <v/>
      </c>
      <c r="M262" t="str">
        <f>IF(_xlfn.XLOOKUP(F262,PhpFunctions!A:A,PhpFunctions!B:B,"") =  "", _xlfn.XLOOKUP(G262,PhpFunctions!A:A,PhpFunctions!B:B,""), _xlfn.XLOOKUP(F262,PhpFunctions!A:A,PhpFunctions!B:B,""))</f>
        <v/>
      </c>
      <c r="N262" t="str">
        <f>IF(_xlfn.XLOOKUP(F262,PhpParamFunc!A:A,PhpParamFunc!B:B,"") = "", _xlfn.XLOOKUP(G262,PhpParamFunc!A:A,PhpParamFunc!B:B,""), _xlfn.XLOOKUP(F262,PhpParamFunc!A:A,PhpParamFunc!B:B,""))</f>
        <v/>
      </c>
      <c r="O262" t="str">
        <f>IF(_xlfn.XLOOKUP(F262,PhpAggrFunc!A:A,PhpAggrFunc!B:B,"") = "", _xlfn.XLOOKUP(G262,PhpAggrFunc!A:A,PhpAggrFunc!B:B,""), _xlfn.XLOOKUP(F262,PhpAggrFunc!A:A,PhpAggrFunc!B:B,""))</f>
        <v/>
      </c>
      <c r="P262" t="str">
        <f t="shared" si="26"/>
        <v>UNRESERVED</v>
      </c>
      <c r="Q262" t="str">
        <f t="shared" si="27"/>
        <v>static const String^ TOK_LPARAM = "LPARAM";</v>
      </c>
      <c r="R262" t="str">
        <f t="shared" si="28"/>
        <v>static const int TOK_LPARAM = 703;</v>
      </c>
      <c r="S262" t="str">
        <f t="shared" si="29"/>
        <v>// _Tokens-&gt;Add((String^)GramVals::TOK_LPARAM, gcnew Token(GramKeys::TOK_LPARAM, EnumTokenCategory::UNRESERVED,BARE_LABEL, i++));</v>
      </c>
    </row>
    <row r="263" spans="1:19" x14ac:dyDescent="0.25">
      <c r="A263" s="3" t="s">
        <v>1628</v>
      </c>
      <c r="B263" s="5">
        <v>704</v>
      </c>
      <c r="C263" s="3" t="s">
        <v>2154</v>
      </c>
      <c r="D263" s="3" t="s">
        <v>2423</v>
      </c>
      <c r="F263" t="str">
        <f t="shared" si="24"/>
        <v>MAKE_DBKEY</v>
      </c>
      <c r="G263" t="s">
        <v>3732</v>
      </c>
      <c r="I263" s="3" t="str">
        <f>IF(_xlfn.XLOOKUP(F263,PgSqlRaw!B:B,PgSqlRaw!E:E,"") = "",_xlfn.XLOOKUP(G263,PgSqlRaw!B:B,PgSqlRaw!E:E,""),_xlfn.XLOOKUP(F263,PgSqlRaw!B:B,PgSqlRaw!E:E,""))</f>
        <v/>
      </c>
      <c r="J263" t="str">
        <f>IF(_xlfn.XLOOKUP(F263,PgSqlRaw!B:B,PgSqlRaw!F:F,"") = "", _xlfn.XLOOKUP(G263,PgSqlRaw!B:B,PgSqlRaw!F:F,""), _xlfn.XLOOKUP(F263,PgSqlRaw!B:B,PgSqlRaw!F:F,""))</f>
        <v/>
      </c>
      <c r="K263" t="str">
        <f t="shared" si="25"/>
        <v>BARE_LABEL</v>
      </c>
      <c r="L263" t="str">
        <f>IF(_xlfn.XLOOKUP(F263,PhpReserved!A:A,PhpReserved!B:B,"") = "", _xlfn.XLOOKUP(G263,PhpReserved!A:A,PhpReserved!B:B,""),_xlfn.XLOOKUP(F263,PhpReserved!A:A,PhpReserved!B:B,""))</f>
        <v/>
      </c>
      <c r="M263" t="str">
        <f>IF(_xlfn.XLOOKUP(F263,PhpFunctions!A:A,PhpFunctions!B:B,"") =  "", _xlfn.XLOOKUP(G263,PhpFunctions!A:A,PhpFunctions!B:B,""), _xlfn.XLOOKUP(F263,PhpFunctions!A:A,PhpFunctions!B:B,""))</f>
        <v/>
      </c>
      <c r="N263" t="str">
        <f>IF(_xlfn.XLOOKUP(F263,PhpParamFunc!A:A,PhpParamFunc!B:B,"") = "", _xlfn.XLOOKUP(G263,PhpParamFunc!A:A,PhpParamFunc!B:B,""), _xlfn.XLOOKUP(F263,PhpParamFunc!A:A,PhpParamFunc!B:B,""))</f>
        <v/>
      </c>
      <c r="O263" t="str">
        <f>IF(_xlfn.XLOOKUP(F263,PhpAggrFunc!A:A,PhpAggrFunc!B:B,"") = "", _xlfn.XLOOKUP(G263,PhpAggrFunc!A:A,PhpAggrFunc!B:B,""), _xlfn.XLOOKUP(F263,PhpAggrFunc!A:A,PhpAggrFunc!B:B,""))</f>
        <v/>
      </c>
      <c r="P263" t="str">
        <f t="shared" si="26"/>
        <v>UNRESERVED</v>
      </c>
      <c r="Q263" t="str">
        <f t="shared" si="27"/>
        <v>static const String^ TOK_MAKE_DBKEY = "MAKE_DBKEY";</v>
      </c>
      <c r="R263" t="str">
        <f t="shared" si="28"/>
        <v>static const int TOK_MAKE_DBKEY = 704;</v>
      </c>
      <c r="S263" t="str">
        <f t="shared" si="29"/>
        <v>// _Tokens-&gt;Add((String^)GramVals::TOK_MAKE_DBKEY, gcnew Token(GramKeys::TOK_MAKE_DBKEY, EnumTokenCategory::UNRESERVED,BARE_LABEL, i++));</v>
      </c>
    </row>
    <row r="264" spans="1:19" x14ac:dyDescent="0.25">
      <c r="A264" s="3" t="s">
        <v>1629</v>
      </c>
      <c r="B264" s="5" t="s">
        <v>1191</v>
      </c>
      <c r="C264" s="3" t="s">
        <v>2155</v>
      </c>
      <c r="D264" s="3" t="s">
        <v>2423</v>
      </c>
      <c r="F264" t="str">
        <f t="shared" si="24"/>
        <v>MANUAL</v>
      </c>
      <c r="G264" t="s">
        <v>3733</v>
      </c>
      <c r="I264" s="3" t="str">
        <f>IF(_xlfn.XLOOKUP(F264,PgSqlRaw!B:B,PgSqlRaw!E:E,"") = "",_xlfn.XLOOKUP(G264,PgSqlRaw!B:B,PgSqlRaw!E:E,""),_xlfn.XLOOKUP(F264,PgSqlRaw!B:B,PgSqlRaw!E:E,""))</f>
        <v/>
      </c>
      <c r="J264" t="str">
        <f>IF(_xlfn.XLOOKUP(F264,PgSqlRaw!B:B,PgSqlRaw!F:F,"") = "", _xlfn.XLOOKUP(G264,PgSqlRaw!B:B,PgSqlRaw!F:F,""), _xlfn.XLOOKUP(F264,PgSqlRaw!B:B,PgSqlRaw!F:F,""))</f>
        <v/>
      </c>
      <c r="K264" t="str">
        <f t="shared" si="25"/>
        <v>BARE_LABEL</v>
      </c>
      <c r="L264" t="str">
        <f>IF(_xlfn.XLOOKUP(F264,PhpReserved!A:A,PhpReserved!B:B,"") = "", _xlfn.XLOOKUP(G264,PhpReserved!A:A,PhpReserved!B:B,""),_xlfn.XLOOKUP(F264,PhpReserved!A:A,PhpReserved!B:B,""))</f>
        <v/>
      </c>
      <c r="M264" t="str">
        <f>IF(_xlfn.XLOOKUP(F264,PhpFunctions!A:A,PhpFunctions!B:B,"") =  "", _xlfn.XLOOKUP(G264,PhpFunctions!A:A,PhpFunctions!B:B,""), _xlfn.XLOOKUP(F264,PhpFunctions!A:A,PhpFunctions!B:B,""))</f>
        <v/>
      </c>
      <c r="N264" t="str">
        <f>IF(_xlfn.XLOOKUP(F264,PhpParamFunc!A:A,PhpParamFunc!B:B,"") = "", _xlfn.XLOOKUP(G264,PhpParamFunc!A:A,PhpParamFunc!B:B,""), _xlfn.XLOOKUP(F264,PhpParamFunc!A:A,PhpParamFunc!B:B,""))</f>
        <v/>
      </c>
      <c r="O264" t="str">
        <f>IF(_xlfn.XLOOKUP(F264,PhpAggrFunc!A:A,PhpAggrFunc!B:B,"") = "", _xlfn.XLOOKUP(G264,PhpAggrFunc!A:A,PhpAggrFunc!B:B,""), _xlfn.XLOOKUP(F264,PhpAggrFunc!A:A,PhpAggrFunc!B:B,""))</f>
        <v/>
      </c>
      <c r="P264" t="str">
        <f t="shared" si="26"/>
        <v>UNRESERVED</v>
      </c>
      <c r="Q264" t="str">
        <f t="shared" si="27"/>
        <v>static const String^ TOK_MANUAL = "MANUAL";</v>
      </c>
      <c r="R264" t="str">
        <f t="shared" si="28"/>
        <v>static const int TOK_MANUAL = 353;</v>
      </c>
      <c r="S264" t="str">
        <f t="shared" si="29"/>
        <v>// _Tokens-&gt;Add((String^)GramVals::TOK_MANUAL, gcnew Token(GramKeys::TOK_MANUAL, EnumTokenCategory::UNRESERVED,BARE_LABEL, i++));</v>
      </c>
    </row>
    <row r="265" spans="1:19" x14ac:dyDescent="0.25">
      <c r="A265" s="3" t="s">
        <v>1630</v>
      </c>
      <c r="B265" s="5" t="s">
        <v>1192</v>
      </c>
      <c r="C265" s="3" t="s">
        <v>2156</v>
      </c>
      <c r="D265" s="3" t="s">
        <v>2423</v>
      </c>
      <c r="F265" t="str">
        <f t="shared" si="24"/>
        <v>MAPPING</v>
      </c>
      <c r="G265" t="s">
        <v>3449</v>
      </c>
      <c r="I265" s="3" t="str">
        <f>IF(_xlfn.XLOOKUP(F265,PgSqlRaw!B:B,PgSqlRaw!E:E,"") = "",_xlfn.XLOOKUP(G265,PgSqlRaw!B:B,PgSqlRaw!E:E,""),_xlfn.XLOOKUP(F265,PgSqlRaw!B:B,PgSqlRaw!E:E,""))</f>
        <v/>
      </c>
      <c r="J265" t="str">
        <f>IF(_xlfn.XLOOKUP(F265,PgSqlRaw!B:B,PgSqlRaw!F:F,"") = "", _xlfn.XLOOKUP(G265,PgSqlRaw!B:B,PgSqlRaw!F:F,""), _xlfn.XLOOKUP(F265,PgSqlRaw!B:B,PgSqlRaw!F:F,""))</f>
        <v>BARE_LABEL</v>
      </c>
      <c r="K265" t="str">
        <f t="shared" si="25"/>
        <v>BARE_LABEL</v>
      </c>
      <c r="L265" t="str">
        <f>IF(_xlfn.XLOOKUP(F265,PhpReserved!A:A,PhpReserved!B:B,"") = "", _xlfn.XLOOKUP(G265,PhpReserved!A:A,PhpReserved!B:B,""),_xlfn.XLOOKUP(F265,PhpReserved!A:A,PhpReserved!B:B,""))</f>
        <v/>
      </c>
      <c r="M265" t="str">
        <f>IF(_xlfn.XLOOKUP(F265,PhpFunctions!A:A,PhpFunctions!B:B,"") =  "", _xlfn.XLOOKUP(G265,PhpFunctions!A:A,PhpFunctions!B:B,""), _xlfn.XLOOKUP(F265,PhpFunctions!A:A,PhpFunctions!B:B,""))</f>
        <v/>
      </c>
      <c r="N265" t="str">
        <f>IF(_xlfn.XLOOKUP(F265,PhpParamFunc!A:A,PhpParamFunc!B:B,"") = "", _xlfn.XLOOKUP(G265,PhpParamFunc!A:A,PhpParamFunc!B:B,""), _xlfn.XLOOKUP(F265,PhpParamFunc!A:A,PhpParamFunc!B:B,""))</f>
        <v/>
      </c>
      <c r="O265" t="str">
        <f>IF(_xlfn.XLOOKUP(F265,PhpAggrFunc!A:A,PhpAggrFunc!B:B,"") = "", _xlfn.XLOOKUP(G265,PhpAggrFunc!A:A,PhpAggrFunc!B:B,""), _xlfn.XLOOKUP(F265,PhpAggrFunc!A:A,PhpAggrFunc!B:B,""))</f>
        <v/>
      </c>
      <c r="P265" t="str">
        <f t="shared" si="26"/>
        <v>UNRESERVED</v>
      </c>
      <c r="Q265" t="str">
        <f t="shared" si="27"/>
        <v>static const String^ TOK_MAPPING = "MAPPING";</v>
      </c>
      <c r="R265" t="str">
        <f t="shared" si="28"/>
        <v>static const int TOK_MAPPING = 596;</v>
      </c>
      <c r="S265" t="str">
        <f t="shared" si="29"/>
        <v>// _Tokens-&gt;Add((String^)GramVals::TOK_MAPPING, gcnew Token(GramKeys::TOK_MAPPING, EnumTokenCategory::UNRESERVED,BARE_LABEL, i++));</v>
      </c>
    </row>
    <row r="266" spans="1:19" x14ac:dyDescent="0.25">
      <c r="A266" s="3" t="s">
        <v>1631</v>
      </c>
      <c r="B266" s="5" t="s">
        <v>1193</v>
      </c>
      <c r="C266" s="3" t="s">
        <v>2157</v>
      </c>
      <c r="D266" s="3" t="s">
        <v>2423</v>
      </c>
      <c r="F266" t="str">
        <f t="shared" si="24"/>
        <v>MATCHED</v>
      </c>
      <c r="G266" t="s">
        <v>3450</v>
      </c>
      <c r="I266" s="3" t="str">
        <f>IF(_xlfn.XLOOKUP(F266,PgSqlRaw!B:B,PgSqlRaw!E:E,"") = "",_xlfn.XLOOKUP(G266,PgSqlRaw!B:B,PgSqlRaw!E:E,""),_xlfn.XLOOKUP(F266,PgSqlRaw!B:B,PgSqlRaw!E:E,""))</f>
        <v/>
      </c>
      <c r="J266" t="str">
        <f>IF(_xlfn.XLOOKUP(F266,PgSqlRaw!B:B,PgSqlRaw!F:F,"") = "", _xlfn.XLOOKUP(G266,PgSqlRaw!B:B,PgSqlRaw!F:F,""), _xlfn.XLOOKUP(F266,PgSqlRaw!B:B,PgSqlRaw!F:F,""))</f>
        <v>BARE_LABEL</v>
      </c>
      <c r="K266" t="str">
        <f t="shared" si="25"/>
        <v>BARE_LABEL</v>
      </c>
      <c r="L266" t="str">
        <f>IF(_xlfn.XLOOKUP(F266,PhpReserved!A:A,PhpReserved!B:B,"") = "", _xlfn.XLOOKUP(G266,PhpReserved!A:A,PhpReserved!B:B,""),_xlfn.XLOOKUP(F266,PhpReserved!A:A,PhpReserved!B:B,""))</f>
        <v/>
      </c>
      <c r="M266" t="str">
        <f>IF(_xlfn.XLOOKUP(F266,PhpFunctions!A:A,PhpFunctions!B:B,"") =  "", _xlfn.XLOOKUP(G266,PhpFunctions!A:A,PhpFunctions!B:B,""), _xlfn.XLOOKUP(F266,PhpFunctions!A:A,PhpFunctions!B:B,""))</f>
        <v/>
      </c>
      <c r="N266" t="str">
        <f>IF(_xlfn.XLOOKUP(F266,PhpParamFunc!A:A,PhpParamFunc!B:B,"") = "", _xlfn.XLOOKUP(G266,PhpParamFunc!A:A,PhpParamFunc!B:B,""), _xlfn.XLOOKUP(F266,PhpParamFunc!A:A,PhpParamFunc!B:B,""))</f>
        <v/>
      </c>
      <c r="O266" t="str">
        <f>IF(_xlfn.XLOOKUP(F266,PhpAggrFunc!A:A,PhpAggrFunc!B:B,"") = "", _xlfn.XLOOKUP(G266,PhpAggrFunc!A:A,PhpAggrFunc!B:B,""), _xlfn.XLOOKUP(F266,PhpAggrFunc!A:A,PhpAggrFunc!B:B,""))</f>
        <v/>
      </c>
      <c r="P266" t="str">
        <f t="shared" si="26"/>
        <v>UNRESERVED</v>
      </c>
      <c r="Q266" t="str">
        <f t="shared" si="27"/>
        <v>static const String^ TOK_MATCHED = "MATCHED";</v>
      </c>
      <c r="R266" t="str">
        <f t="shared" si="28"/>
        <v>static const int TOK_MATCHED = 560;</v>
      </c>
      <c r="S266" t="str">
        <f t="shared" si="29"/>
        <v>// _Tokens-&gt;Add((String^)GramVals::TOK_MATCHED, gcnew Token(GramKeys::TOK_MATCHED, EnumTokenCategory::UNRESERVED,BARE_LABEL, i++));</v>
      </c>
    </row>
    <row r="267" spans="1:19" x14ac:dyDescent="0.25">
      <c r="A267" s="3" t="s">
        <v>1632</v>
      </c>
      <c r="B267" s="5" t="s">
        <v>1194</v>
      </c>
      <c r="C267" s="3" t="s">
        <v>2158</v>
      </c>
      <c r="D267" s="3" t="s">
        <v>2423</v>
      </c>
      <c r="F267" t="str">
        <f t="shared" si="24"/>
        <v>MATCHING</v>
      </c>
      <c r="G267" t="s">
        <v>3734</v>
      </c>
      <c r="I267" s="3" t="str">
        <f>IF(_xlfn.XLOOKUP(F267,PgSqlRaw!B:B,PgSqlRaw!E:E,"") = "",_xlfn.XLOOKUP(G267,PgSqlRaw!B:B,PgSqlRaw!E:E,""),_xlfn.XLOOKUP(F267,PgSqlRaw!B:B,PgSqlRaw!E:E,""))</f>
        <v/>
      </c>
      <c r="J267" t="str">
        <f>IF(_xlfn.XLOOKUP(F267,PgSqlRaw!B:B,PgSqlRaw!F:F,"") = "", _xlfn.XLOOKUP(G267,PgSqlRaw!B:B,PgSqlRaw!F:F,""), _xlfn.XLOOKUP(F267,PgSqlRaw!B:B,PgSqlRaw!F:F,""))</f>
        <v/>
      </c>
      <c r="K267" t="str">
        <f t="shared" si="25"/>
        <v>BARE_LABEL</v>
      </c>
      <c r="L267" t="str">
        <f>IF(_xlfn.XLOOKUP(F267,PhpReserved!A:A,PhpReserved!B:B,"") = "", _xlfn.XLOOKUP(G267,PhpReserved!A:A,PhpReserved!B:B,""),_xlfn.XLOOKUP(F267,PhpReserved!A:A,PhpReserved!B:B,""))</f>
        <v/>
      </c>
      <c r="M267" t="str">
        <f>IF(_xlfn.XLOOKUP(F267,PhpFunctions!A:A,PhpFunctions!B:B,"") =  "", _xlfn.XLOOKUP(G267,PhpFunctions!A:A,PhpFunctions!B:B,""), _xlfn.XLOOKUP(F267,PhpFunctions!A:A,PhpFunctions!B:B,""))</f>
        <v/>
      </c>
      <c r="N267" t="str">
        <f>IF(_xlfn.XLOOKUP(F267,PhpParamFunc!A:A,PhpParamFunc!B:B,"") = "", _xlfn.XLOOKUP(G267,PhpParamFunc!A:A,PhpParamFunc!B:B,""), _xlfn.XLOOKUP(F267,PhpParamFunc!A:A,PhpParamFunc!B:B,""))</f>
        <v/>
      </c>
      <c r="O267" t="str">
        <f>IF(_xlfn.XLOOKUP(F267,PhpAggrFunc!A:A,PhpAggrFunc!B:B,"") = "", _xlfn.XLOOKUP(G267,PhpAggrFunc!A:A,PhpAggrFunc!B:B,""), _xlfn.XLOOKUP(F267,PhpAggrFunc!A:A,PhpAggrFunc!B:B,""))</f>
        <v/>
      </c>
      <c r="P267" t="str">
        <f t="shared" si="26"/>
        <v>UNRESERVED</v>
      </c>
      <c r="Q267" t="str">
        <f t="shared" si="27"/>
        <v>static const String^ TOK_MATCHING = "MATCHING";</v>
      </c>
      <c r="R267" t="str">
        <f t="shared" si="28"/>
        <v>static const int TOK_MATCHING = 561;</v>
      </c>
      <c r="S267" t="str">
        <f t="shared" si="29"/>
        <v>// _Tokens-&gt;Add((String^)GramVals::TOK_MATCHING, gcnew Token(GramKeys::TOK_MATCHING, EnumTokenCategory::UNRESERVED,BARE_LABEL, i++));</v>
      </c>
    </row>
    <row r="268" spans="1:19" x14ac:dyDescent="0.25">
      <c r="A268" s="3" t="s">
        <v>1633</v>
      </c>
      <c r="B268" s="5" t="s">
        <v>1195</v>
      </c>
      <c r="C268" s="3" t="s">
        <v>2159</v>
      </c>
      <c r="D268" s="3" t="s">
        <v>881</v>
      </c>
      <c r="F268" t="str">
        <f t="shared" si="24"/>
        <v>MAXIMUM</v>
      </c>
      <c r="G268" t="s">
        <v>3735</v>
      </c>
      <c r="I268" s="3" t="str">
        <f>IF(_xlfn.XLOOKUP(F268,PgSqlRaw!B:B,PgSqlRaw!E:E,"") = "",_xlfn.XLOOKUP(G268,PgSqlRaw!B:B,PgSqlRaw!E:E,""),_xlfn.XLOOKUP(F268,PgSqlRaw!B:B,PgSqlRaw!E:E,""))</f>
        <v/>
      </c>
      <c r="J268" t="str">
        <f>IF(_xlfn.XLOOKUP(F268,PgSqlRaw!B:B,PgSqlRaw!F:F,"") = "", _xlfn.XLOOKUP(G268,PgSqlRaw!B:B,PgSqlRaw!F:F,""), _xlfn.XLOOKUP(F268,PgSqlRaw!B:B,PgSqlRaw!F:F,""))</f>
        <v/>
      </c>
      <c r="K268" t="str">
        <f t="shared" si="25"/>
        <v>BARE_LABEL</v>
      </c>
      <c r="L268" t="str">
        <f>IF(_xlfn.XLOOKUP(F268,PhpReserved!A:A,PhpReserved!B:B,"") = "", _xlfn.XLOOKUP(G268,PhpReserved!A:A,PhpReserved!B:B,""),_xlfn.XLOOKUP(F268,PhpReserved!A:A,PhpReserved!B:B,""))</f>
        <v/>
      </c>
      <c r="M268" t="str">
        <f>IF(_xlfn.XLOOKUP(F268,PhpFunctions!A:A,PhpFunctions!B:B,"") =  "", _xlfn.XLOOKUP(G268,PhpFunctions!A:A,PhpFunctions!B:B,""), _xlfn.XLOOKUP(F268,PhpFunctions!A:A,PhpFunctions!B:B,""))</f>
        <v/>
      </c>
      <c r="N268" t="str">
        <f>IF(_xlfn.XLOOKUP(F268,PhpParamFunc!A:A,PhpParamFunc!B:B,"") = "", _xlfn.XLOOKUP(G268,PhpParamFunc!A:A,PhpParamFunc!B:B,""), _xlfn.XLOOKUP(F268,PhpParamFunc!A:A,PhpParamFunc!B:B,""))</f>
        <v/>
      </c>
      <c r="O268" t="str">
        <f>IF(_xlfn.XLOOKUP(F268,PhpAggrFunc!A:A,PhpAggrFunc!B:B,"") = "", _xlfn.XLOOKUP(G268,PhpAggrFunc!A:A,PhpAggrFunc!B:B,""), _xlfn.XLOOKUP(F268,PhpAggrFunc!A:A,PhpAggrFunc!B:B,""))</f>
        <v/>
      </c>
      <c r="P268" t="str">
        <f t="shared" si="26"/>
        <v>UNRESERVED</v>
      </c>
      <c r="Q268" t="str">
        <f t="shared" si="27"/>
        <v>static const String^ TOK_MAXIMUM = "MAX";</v>
      </c>
      <c r="R268" t="str">
        <f t="shared" si="28"/>
        <v>static const int TOK_MAXIMUM = 354;</v>
      </c>
      <c r="S268" t="str">
        <f t="shared" si="29"/>
        <v>// _Tokens-&gt;Add((String^)GramVals::TOK_MAXIMUM, gcnew Token(GramKeys::TOK_MAXIMUM, EnumTokenCategory::UNRESERVED,BARE_LABEL, i++));</v>
      </c>
    </row>
    <row r="269" spans="1:19" x14ac:dyDescent="0.25">
      <c r="A269" s="3" t="s">
        <v>1634</v>
      </c>
      <c r="B269" s="5" t="s">
        <v>1196</v>
      </c>
      <c r="C269" s="3" t="s">
        <v>2160</v>
      </c>
      <c r="D269" s="3" t="s">
        <v>2423</v>
      </c>
      <c r="F269" t="str">
        <f t="shared" si="24"/>
        <v>MAXVALUE</v>
      </c>
      <c r="G269" t="s">
        <v>3452</v>
      </c>
      <c r="I269" s="3" t="str">
        <f>IF(_xlfn.XLOOKUP(F269,PgSqlRaw!B:B,PgSqlRaw!E:E,"") = "",_xlfn.XLOOKUP(G269,PgSqlRaw!B:B,PgSqlRaw!E:E,""),_xlfn.XLOOKUP(F269,PgSqlRaw!B:B,PgSqlRaw!E:E,""))</f>
        <v/>
      </c>
      <c r="J269" t="str">
        <f>IF(_xlfn.XLOOKUP(F269,PgSqlRaw!B:B,PgSqlRaw!F:F,"") = "", _xlfn.XLOOKUP(G269,PgSqlRaw!B:B,PgSqlRaw!F:F,""), _xlfn.XLOOKUP(F269,PgSqlRaw!B:B,PgSqlRaw!F:F,""))</f>
        <v>BARE_LABEL</v>
      </c>
      <c r="K269" t="str">
        <f t="shared" si="25"/>
        <v>BARE_LABEL</v>
      </c>
      <c r="L269" t="str">
        <f>IF(_xlfn.XLOOKUP(F269,PhpReserved!A:A,PhpReserved!B:B,"") = "", _xlfn.XLOOKUP(G269,PhpReserved!A:A,PhpReserved!B:B,""),_xlfn.XLOOKUP(F269,PhpReserved!A:A,PhpReserved!B:B,""))</f>
        <v/>
      </c>
      <c r="M269" t="str">
        <f>IF(_xlfn.XLOOKUP(F269,PhpFunctions!A:A,PhpFunctions!B:B,"") =  "", _xlfn.XLOOKUP(G269,PhpFunctions!A:A,PhpFunctions!B:B,""), _xlfn.XLOOKUP(F269,PhpFunctions!A:A,PhpFunctions!B:B,""))</f>
        <v/>
      </c>
      <c r="N269" t="str">
        <f>IF(_xlfn.XLOOKUP(F269,PhpParamFunc!A:A,PhpParamFunc!B:B,"") = "", _xlfn.XLOOKUP(G269,PhpParamFunc!A:A,PhpParamFunc!B:B,""), _xlfn.XLOOKUP(F269,PhpParamFunc!A:A,PhpParamFunc!B:B,""))</f>
        <v/>
      </c>
      <c r="O269" t="str">
        <f>IF(_xlfn.XLOOKUP(F269,PhpAggrFunc!A:A,PhpAggrFunc!B:B,"") = "", _xlfn.XLOOKUP(G269,PhpAggrFunc!A:A,PhpAggrFunc!B:B,""), _xlfn.XLOOKUP(F269,PhpAggrFunc!A:A,PhpAggrFunc!B:B,""))</f>
        <v/>
      </c>
      <c r="P269" t="str">
        <f t="shared" si="26"/>
        <v>UNRESERVED</v>
      </c>
      <c r="Q269" t="str">
        <f t="shared" si="27"/>
        <v>static const String^ TOK_MAXVALUE = "MAXVALUE";</v>
      </c>
      <c r="R269" t="str">
        <f t="shared" si="28"/>
        <v>static const int TOK_MAXVALUE = 562;</v>
      </c>
      <c r="S269" t="str">
        <f t="shared" si="29"/>
        <v>// _Tokens-&gt;Add((String^)GramVals::TOK_MAXVALUE, gcnew Token(GramKeys::TOK_MAXVALUE, EnumTokenCategory::UNRESERVED,BARE_LABEL, i++));</v>
      </c>
    </row>
    <row r="270" spans="1:19" x14ac:dyDescent="0.25">
      <c r="A270" s="3" t="s">
        <v>1635</v>
      </c>
      <c r="B270" s="5" t="s">
        <v>1197</v>
      </c>
      <c r="C270" s="3" t="s">
        <v>2161</v>
      </c>
      <c r="D270" s="3" t="s">
        <v>881</v>
      </c>
      <c r="F270" t="str">
        <f t="shared" si="24"/>
        <v>MERGE</v>
      </c>
      <c r="G270" t="s">
        <v>3453</v>
      </c>
      <c r="I270" s="3" t="str">
        <f>IF(_xlfn.XLOOKUP(F270,PgSqlRaw!B:B,PgSqlRaw!E:E,"") = "",_xlfn.XLOOKUP(G270,PgSqlRaw!B:B,PgSqlRaw!E:E,""),_xlfn.XLOOKUP(F270,PgSqlRaw!B:B,PgSqlRaw!E:E,""))</f>
        <v/>
      </c>
      <c r="J270" t="str">
        <f>IF(_xlfn.XLOOKUP(F270,PgSqlRaw!B:B,PgSqlRaw!F:F,"") = "", _xlfn.XLOOKUP(G270,PgSqlRaw!B:B,PgSqlRaw!F:F,""), _xlfn.XLOOKUP(F270,PgSqlRaw!B:B,PgSqlRaw!F:F,""))</f>
        <v>BARE_LABEL</v>
      </c>
      <c r="K270" t="str">
        <f t="shared" si="25"/>
        <v>BARE_LABEL</v>
      </c>
      <c r="L270" t="str">
        <f>IF(_xlfn.XLOOKUP(F270,PhpReserved!A:A,PhpReserved!B:B,"") = "", _xlfn.XLOOKUP(G270,PhpReserved!A:A,PhpReserved!B:B,""),_xlfn.XLOOKUP(F270,PhpReserved!A:A,PhpReserved!B:B,""))</f>
        <v/>
      </c>
      <c r="M270" t="str">
        <f>IF(_xlfn.XLOOKUP(F270,PhpFunctions!A:A,PhpFunctions!B:B,"") =  "", _xlfn.XLOOKUP(G270,PhpFunctions!A:A,PhpFunctions!B:B,""), _xlfn.XLOOKUP(F270,PhpFunctions!A:A,PhpFunctions!B:B,""))</f>
        <v/>
      </c>
      <c r="N270" t="str">
        <f>IF(_xlfn.XLOOKUP(F270,PhpParamFunc!A:A,PhpParamFunc!B:B,"") = "", _xlfn.XLOOKUP(G270,PhpParamFunc!A:A,PhpParamFunc!B:B,""), _xlfn.XLOOKUP(F270,PhpParamFunc!A:A,PhpParamFunc!B:B,""))</f>
        <v/>
      </c>
      <c r="O270" t="str">
        <f>IF(_xlfn.XLOOKUP(F270,PhpAggrFunc!A:A,PhpAggrFunc!B:B,"") = "", _xlfn.XLOOKUP(G270,PhpAggrFunc!A:A,PhpAggrFunc!B:B,""), _xlfn.XLOOKUP(F270,PhpAggrFunc!A:A,PhpAggrFunc!B:B,""))</f>
        <v/>
      </c>
      <c r="P270" t="str">
        <f t="shared" si="26"/>
        <v>UNRESERVED</v>
      </c>
      <c r="Q270" t="str">
        <f t="shared" si="27"/>
        <v>static const String^ TOK_MERGE = "MERGE";</v>
      </c>
      <c r="R270" t="str">
        <f t="shared" si="28"/>
        <v>static const int TOK_MERGE = 355;</v>
      </c>
      <c r="S270" t="str">
        <f t="shared" si="29"/>
        <v>// _Tokens-&gt;Add((String^)GramVals::TOK_MERGE, gcnew Token(GramKeys::TOK_MERGE, EnumTokenCategory::UNRESERVED,BARE_LABEL, i++));</v>
      </c>
    </row>
    <row r="271" spans="1:19" x14ac:dyDescent="0.25">
      <c r="A271" s="3" t="s">
        <v>1636</v>
      </c>
      <c r="B271" s="5">
        <v>705</v>
      </c>
      <c r="C271" s="3" t="s">
        <v>2162</v>
      </c>
      <c r="D271" s="3" t="s">
        <v>2423</v>
      </c>
      <c r="F271" t="str">
        <f t="shared" si="24"/>
        <v>MESSAGE</v>
      </c>
      <c r="G271" t="s">
        <v>3736</v>
      </c>
      <c r="I271" s="3" t="str">
        <f>IF(_xlfn.XLOOKUP(F271,PgSqlRaw!B:B,PgSqlRaw!E:E,"") = "",_xlfn.XLOOKUP(G271,PgSqlRaw!B:B,PgSqlRaw!E:E,""),_xlfn.XLOOKUP(F271,PgSqlRaw!B:B,PgSqlRaw!E:E,""))</f>
        <v/>
      </c>
      <c r="J271" t="str">
        <f>IF(_xlfn.XLOOKUP(F271,PgSqlRaw!B:B,PgSqlRaw!F:F,"") = "", _xlfn.XLOOKUP(G271,PgSqlRaw!B:B,PgSqlRaw!F:F,""), _xlfn.XLOOKUP(F271,PgSqlRaw!B:B,PgSqlRaw!F:F,""))</f>
        <v/>
      </c>
      <c r="K271" t="str">
        <f t="shared" si="25"/>
        <v>BARE_LABEL</v>
      </c>
      <c r="L271" t="str">
        <f>IF(_xlfn.XLOOKUP(F271,PhpReserved!A:A,PhpReserved!B:B,"") = "", _xlfn.XLOOKUP(G271,PhpReserved!A:A,PhpReserved!B:B,""),_xlfn.XLOOKUP(F271,PhpReserved!A:A,PhpReserved!B:B,""))</f>
        <v/>
      </c>
      <c r="M271" t="str">
        <f>IF(_xlfn.XLOOKUP(F271,PhpFunctions!A:A,PhpFunctions!B:B,"") =  "", _xlfn.XLOOKUP(G271,PhpFunctions!A:A,PhpFunctions!B:B,""), _xlfn.XLOOKUP(F271,PhpFunctions!A:A,PhpFunctions!B:B,""))</f>
        <v/>
      </c>
      <c r="N271" t="str">
        <f>IF(_xlfn.XLOOKUP(F271,PhpParamFunc!A:A,PhpParamFunc!B:B,"") = "", _xlfn.XLOOKUP(G271,PhpParamFunc!A:A,PhpParamFunc!B:B,""), _xlfn.XLOOKUP(F271,PhpParamFunc!A:A,PhpParamFunc!B:B,""))</f>
        <v/>
      </c>
      <c r="O271" t="str">
        <f>IF(_xlfn.XLOOKUP(F271,PhpAggrFunc!A:A,PhpAggrFunc!B:B,"") = "", _xlfn.XLOOKUP(G271,PhpAggrFunc!A:A,PhpAggrFunc!B:B,""), _xlfn.XLOOKUP(F271,PhpAggrFunc!A:A,PhpAggrFunc!B:B,""))</f>
        <v/>
      </c>
      <c r="P271" t="str">
        <f t="shared" si="26"/>
        <v>UNRESERVED</v>
      </c>
      <c r="Q271" t="str">
        <f t="shared" si="27"/>
        <v>static const String^ TOK_MESSAGE = "MESSAGE";</v>
      </c>
      <c r="R271" t="str">
        <f t="shared" si="28"/>
        <v>static const int TOK_MESSAGE = 705;</v>
      </c>
      <c r="S271" t="str">
        <f t="shared" si="29"/>
        <v>// _Tokens-&gt;Add((String^)GramVals::TOK_MESSAGE, gcnew Token(GramKeys::TOK_MESSAGE, EnumTokenCategory::UNRESERVED,BARE_LABEL, i++));</v>
      </c>
    </row>
    <row r="272" spans="1:19" x14ac:dyDescent="0.25">
      <c r="A272" s="3" t="s">
        <v>1637</v>
      </c>
      <c r="B272" s="5" t="s">
        <v>1198</v>
      </c>
      <c r="C272" s="3" t="s">
        <v>2163</v>
      </c>
      <c r="D272" s="3" t="s">
        <v>2423</v>
      </c>
      <c r="F272" t="str">
        <f t="shared" si="24"/>
        <v>MIDDLENAME</v>
      </c>
      <c r="G272" t="s">
        <v>3737</v>
      </c>
      <c r="I272" s="3" t="str">
        <f>IF(_xlfn.XLOOKUP(F272,PgSqlRaw!B:B,PgSqlRaw!E:E,"") = "",_xlfn.XLOOKUP(G272,PgSqlRaw!B:B,PgSqlRaw!E:E,""),_xlfn.XLOOKUP(F272,PgSqlRaw!B:B,PgSqlRaw!E:E,""))</f>
        <v/>
      </c>
      <c r="J272" t="str">
        <f>IF(_xlfn.XLOOKUP(F272,PgSqlRaw!B:B,PgSqlRaw!F:F,"") = "", _xlfn.XLOOKUP(G272,PgSqlRaw!B:B,PgSqlRaw!F:F,""), _xlfn.XLOOKUP(F272,PgSqlRaw!B:B,PgSqlRaw!F:F,""))</f>
        <v/>
      </c>
      <c r="K272" t="str">
        <f t="shared" si="25"/>
        <v>BARE_LABEL</v>
      </c>
      <c r="L272" t="str">
        <f>IF(_xlfn.XLOOKUP(F272,PhpReserved!A:A,PhpReserved!B:B,"") = "", _xlfn.XLOOKUP(G272,PhpReserved!A:A,PhpReserved!B:B,""),_xlfn.XLOOKUP(F272,PhpReserved!A:A,PhpReserved!B:B,""))</f>
        <v/>
      </c>
      <c r="M272" t="str">
        <f>IF(_xlfn.XLOOKUP(F272,PhpFunctions!A:A,PhpFunctions!B:B,"") =  "", _xlfn.XLOOKUP(G272,PhpFunctions!A:A,PhpFunctions!B:B,""), _xlfn.XLOOKUP(F272,PhpFunctions!A:A,PhpFunctions!B:B,""))</f>
        <v/>
      </c>
      <c r="N272" t="str">
        <f>IF(_xlfn.XLOOKUP(F272,PhpParamFunc!A:A,PhpParamFunc!B:B,"") = "", _xlfn.XLOOKUP(G272,PhpParamFunc!A:A,PhpParamFunc!B:B,""), _xlfn.XLOOKUP(F272,PhpParamFunc!A:A,PhpParamFunc!B:B,""))</f>
        <v/>
      </c>
      <c r="O272" t="str">
        <f>IF(_xlfn.XLOOKUP(F272,PhpAggrFunc!A:A,PhpAggrFunc!B:B,"") = "", _xlfn.XLOOKUP(G272,PhpAggrFunc!A:A,PhpAggrFunc!B:B,""), _xlfn.XLOOKUP(F272,PhpAggrFunc!A:A,PhpAggrFunc!B:B,""))</f>
        <v/>
      </c>
      <c r="P272" t="str">
        <f t="shared" si="26"/>
        <v>UNRESERVED</v>
      </c>
      <c r="Q272" t="str">
        <f t="shared" si="27"/>
        <v>static const String^ TOK_MIDDLENAME = "MIDDLENAME";</v>
      </c>
      <c r="R272" t="str">
        <f t="shared" si="28"/>
        <v>static const int TOK_MIDDLENAME = 595;</v>
      </c>
      <c r="S272" t="str">
        <f t="shared" si="29"/>
        <v>// _Tokens-&gt;Add((String^)GramVals::TOK_MIDDLENAME, gcnew Token(GramKeys::TOK_MIDDLENAME, EnumTokenCategory::UNRESERVED,BARE_LABEL, i++));</v>
      </c>
    </row>
    <row r="273" spans="1:19" x14ac:dyDescent="0.25">
      <c r="A273" s="3" t="s">
        <v>1638</v>
      </c>
      <c r="B273" s="5" t="s">
        <v>1199</v>
      </c>
      <c r="C273" s="3" t="s">
        <v>2164</v>
      </c>
      <c r="D273" s="3" t="s">
        <v>2423</v>
      </c>
      <c r="F273" t="str">
        <f t="shared" si="24"/>
        <v>MILLISECOND</v>
      </c>
      <c r="G273" t="s">
        <v>3738</v>
      </c>
      <c r="I273" s="3" t="str">
        <f>IF(_xlfn.XLOOKUP(F273,PgSqlRaw!B:B,PgSqlRaw!E:E,"") = "",_xlfn.XLOOKUP(G273,PgSqlRaw!B:B,PgSqlRaw!E:E,""),_xlfn.XLOOKUP(F273,PgSqlRaw!B:B,PgSqlRaw!E:E,""))</f>
        <v/>
      </c>
      <c r="J273" t="str">
        <f>IF(_xlfn.XLOOKUP(F273,PgSqlRaw!B:B,PgSqlRaw!F:F,"") = "", _xlfn.XLOOKUP(G273,PgSqlRaw!B:B,PgSqlRaw!F:F,""), _xlfn.XLOOKUP(F273,PgSqlRaw!B:B,PgSqlRaw!F:F,""))</f>
        <v/>
      </c>
      <c r="K273" t="str">
        <f t="shared" si="25"/>
        <v>BARE_LABEL</v>
      </c>
      <c r="L273" t="str">
        <f>IF(_xlfn.XLOOKUP(F273,PhpReserved!A:A,PhpReserved!B:B,"") = "", _xlfn.XLOOKUP(G273,PhpReserved!A:A,PhpReserved!B:B,""),_xlfn.XLOOKUP(F273,PhpReserved!A:A,PhpReserved!B:B,""))</f>
        <v/>
      </c>
      <c r="M273" t="str">
        <f>IF(_xlfn.XLOOKUP(F273,PhpFunctions!A:A,PhpFunctions!B:B,"") =  "", _xlfn.XLOOKUP(G273,PhpFunctions!A:A,PhpFunctions!B:B,""), _xlfn.XLOOKUP(F273,PhpFunctions!A:A,PhpFunctions!B:B,""))</f>
        <v/>
      </c>
      <c r="N273" t="str">
        <f>IF(_xlfn.XLOOKUP(F273,PhpParamFunc!A:A,PhpParamFunc!B:B,"") = "", _xlfn.XLOOKUP(G273,PhpParamFunc!A:A,PhpParamFunc!B:B,""), _xlfn.XLOOKUP(F273,PhpParamFunc!A:A,PhpParamFunc!B:B,""))</f>
        <v/>
      </c>
      <c r="O273" t="str">
        <f>IF(_xlfn.XLOOKUP(F273,PhpAggrFunc!A:A,PhpAggrFunc!B:B,"") = "", _xlfn.XLOOKUP(G273,PhpAggrFunc!A:A,PhpAggrFunc!B:B,""), _xlfn.XLOOKUP(F273,PhpAggrFunc!A:A,PhpAggrFunc!B:B,""))</f>
        <v/>
      </c>
      <c r="P273" t="str">
        <f t="shared" si="26"/>
        <v>UNRESERVED</v>
      </c>
      <c r="Q273" t="str">
        <f t="shared" si="27"/>
        <v>static const String^ TOK_MILLISECOND = "MILLISECOND";</v>
      </c>
      <c r="R273" t="str">
        <f t="shared" si="28"/>
        <v>static const int TOK_MILLISECOND = 563;</v>
      </c>
      <c r="S273" t="str">
        <f t="shared" si="29"/>
        <v>// _Tokens-&gt;Add((String^)GramVals::TOK_MILLISECOND, gcnew Token(GramKeys::TOK_MILLISECOND, EnumTokenCategory::UNRESERVED,BARE_LABEL, i++));</v>
      </c>
    </row>
    <row r="274" spans="1:19" x14ac:dyDescent="0.25">
      <c r="A274" s="3" t="s">
        <v>1639</v>
      </c>
      <c r="B274" s="5" t="s">
        <v>1200</v>
      </c>
      <c r="C274" s="3" t="s">
        <v>2165</v>
      </c>
      <c r="D274" s="3" t="s">
        <v>881</v>
      </c>
      <c r="F274" t="str">
        <f t="shared" si="24"/>
        <v>MINIMUM</v>
      </c>
      <c r="G274" t="s">
        <v>3739</v>
      </c>
      <c r="I274" s="3" t="str">
        <f>IF(_xlfn.XLOOKUP(F274,PgSqlRaw!B:B,PgSqlRaw!E:E,"") = "",_xlfn.XLOOKUP(G274,PgSqlRaw!B:B,PgSqlRaw!E:E,""),_xlfn.XLOOKUP(F274,PgSqlRaw!B:B,PgSqlRaw!E:E,""))</f>
        <v/>
      </c>
      <c r="J274" t="str">
        <f>IF(_xlfn.XLOOKUP(F274,PgSqlRaw!B:B,PgSqlRaw!F:F,"") = "", _xlfn.XLOOKUP(G274,PgSqlRaw!B:B,PgSqlRaw!F:F,""), _xlfn.XLOOKUP(F274,PgSqlRaw!B:B,PgSqlRaw!F:F,""))</f>
        <v/>
      </c>
      <c r="K274" t="str">
        <f t="shared" si="25"/>
        <v>BARE_LABEL</v>
      </c>
      <c r="L274" t="str">
        <f>IF(_xlfn.XLOOKUP(F274,PhpReserved!A:A,PhpReserved!B:B,"") = "", _xlfn.XLOOKUP(G274,PhpReserved!A:A,PhpReserved!B:B,""),_xlfn.XLOOKUP(F274,PhpReserved!A:A,PhpReserved!B:B,""))</f>
        <v/>
      </c>
      <c r="M274" t="str">
        <f>IF(_xlfn.XLOOKUP(F274,PhpFunctions!A:A,PhpFunctions!B:B,"") =  "", _xlfn.XLOOKUP(G274,PhpFunctions!A:A,PhpFunctions!B:B,""), _xlfn.XLOOKUP(F274,PhpFunctions!A:A,PhpFunctions!B:B,""))</f>
        <v/>
      </c>
      <c r="N274" t="str">
        <f>IF(_xlfn.XLOOKUP(F274,PhpParamFunc!A:A,PhpParamFunc!B:B,"") = "", _xlfn.XLOOKUP(G274,PhpParamFunc!A:A,PhpParamFunc!B:B,""), _xlfn.XLOOKUP(F274,PhpParamFunc!A:A,PhpParamFunc!B:B,""))</f>
        <v/>
      </c>
      <c r="O274" t="str">
        <f>IF(_xlfn.XLOOKUP(F274,PhpAggrFunc!A:A,PhpAggrFunc!B:B,"") = "", _xlfn.XLOOKUP(G274,PhpAggrFunc!A:A,PhpAggrFunc!B:B,""), _xlfn.XLOOKUP(F274,PhpAggrFunc!A:A,PhpAggrFunc!B:B,""))</f>
        <v/>
      </c>
      <c r="P274" t="str">
        <f t="shared" si="26"/>
        <v>UNRESERVED</v>
      </c>
      <c r="Q274" t="str">
        <f t="shared" si="27"/>
        <v>static const String^ TOK_MINIMUM = "MIN";</v>
      </c>
      <c r="R274" t="str">
        <f t="shared" si="28"/>
        <v>static const int TOK_MINIMUM = 356;</v>
      </c>
      <c r="S274" t="str">
        <f t="shared" si="29"/>
        <v>// _Tokens-&gt;Add((String^)GramVals::TOK_MINIMUM, gcnew Token(GramKeys::TOK_MINIMUM, EnumTokenCategory::UNRESERVED,BARE_LABEL, i++));</v>
      </c>
    </row>
    <row r="275" spans="1:19" x14ac:dyDescent="0.25">
      <c r="A275" s="3" t="s">
        <v>1640</v>
      </c>
      <c r="B275" s="5" t="s">
        <v>1201</v>
      </c>
      <c r="C275" s="3" t="s">
        <v>2166</v>
      </c>
      <c r="D275" s="3" t="s">
        <v>881</v>
      </c>
      <c r="F275" t="str">
        <f t="shared" si="24"/>
        <v>MINUTE</v>
      </c>
      <c r="G275" t="s">
        <v>2999</v>
      </c>
      <c r="I275" s="3" t="str">
        <f>IF(_xlfn.XLOOKUP(F275,PgSqlRaw!B:B,PgSqlRaw!E:E,"") = "",_xlfn.XLOOKUP(G275,PgSqlRaw!B:B,PgSqlRaw!E:E,""),_xlfn.XLOOKUP(F275,PgSqlRaw!B:B,PgSqlRaw!E:E,""))</f>
        <v/>
      </c>
      <c r="J275" t="str">
        <f>IF(_xlfn.XLOOKUP(F275,PgSqlRaw!B:B,PgSqlRaw!F:F,"") = "", _xlfn.XLOOKUP(G275,PgSqlRaw!B:B,PgSqlRaw!F:F,""), _xlfn.XLOOKUP(F275,PgSqlRaw!B:B,PgSqlRaw!F:F,""))</f>
        <v>AS_LABEL</v>
      </c>
      <c r="K275" t="str">
        <f t="shared" si="25"/>
        <v>AS_LABEL</v>
      </c>
      <c r="L275" t="str">
        <f>IF(_xlfn.XLOOKUP(F275,PhpReserved!A:A,PhpReserved!B:B,"") = "", _xlfn.XLOOKUP(G275,PhpReserved!A:A,PhpReserved!B:B,""),_xlfn.XLOOKUP(F275,PhpReserved!A:A,PhpReserved!B:B,""))</f>
        <v>RESERVED</v>
      </c>
      <c r="M275" t="str">
        <f>IF(_xlfn.XLOOKUP(F275,PhpFunctions!A:A,PhpFunctions!B:B,"") =  "", _xlfn.XLOOKUP(G275,PhpFunctions!A:A,PhpFunctions!B:B,""), _xlfn.XLOOKUP(F275,PhpFunctions!A:A,PhpFunctions!B:B,""))</f>
        <v>FUNCTION</v>
      </c>
      <c r="N275" t="str">
        <f>IF(_xlfn.XLOOKUP(F275,PhpParamFunc!A:A,PhpParamFunc!B:B,"") = "", _xlfn.XLOOKUP(G275,PhpParamFunc!A:A,PhpParamFunc!B:B,""), _xlfn.XLOOKUP(F275,PhpParamFunc!A:A,PhpParamFunc!B:B,""))</f>
        <v>PARAM_FUNCTION</v>
      </c>
      <c r="O275" t="str">
        <f>IF(_xlfn.XLOOKUP(F275,PhpAggrFunc!A:A,PhpAggrFunc!B:B,"") = "", _xlfn.XLOOKUP(G275,PhpAggrFunc!A:A,PhpAggrFunc!B:B,""), _xlfn.XLOOKUP(F275,PhpAggrFunc!A:A,PhpAggrFunc!B:B,""))</f>
        <v/>
      </c>
      <c r="P275" t="str">
        <f t="shared" si="26"/>
        <v>PARAM_FUNCTION</v>
      </c>
      <c r="Q275" t="str">
        <f t="shared" si="27"/>
        <v>static const String^ TOK_MINUTE = "MINUTE";</v>
      </c>
      <c r="R275" t="str">
        <f t="shared" si="28"/>
        <v>static const int TOK_MINUTE = 458;</v>
      </c>
      <c r="S275" t="str">
        <f t="shared" si="29"/>
        <v>_Tokens-&gt;Add((String^)GramVals::TOK_MINUTE, gcnew Token(GramKeys::TOK_MINUTE, EnumTokenCategory::PARAM_FUNCTION,AS_LABEL, i++));</v>
      </c>
    </row>
    <row r="276" spans="1:19" x14ac:dyDescent="0.25">
      <c r="A276" s="3" t="s">
        <v>1641</v>
      </c>
      <c r="B276" s="5" t="s">
        <v>1202</v>
      </c>
      <c r="C276" s="3" t="s">
        <v>2167</v>
      </c>
      <c r="D276" s="3" t="s">
        <v>2423</v>
      </c>
      <c r="F276" t="str">
        <f t="shared" si="24"/>
        <v>MINVALUE</v>
      </c>
      <c r="G276" t="s">
        <v>3455</v>
      </c>
      <c r="I276" s="3" t="str">
        <f>IF(_xlfn.XLOOKUP(F276,PgSqlRaw!B:B,PgSqlRaw!E:E,"") = "",_xlfn.XLOOKUP(G276,PgSqlRaw!B:B,PgSqlRaw!E:E,""),_xlfn.XLOOKUP(F276,PgSqlRaw!B:B,PgSqlRaw!E:E,""))</f>
        <v/>
      </c>
      <c r="J276" t="str">
        <f>IF(_xlfn.XLOOKUP(F276,PgSqlRaw!B:B,PgSqlRaw!F:F,"") = "", _xlfn.XLOOKUP(G276,PgSqlRaw!B:B,PgSqlRaw!F:F,""), _xlfn.XLOOKUP(F276,PgSqlRaw!B:B,PgSqlRaw!F:F,""))</f>
        <v>BARE_LABEL</v>
      </c>
      <c r="K276" t="str">
        <f t="shared" si="25"/>
        <v>BARE_LABEL</v>
      </c>
      <c r="L276" t="str">
        <f>IF(_xlfn.XLOOKUP(F276,PhpReserved!A:A,PhpReserved!B:B,"") = "", _xlfn.XLOOKUP(G276,PhpReserved!A:A,PhpReserved!B:B,""),_xlfn.XLOOKUP(F276,PhpReserved!A:A,PhpReserved!B:B,""))</f>
        <v/>
      </c>
      <c r="M276" t="str">
        <f>IF(_xlfn.XLOOKUP(F276,PhpFunctions!A:A,PhpFunctions!B:B,"") =  "", _xlfn.XLOOKUP(G276,PhpFunctions!A:A,PhpFunctions!B:B,""), _xlfn.XLOOKUP(F276,PhpFunctions!A:A,PhpFunctions!B:B,""))</f>
        <v/>
      </c>
      <c r="N276" t="str">
        <f>IF(_xlfn.XLOOKUP(F276,PhpParamFunc!A:A,PhpParamFunc!B:B,"") = "", _xlfn.XLOOKUP(G276,PhpParamFunc!A:A,PhpParamFunc!B:B,""), _xlfn.XLOOKUP(F276,PhpParamFunc!A:A,PhpParamFunc!B:B,""))</f>
        <v/>
      </c>
      <c r="O276" t="str">
        <f>IF(_xlfn.XLOOKUP(F276,PhpAggrFunc!A:A,PhpAggrFunc!B:B,"") = "", _xlfn.XLOOKUP(G276,PhpAggrFunc!A:A,PhpAggrFunc!B:B,""), _xlfn.XLOOKUP(F276,PhpAggrFunc!A:A,PhpAggrFunc!B:B,""))</f>
        <v/>
      </c>
      <c r="P276" t="str">
        <f t="shared" si="26"/>
        <v>UNRESERVED</v>
      </c>
      <c r="Q276" t="str">
        <f t="shared" si="27"/>
        <v>static const String^ TOK_MINVALUE = "MINVALUE";</v>
      </c>
      <c r="R276" t="str">
        <f t="shared" si="28"/>
        <v>static const int TOK_MINVALUE = 564;</v>
      </c>
      <c r="S276" t="str">
        <f t="shared" si="29"/>
        <v>// _Tokens-&gt;Add((String^)GramVals::TOK_MINVALUE, gcnew Token(GramKeys::TOK_MINVALUE, EnumTokenCategory::UNRESERVED,BARE_LABEL, i++));</v>
      </c>
    </row>
    <row r="277" spans="1:19" x14ac:dyDescent="0.25">
      <c r="A277" s="3" t="s">
        <v>1642</v>
      </c>
      <c r="B277" s="5" t="s">
        <v>1203</v>
      </c>
      <c r="C277" s="3" t="s">
        <v>2168</v>
      </c>
      <c r="D277" s="3" t="s">
        <v>2423</v>
      </c>
      <c r="F277" t="str">
        <f t="shared" si="24"/>
        <v>MOD</v>
      </c>
      <c r="G277" t="s">
        <v>3000</v>
      </c>
      <c r="I277" s="3" t="str">
        <f>IF(_xlfn.XLOOKUP(F277,PgSqlRaw!B:B,PgSqlRaw!E:E,"") = "",_xlfn.XLOOKUP(G277,PgSqlRaw!B:B,PgSqlRaw!E:E,""),_xlfn.XLOOKUP(F277,PgSqlRaw!B:B,PgSqlRaw!E:E,""))</f>
        <v/>
      </c>
      <c r="J277" t="str">
        <f>IF(_xlfn.XLOOKUP(F277,PgSqlRaw!B:B,PgSqlRaw!F:F,"") = "", _xlfn.XLOOKUP(G277,PgSqlRaw!B:B,PgSqlRaw!F:F,""), _xlfn.XLOOKUP(F277,PgSqlRaw!B:B,PgSqlRaw!F:F,""))</f>
        <v/>
      </c>
      <c r="K277" t="str">
        <f t="shared" si="25"/>
        <v>BARE_LABEL</v>
      </c>
      <c r="L277" t="str">
        <f>IF(_xlfn.XLOOKUP(F277,PhpReserved!A:A,PhpReserved!B:B,"") = "", _xlfn.XLOOKUP(G277,PhpReserved!A:A,PhpReserved!B:B,""),_xlfn.XLOOKUP(F277,PhpReserved!A:A,PhpReserved!B:B,""))</f>
        <v>RESERVED</v>
      </c>
      <c r="M277" t="str">
        <f>IF(_xlfn.XLOOKUP(F277,PhpFunctions!A:A,PhpFunctions!B:B,"") =  "", _xlfn.XLOOKUP(G277,PhpFunctions!A:A,PhpFunctions!B:B,""), _xlfn.XLOOKUP(F277,PhpFunctions!A:A,PhpFunctions!B:B,""))</f>
        <v>FUNCTION</v>
      </c>
      <c r="N277" t="str">
        <f>IF(_xlfn.XLOOKUP(F277,PhpParamFunc!A:A,PhpParamFunc!B:B,"") = "", _xlfn.XLOOKUP(G277,PhpParamFunc!A:A,PhpParamFunc!B:B,""), _xlfn.XLOOKUP(F277,PhpParamFunc!A:A,PhpParamFunc!B:B,""))</f>
        <v>PARAM_FUNCTION</v>
      </c>
      <c r="O277" t="str">
        <f>IF(_xlfn.XLOOKUP(F277,PhpAggrFunc!A:A,PhpAggrFunc!B:B,"") = "", _xlfn.XLOOKUP(G277,PhpAggrFunc!A:A,PhpAggrFunc!B:B,""), _xlfn.XLOOKUP(F277,PhpAggrFunc!A:A,PhpAggrFunc!B:B,""))</f>
        <v/>
      </c>
      <c r="P277" t="str">
        <f t="shared" si="26"/>
        <v>PARAM_FUNCTION</v>
      </c>
      <c r="Q277" t="str">
        <f t="shared" si="27"/>
        <v>static const String^ TOK_MOD = "MOD";</v>
      </c>
      <c r="R277" t="str">
        <f t="shared" si="28"/>
        <v>static const int TOK_MOD = 565;</v>
      </c>
      <c r="S277" t="str">
        <f t="shared" si="29"/>
        <v>_Tokens-&gt;Add((String^)GramVals::TOK_MOD, gcnew Token(GramKeys::TOK_MOD, EnumTokenCategory::PARAM_FUNCTION,BARE_LABEL, i++));</v>
      </c>
    </row>
    <row r="278" spans="1:19" x14ac:dyDescent="0.25">
      <c r="A278" s="3" t="s">
        <v>1643</v>
      </c>
      <c r="B278" s="5">
        <v>706</v>
      </c>
      <c r="C278" s="3" t="s">
        <v>2169</v>
      </c>
      <c r="D278" s="3" t="s">
        <v>2423</v>
      </c>
      <c r="F278" t="str">
        <f t="shared" si="24"/>
        <v>MODE</v>
      </c>
      <c r="G278" t="s">
        <v>3456</v>
      </c>
      <c r="I278" s="3" t="str">
        <f>IF(_xlfn.XLOOKUP(F278,PgSqlRaw!B:B,PgSqlRaw!E:E,"") = "",_xlfn.XLOOKUP(G278,PgSqlRaw!B:B,PgSqlRaw!E:E,""),_xlfn.XLOOKUP(F278,PgSqlRaw!B:B,PgSqlRaw!E:E,""))</f>
        <v/>
      </c>
      <c r="J278" t="str">
        <f>IF(_xlfn.XLOOKUP(F278,PgSqlRaw!B:B,PgSqlRaw!F:F,"") = "", _xlfn.XLOOKUP(G278,PgSqlRaw!B:B,PgSqlRaw!F:F,""), _xlfn.XLOOKUP(F278,PgSqlRaw!B:B,PgSqlRaw!F:F,""))</f>
        <v>BARE_LABEL</v>
      </c>
      <c r="K278" t="str">
        <f t="shared" si="25"/>
        <v>BARE_LABEL</v>
      </c>
      <c r="L278" t="str">
        <f>IF(_xlfn.XLOOKUP(F278,PhpReserved!A:A,PhpReserved!B:B,"") = "", _xlfn.XLOOKUP(G278,PhpReserved!A:A,PhpReserved!B:B,""),_xlfn.XLOOKUP(F278,PhpReserved!A:A,PhpReserved!B:B,""))</f>
        <v/>
      </c>
      <c r="M278" t="str">
        <f>IF(_xlfn.XLOOKUP(F278,PhpFunctions!A:A,PhpFunctions!B:B,"") =  "", _xlfn.XLOOKUP(G278,PhpFunctions!A:A,PhpFunctions!B:B,""), _xlfn.XLOOKUP(F278,PhpFunctions!A:A,PhpFunctions!B:B,""))</f>
        <v/>
      </c>
      <c r="N278" t="str">
        <f>IF(_xlfn.XLOOKUP(F278,PhpParamFunc!A:A,PhpParamFunc!B:B,"") = "", _xlfn.XLOOKUP(G278,PhpParamFunc!A:A,PhpParamFunc!B:B,""), _xlfn.XLOOKUP(F278,PhpParamFunc!A:A,PhpParamFunc!B:B,""))</f>
        <v/>
      </c>
      <c r="O278" t="str">
        <f>IF(_xlfn.XLOOKUP(F278,PhpAggrFunc!A:A,PhpAggrFunc!B:B,"") = "", _xlfn.XLOOKUP(G278,PhpAggrFunc!A:A,PhpAggrFunc!B:B,""), _xlfn.XLOOKUP(F278,PhpAggrFunc!A:A,PhpAggrFunc!B:B,""))</f>
        <v/>
      </c>
      <c r="P278" t="str">
        <f t="shared" si="26"/>
        <v>UNRESERVED</v>
      </c>
      <c r="Q278" t="str">
        <f t="shared" si="27"/>
        <v>static const String^ TOK_MODE = "MODE";</v>
      </c>
      <c r="R278" t="str">
        <f t="shared" si="28"/>
        <v>static const int TOK_MODE = 706;</v>
      </c>
      <c r="S278" t="str">
        <f t="shared" si="29"/>
        <v>// _Tokens-&gt;Add((String^)GramVals::TOK_MODE, gcnew Token(GramKeys::TOK_MODE, EnumTokenCategory::UNRESERVED,BARE_LABEL, i++));</v>
      </c>
    </row>
    <row r="279" spans="1:19" x14ac:dyDescent="0.25">
      <c r="A279" s="3" t="s">
        <v>1644</v>
      </c>
      <c r="B279" s="5" t="s">
        <v>1204</v>
      </c>
      <c r="C279" s="3" t="s">
        <v>2170</v>
      </c>
      <c r="D279" s="3" t="s">
        <v>2423</v>
      </c>
      <c r="F279" t="str">
        <f t="shared" si="24"/>
        <v>MODULE_NAME</v>
      </c>
      <c r="G279" t="s">
        <v>3740</v>
      </c>
      <c r="I279" s="3" t="str">
        <f>IF(_xlfn.XLOOKUP(F279,PgSqlRaw!B:B,PgSqlRaw!E:E,"") = "",_xlfn.XLOOKUP(G279,PgSqlRaw!B:B,PgSqlRaw!E:E,""),_xlfn.XLOOKUP(F279,PgSqlRaw!B:B,PgSqlRaw!E:E,""))</f>
        <v/>
      </c>
      <c r="J279" t="str">
        <f>IF(_xlfn.XLOOKUP(F279,PgSqlRaw!B:B,PgSqlRaw!F:F,"") = "", _xlfn.XLOOKUP(G279,PgSqlRaw!B:B,PgSqlRaw!F:F,""), _xlfn.XLOOKUP(F279,PgSqlRaw!B:B,PgSqlRaw!F:F,""))</f>
        <v/>
      </c>
      <c r="K279" t="str">
        <f t="shared" si="25"/>
        <v>BARE_LABEL</v>
      </c>
      <c r="L279" t="str">
        <f>IF(_xlfn.XLOOKUP(F279,PhpReserved!A:A,PhpReserved!B:B,"") = "", _xlfn.XLOOKUP(G279,PhpReserved!A:A,PhpReserved!B:B,""),_xlfn.XLOOKUP(F279,PhpReserved!A:A,PhpReserved!B:B,""))</f>
        <v/>
      </c>
      <c r="M279" t="str">
        <f>IF(_xlfn.XLOOKUP(F279,PhpFunctions!A:A,PhpFunctions!B:B,"") =  "", _xlfn.XLOOKUP(G279,PhpFunctions!A:A,PhpFunctions!B:B,""), _xlfn.XLOOKUP(F279,PhpFunctions!A:A,PhpFunctions!B:B,""))</f>
        <v/>
      </c>
      <c r="N279" t="str">
        <f>IF(_xlfn.XLOOKUP(F279,PhpParamFunc!A:A,PhpParamFunc!B:B,"") = "", _xlfn.XLOOKUP(G279,PhpParamFunc!A:A,PhpParamFunc!B:B,""), _xlfn.XLOOKUP(F279,PhpParamFunc!A:A,PhpParamFunc!B:B,""))</f>
        <v/>
      </c>
      <c r="O279" t="str">
        <f>IF(_xlfn.XLOOKUP(F279,PhpAggrFunc!A:A,PhpAggrFunc!B:B,"") = "", _xlfn.XLOOKUP(G279,PhpAggrFunc!A:A,PhpAggrFunc!B:B,""), _xlfn.XLOOKUP(F279,PhpAggrFunc!A:A,PhpAggrFunc!B:B,""))</f>
        <v/>
      </c>
      <c r="P279" t="str">
        <f t="shared" si="26"/>
        <v>UNRESERVED</v>
      </c>
      <c r="Q279" t="str">
        <f t="shared" si="27"/>
        <v>static const String^ TOK_MODULE_NAME = "MODULE_NAME";</v>
      </c>
      <c r="R279" t="str">
        <f t="shared" si="28"/>
        <v>static const int TOK_MODULE_NAME = 357;</v>
      </c>
      <c r="S279" t="str">
        <f t="shared" si="29"/>
        <v>// _Tokens-&gt;Add((String^)GramVals::TOK_MODULE_NAME, gcnew Token(GramKeys::TOK_MODULE_NAME, EnumTokenCategory::UNRESERVED,BARE_LABEL, i++));</v>
      </c>
    </row>
    <row r="280" spans="1:19" x14ac:dyDescent="0.25">
      <c r="A280" s="3" t="s">
        <v>1645</v>
      </c>
      <c r="B280" s="5" t="s">
        <v>1205</v>
      </c>
      <c r="C280" s="3" t="s">
        <v>2171</v>
      </c>
      <c r="D280" s="3" t="s">
        <v>881</v>
      </c>
      <c r="F280" t="str">
        <f t="shared" si="24"/>
        <v>MONTH</v>
      </c>
      <c r="G280" t="s">
        <v>3001</v>
      </c>
      <c r="I280" s="3" t="str">
        <f>IF(_xlfn.XLOOKUP(F280,PgSqlRaw!B:B,PgSqlRaw!E:E,"") = "",_xlfn.XLOOKUP(G280,PgSqlRaw!B:B,PgSqlRaw!E:E,""),_xlfn.XLOOKUP(F280,PgSqlRaw!B:B,PgSqlRaw!E:E,""))</f>
        <v/>
      </c>
      <c r="J280" t="str">
        <f>IF(_xlfn.XLOOKUP(F280,PgSqlRaw!B:B,PgSqlRaw!F:F,"") = "", _xlfn.XLOOKUP(G280,PgSqlRaw!B:B,PgSqlRaw!F:F,""), _xlfn.XLOOKUP(F280,PgSqlRaw!B:B,PgSqlRaw!F:F,""))</f>
        <v>AS_LABEL</v>
      </c>
      <c r="K280" t="str">
        <f t="shared" si="25"/>
        <v>AS_LABEL</v>
      </c>
      <c r="L280" t="str">
        <f>IF(_xlfn.XLOOKUP(F280,PhpReserved!A:A,PhpReserved!B:B,"") = "", _xlfn.XLOOKUP(G280,PhpReserved!A:A,PhpReserved!B:B,""),_xlfn.XLOOKUP(F280,PhpReserved!A:A,PhpReserved!B:B,""))</f>
        <v>RESERVED</v>
      </c>
      <c r="M280" t="str">
        <f>IF(_xlfn.XLOOKUP(F280,PhpFunctions!A:A,PhpFunctions!B:B,"") =  "", _xlfn.XLOOKUP(G280,PhpFunctions!A:A,PhpFunctions!B:B,""), _xlfn.XLOOKUP(F280,PhpFunctions!A:A,PhpFunctions!B:B,""))</f>
        <v>FUNCTION</v>
      </c>
      <c r="N280" t="str">
        <f>IF(_xlfn.XLOOKUP(F280,PhpParamFunc!A:A,PhpParamFunc!B:B,"") = "", _xlfn.XLOOKUP(G280,PhpParamFunc!A:A,PhpParamFunc!B:B,""), _xlfn.XLOOKUP(F280,PhpParamFunc!A:A,PhpParamFunc!B:B,""))</f>
        <v>PARAM_FUNCTION</v>
      </c>
      <c r="O280" t="str">
        <f>IF(_xlfn.XLOOKUP(F280,PhpAggrFunc!A:A,PhpAggrFunc!B:B,"") = "", _xlfn.XLOOKUP(G280,PhpAggrFunc!A:A,PhpAggrFunc!B:B,""), _xlfn.XLOOKUP(F280,PhpAggrFunc!A:A,PhpAggrFunc!B:B,""))</f>
        <v/>
      </c>
      <c r="P280" t="str">
        <f t="shared" si="26"/>
        <v>PARAM_FUNCTION</v>
      </c>
      <c r="Q280" t="str">
        <f t="shared" si="27"/>
        <v>static const String^ TOK_MONTH = "MONTH";</v>
      </c>
      <c r="R280" t="str">
        <f t="shared" si="28"/>
        <v>static const int TOK_MONTH = 455;</v>
      </c>
      <c r="S280" t="str">
        <f t="shared" si="29"/>
        <v>_Tokens-&gt;Add((String^)GramVals::TOK_MONTH, gcnew Token(GramKeys::TOK_MONTH, EnumTokenCategory::PARAM_FUNCTION,AS_LABEL, i++));</v>
      </c>
    </row>
    <row r="281" spans="1:19" x14ac:dyDescent="0.25">
      <c r="A281" s="3" t="s">
        <v>1646</v>
      </c>
      <c r="B281" s="5" t="s">
        <v>1206</v>
      </c>
      <c r="C281" s="3" t="s">
        <v>2172</v>
      </c>
      <c r="D281" s="3" t="s">
        <v>2423</v>
      </c>
      <c r="F281" t="str">
        <f t="shared" si="24"/>
        <v>NAME</v>
      </c>
      <c r="G281" t="s">
        <v>3458</v>
      </c>
      <c r="I281" s="3" t="str">
        <f>IF(_xlfn.XLOOKUP(F281,PgSqlRaw!B:B,PgSqlRaw!E:E,"") = "",_xlfn.XLOOKUP(G281,PgSqlRaw!B:B,PgSqlRaw!E:E,""),_xlfn.XLOOKUP(F281,PgSqlRaw!B:B,PgSqlRaw!E:E,""))</f>
        <v/>
      </c>
      <c r="J281" t="str">
        <f>IF(_xlfn.XLOOKUP(F281,PgSqlRaw!B:B,PgSqlRaw!F:F,"") = "", _xlfn.XLOOKUP(G281,PgSqlRaw!B:B,PgSqlRaw!F:F,""), _xlfn.XLOOKUP(F281,PgSqlRaw!B:B,PgSqlRaw!F:F,""))</f>
        <v>BARE_LABEL</v>
      </c>
      <c r="K281" t="str">
        <f t="shared" si="25"/>
        <v>BARE_LABEL</v>
      </c>
      <c r="L281" t="str">
        <f>IF(_xlfn.XLOOKUP(F281,PhpReserved!A:A,PhpReserved!B:B,"") = "", _xlfn.XLOOKUP(G281,PhpReserved!A:A,PhpReserved!B:B,""),_xlfn.XLOOKUP(F281,PhpReserved!A:A,PhpReserved!B:B,""))</f>
        <v/>
      </c>
      <c r="M281" t="str">
        <f>IF(_xlfn.XLOOKUP(F281,PhpFunctions!A:A,PhpFunctions!B:B,"") =  "", _xlfn.XLOOKUP(G281,PhpFunctions!A:A,PhpFunctions!B:B,""), _xlfn.XLOOKUP(F281,PhpFunctions!A:A,PhpFunctions!B:B,""))</f>
        <v/>
      </c>
      <c r="N281" t="str">
        <f>IF(_xlfn.XLOOKUP(F281,PhpParamFunc!A:A,PhpParamFunc!B:B,"") = "", _xlfn.XLOOKUP(G281,PhpParamFunc!A:A,PhpParamFunc!B:B,""), _xlfn.XLOOKUP(F281,PhpParamFunc!A:A,PhpParamFunc!B:B,""))</f>
        <v/>
      </c>
      <c r="O281" t="str">
        <f>IF(_xlfn.XLOOKUP(F281,PhpAggrFunc!A:A,PhpAggrFunc!B:B,"") = "", _xlfn.XLOOKUP(G281,PhpAggrFunc!A:A,PhpAggrFunc!B:B,""), _xlfn.XLOOKUP(F281,PhpAggrFunc!A:A,PhpAggrFunc!B:B,""))</f>
        <v/>
      </c>
      <c r="P281" t="str">
        <f t="shared" si="26"/>
        <v>UNRESERVED</v>
      </c>
      <c r="Q281" t="str">
        <f t="shared" si="27"/>
        <v>static const String^ TOK_NAME = "NAME";</v>
      </c>
      <c r="R281" t="str">
        <f t="shared" si="28"/>
        <v>static const int TOK_NAME = 613;</v>
      </c>
      <c r="S281" t="str">
        <f t="shared" si="29"/>
        <v>// _Tokens-&gt;Add((String^)GramVals::TOK_NAME, gcnew Token(GramKeys::TOK_NAME, EnumTokenCategory::UNRESERVED,BARE_LABEL, i++));</v>
      </c>
    </row>
    <row r="282" spans="1:19" x14ac:dyDescent="0.25">
      <c r="A282" s="3" t="s">
        <v>1647</v>
      </c>
      <c r="B282" s="5" t="s">
        <v>1207</v>
      </c>
      <c r="C282" s="3" t="s">
        <v>2173</v>
      </c>
      <c r="D282" s="3" t="s">
        <v>2423</v>
      </c>
      <c r="F282" t="str">
        <f t="shared" si="24"/>
        <v>NAMES</v>
      </c>
      <c r="G282" t="s">
        <v>3459</v>
      </c>
      <c r="I282" s="3" t="str">
        <f>IF(_xlfn.XLOOKUP(F282,PgSqlRaw!B:B,PgSqlRaw!E:E,"") = "",_xlfn.XLOOKUP(G282,PgSqlRaw!B:B,PgSqlRaw!E:E,""),_xlfn.XLOOKUP(F282,PgSqlRaw!B:B,PgSqlRaw!E:E,""))</f>
        <v/>
      </c>
      <c r="J282" t="str">
        <f>IF(_xlfn.XLOOKUP(F282,PgSqlRaw!B:B,PgSqlRaw!F:F,"") = "", _xlfn.XLOOKUP(G282,PgSqlRaw!B:B,PgSqlRaw!F:F,""), _xlfn.XLOOKUP(F282,PgSqlRaw!B:B,PgSqlRaw!F:F,""))</f>
        <v>BARE_LABEL</v>
      </c>
      <c r="K282" t="str">
        <f t="shared" si="25"/>
        <v>BARE_LABEL</v>
      </c>
      <c r="L282" t="str">
        <f>IF(_xlfn.XLOOKUP(F282,PhpReserved!A:A,PhpReserved!B:B,"") = "", _xlfn.XLOOKUP(G282,PhpReserved!A:A,PhpReserved!B:B,""),_xlfn.XLOOKUP(F282,PhpReserved!A:A,PhpReserved!B:B,""))</f>
        <v/>
      </c>
      <c r="M282" t="str">
        <f>IF(_xlfn.XLOOKUP(F282,PhpFunctions!A:A,PhpFunctions!B:B,"") =  "", _xlfn.XLOOKUP(G282,PhpFunctions!A:A,PhpFunctions!B:B,""), _xlfn.XLOOKUP(F282,PhpFunctions!A:A,PhpFunctions!B:B,""))</f>
        <v/>
      </c>
      <c r="N282" t="str">
        <f>IF(_xlfn.XLOOKUP(F282,PhpParamFunc!A:A,PhpParamFunc!B:B,"") = "", _xlfn.XLOOKUP(G282,PhpParamFunc!A:A,PhpParamFunc!B:B,""), _xlfn.XLOOKUP(F282,PhpParamFunc!A:A,PhpParamFunc!B:B,""))</f>
        <v/>
      </c>
      <c r="O282" t="str">
        <f>IF(_xlfn.XLOOKUP(F282,PhpAggrFunc!A:A,PhpAggrFunc!B:B,"") = "", _xlfn.XLOOKUP(G282,PhpAggrFunc!A:A,PhpAggrFunc!B:B,""), _xlfn.XLOOKUP(F282,PhpAggrFunc!A:A,PhpAggrFunc!B:B,""))</f>
        <v/>
      </c>
      <c r="P282" t="str">
        <f t="shared" si="26"/>
        <v>UNRESERVED</v>
      </c>
      <c r="Q282" t="str">
        <f t="shared" si="27"/>
        <v>static const String^ TOK_NAMES = "NAMES";</v>
      </c>
      <c r="R282" t="str">
        <f t="shared" si="28"/>
        <v>static const int TOK_NAMES = 358;</v>
      </c>
      <c r="S282" t="str">
        <f t="shared" si="29"/>
        <v>// _Tokens-&gt;Add((String^)GramVals::TOK_NAMES, gcnew Token(GramKeys::TOK_NAMES, EnumTokenCategory::UNRESERVED,BARE_LABEL, i++));</v>
      </c>
    </row>
    <row r="283" spans="1:19" x14ac:dyDescent="0.25">
      <c r="A283" s="3" t="s">
        <v>1648</v>
      </c>
      <c r="B283" s="5" t="s">
        <v>1208</v>
      </c>
      <c r="C283" s="3" t="s">
        <v>2174</v>
      </c>
      <c r="D283" s="3" t="s">
        <v>881</v>
      </c>
      <c r="F283" t="str">
        <f t="shared" si="24"/>
        <v>NATIONAL</v>
      </c>
      <c r="G283" t="s">
        <v>3460</v>
      </c>
      <c r="I283" s="3" t="str">
        <f>IF(_xlfn.XLOOKUP(F283,PgSqlRaw!B:B,PgSqlRaw!E:E,"") = "",_xlfn.XLOOKUP(G283,PgSqlRaw!B:B,PgSqlRaw!E:E,""),_xlfn.XLOOKUP(F283,PgSqlRaw!B:B,PgSqlRaw!E:E,""))</f>
        <v>COLNAME_KEYWORD</v>
      </c>
      <c r="J283" t="str">
        <f>IF(_xlfn.XLOOKUP(F283,PgSqlRaw!B:B,PgSqlRaw!F:F,"") = "", _xlfn.XLOOKUP(G283,PgSqlRaw!B:B,PgSqlRaw!F:F,""), _xlfn.XLOOKUP(F283,PgSqlRaw!B:B,PgSqlRaw!F:F,""))</f>
        <v>BARE_LABEL</v>
      </c>
      <c r="K283" t="str">
        <f t="shared" si="25"/>
        <v>BARE_LABEL</v>
      </c>
      <c r="L283" t="str">
        <f>IF(_xlfn.XLOOKUP(F283,PhpReserved!A:A,PhpReserved!B:B,"") = "", _xlfn.XLOOKUP(G283,PhpReserved!A:A,PhpReserved!B:B,""),_xlfn.XLOOKUP(F283,PhpReserved!A:A,PhpReserved!B:B,""))</f>
        <v/>
      </c>
      <c r="M283" t="str">
        <f>IF(_xlfn.XLOOKUP(F283,PhpFunctions!A:A,PhpFunctions!B:B,"") =  "", _xlfn.XLOOKUP(G283,PhpFunctions!A:A,PhpFunctions!B:B,""), _xlfn.XLOOKUP(F283,PhpFunctions!A:A,PhpFunctions!B:B,""))</f>
        <v/>
      </c>
      <c r="N283" t="str">
        <f>IF(_xlfn.XLOOKUP(F283,PhpParamFunc!A:A,PhpParamFunc!B:B,"") = "", _xlfn.XLOOKUP(G283,PhpParamFunc!A:A,PhpParamFunc!B:B,""), _xlfn.XLOOKUP(F283,PhpParamFunc!A:A,PhpParamFunc!B:B,""))</f>
        <v/>
      </c>
      <c r="O283" t="str">
        <f>IF(_xlfn.XLOOKUP(F283,PhpAggrFunc!A:A,PhpAggrFunc!B:B,"") = "", _xlfn.XLOOKUP(G283,PhpAggrFunc!A:A,PhpAggrFunc!B:B,""), _xlfn.XLOOKUP(F283,PhpAggrFunc!A:A,PhpAggrFunc!B:B,""))</f>
        <v/>
      </c>
      <c r="P283" t="str">
        <f t="shared" si="26"/>
        <v>COLNAME_KEYWORD</v>
      </c>
      <c r="Q283" t="str">
        <f t="shared" si="27"/>
        <v>static const String^ TOK_NATIONAL = "NATIONAL";</v>
      </c>
      <c r="R283" t="str">
        <f t="shared" si="28"/>
        <v>static const int TOK_NATIONAL = 359;</v>
      </c>
      <c r="S283" t="str">
        <f t="shared" si="29"/>
        <v>_Tokens-&gt;Add((String^)GramVals::TOK_NATIONAL, gcnew Token(GramKeys::TOK_NATIONAL, EnumTokenCategory::COLNAME_KEYWORD,BARE_LABEL, i++));</v>
      </c>
    </row>
    <row r="284" spans="1:19" x14ac:dyDescent="0.25">
      <c r="A284" s="3" t="s">
        <v>1649</v>
      </c>
      <c r="B284" s="5">
        <v>707</v>
      </c>
      <c r="C284" s="3" t="s">
        <v>2175</v>
      </c>
      <c r="D284" s="3" t="s">
        <v>2423</v>
      </c>
      <c r="F284" t="str">
        <f t="shared" si="24"/>
        <v>NATIVE</v>
      </c>
      <c r="G284" t="s">
        <v>3741</v>
      </c>
      <c r="I284" s="3" t="str">
        <f>IF(_xlfn.XLOOKUP(F284,PgSqlRaw!B:B,PgSqlRaw!E:E,"") = "",_xlfn.XLOOKUP(G284,PgSqlRaw!B:B,PgSqlRaw!E:E,""),_xlfn.XLOOKUP(F284,PgSqlRaw!B:B,PgSqlRaw!E:E,""))</f>
        <v/>
      </c>
      <c r="J284" t="str">
        <f>IF(_xlfn.XLOOKUP(F284,PgSqlRaw!B:B,PgSqlRaw!F:F,"") = "", _xlfn.XLOOKUP(G284,PgSqlRaw!B:B,PgSqlRaw!F:F,""), _xlfn.XLOOKUP(F284,PgSqlRaw!B:B,PgSqlRaw!F:F,""))</f>
        <v/>
      </c>
      <c r="K284" t="str">
        <f t="shared" si="25"/>
        <v>BARE_LABEL</v>
      </c>
      <c r="L284" t="str">
        <f>IF(_xlfn.XLOOKUP(F284,PhpReserved!A:A,PhpReserved!B:B,"") = "", _xlfn.XLOOKUP(G284,PhpReserved!A:A,PhpReserved!B:B,""),_xlfn.XLOOKUP(F284,PhpReserved!A:A,PhpReserved!B:B,""))</f>
        <v/>
      </c>
      <c r="M284" t="str">
        <f>IF(_xlfn.XLOOKUP(F284,PhpFunctions!A:A,PhpFunctions!B:B,"") =  "", _xlfn.XLOOKUP(G284,PhpFunctions!A:A,PhpFunctions!B:B,""), _xlfn.XLOOKUP(F284,PhpFunctions!A:A,PhpFunctions!B:B,""))</f>
        <v/>
      </c>
      <c r="N284" t="str">
        <f>IF(_xlfn.XLOOKUP(F284,PhpParamFunc!A:A,PhpParamFunc!B:B,"") = "", _xlfn.XLOOKUP(G284,PhpParamFunc!A:A,PhpParamFunc!B:B,""), _xlfn.XLOOKUP(F284,PhpParamFunc!A:A,PhpParamFunc!B:B,""))</f>
        <v/>
      </c>
      <c r="O284" t="str">
        <f>IF(_xlfn.XLOOKUP(F284,PhpAggrFunc!A:A,PhpAggrFunc!B:B,"") = "", _xlfn.XLOOKUP(G284,PhpAggrFunc!A:A,PhpAggrFunc!B:B,""), _xlfn.XLOOKUP(F284,PhpAggrFunc!A:A,PhpAggrFunc!B:B,""))</f>
        <v/>
      </c>
      <c r="P284" t="str">
        <f t="shared" si="26"/>
        <v>UNRESERVED</v>
      </c>
      <c r="Q284" t="str">
        <f t="shared" si="27"/>
        <v>static const String^ TOK_NATIVE = "NATIVE";</v>
      </c>
      <c r="R284" t="str">
        <f t="shared" si="28"/>
        <v>static const int TOK_NATIVE = 707;</v>
      </c>
      <c r="S284" t="str">
        <f t="shared" si="29"/>
        <v>// _Tokens-&gt;Add((String^)GramVals::TOK_NATIVE, gcnew Token(GramKeys::TOK_NATIVE, EnumTokenCategory::UNRESERVED,BARE_LABEL, i++));</v>
      </c>
    </row>
    <row r="285" spans="1:19" x14ac:dyDescent="0.25">
      <c r="A285" s="3" t="s">
        <v>1650</v>
      </c>
      <c r="B285" s="5" t="s">
        <v>1209</v>
      </c>
      <c r="C285" s="3" t="s">
        <v>2176</v>
      </c>
      <c r="D285" s="3" t="s">
        <v>881</v>
      </c>
      <c r="F285" t="str">
        <f t="shared" si="24"/>
        <v>NATURAL</v>
      </c>
      <c r="G285" t="s">
        <v>3199</v>
      </c>
      <c r="I285" s="3" t="str">
        <f>IF(_xlfn.XLOOKUP(F285,PgSqlRaw!B:B,PgSqlRaw!E:E,"") = "",_xlfn.XLOOKUP(G285,PgSqlRaw!B:B,PgSqlRaw!E:E,""),_xlfn.XLOOKUP(F285,PgSqlRaw!B:B,PgSqlRaw!E:E,""))</f>
        <v>FUNCTION</v>
      </c>
      <c r="J285" t="str">
        <f>IF(_xlfn.XLOOKUP(F285,PgSqlRaw!B:B,PgSqlRaw!F:F,"") = "", _xlfn.XLOOKUP(G285,PgSqlRaw!B:B,PgSqlRaw!F:F,""), _xlfn.XLOOKUP(F285,PgSqlRaw!B:B,PgSqlRaw!F:F,""))</f>
        <v>BARE_LABEL</v>
      </c>
      <c r="K285" t="str">
        <f t="shared" si="25"/>
        <v>BARE_LABEL</v>
      </c>
      <c r="L285" t="str">
        <f>IF(_xlfn.XLOOKUP(F285,PhpReserved!A:A,PhpReserved!B:B,"") = "", _xlfn.XLOOKUP(G285,PhpReserved!A:A,PhpReserved!B:B,""),_xlfn.XLOOKUP(F285,PhpReserved!A:A,PhpReserved!B:B,""))</f>
        <v>RESERVED</v>
      </c>
      <c r="M285" t="str">
        <f>IF(_xlfn.XLOOKUP(F285,PhpFunctions!A:A,PhpFunctions!B:B,"") =  "", _xlfn.XLOOKUP(G285,PhpFunctions!A:A,PhpFunctions!B:B,""), _xlfn.XLOOKUP(F285,PhpFunctions!A:A,PhpFunctions!B:B,""))</f>
        <v/>
      </c>
      <c r="N285" t="str">
        <f>IF(_xlfn.XLOOKUP(F285,PhpParamFunc!A:A,PhpParamFunc!B:B,"") = "", _xlfn.XLOOKUP(G285,PhpParamFunc!A:A,PhpParamFunc!B:B,""), _xlfn.XLOOKUP(F285,PhpParamFunc!A:A,PhpParamFunc!B:B,""))</f>
        <v/>
      </c>
      <c r="O285" t="str">
        <f>IF(_xlfn.XLOOKUP(F285,PhpAggrFunc!A:A,PhpAggrFunc!B:B,"") = "", _xlfn.XLOOKUP(G285,PhpAggrFunc!A:A,PhpAggrFunc!B:B,""), _xlfn.XLOOKUP(F285,PhpAggrFunc!A:A,PhpAggrFunc!B:B,""))</f>
        <v/>
      </c>
      <c r="P285" t="str">
        <f t="shared" si="26"/>
        <v>RESERVED</v>
      </c>
      <c r="Q285" t="str">
        <f t="shared" si="27"/>
        <v>static const String^ TOK_NATURAL = "NATURAL";</v>
      </c>
      <c r="R285" t="str">
        <f t="shared" si="28"/>
        <v>static const int TOK_NATURAL = 360;</v>
      </c>
      <c r="S285" t="str">
        <f t="shared" si="29"/>
        <v>_Tokens-&gt;Add((String^)GramVals::TOK_NATURAL, gcnew Token(GramKeys::TOK_NATURAL, EnumTokenCategory::RESERVED,BARE_LABEL, i++));</v>
      </c>
    </row>
    <row r="286" spans="1:19" x14ac:dyDescent="0.25">
      <c r="A286" s="3" t="s">
        <v>1651</v>
      </c>
      <c r="B286" s="5" t="s">
        <v>1210</v>
      </c>
      <c r="C286" s="3" t="s">
        <v>2177</v>
      </c>
      <c r="D286" s="3" t="s">
        <v>881</v>
      </c>
      <c r="F286" t="str">
        <f t="shared" si="24"/>
        <v>NCHAR</v>
      </c>
      <c r="G286" t="s">
        <v>3461</v>
      </c>
      <c r="I286" s="3" t="str">
        <f>IF(_xlfn.XLOOKUP(F286,PgSqlRaw!B:B,PgSqlRaw!E:E,"") = "",_xlfn.XLOOKUP(G286,PgSqlRaw!B:B,PgSqlRaw!E:E,""),_xlfn.XLOOKUP(F286,PgSqlRaw!B:B,PgSqlRaw!E:E,""))</f>
        <v>COLNAME_KEYWORD</v>
      </c>
      <c r="J286" t="str">
        <f>IF(_xlfn.XLOOKUP(F286,PgSqlRaw!B:B,PgSqlRaw!F:F,"") = "", _xlfn.XLOOKUP(G286,PgSqlRaw!B:B,PgSqlRaw!F:F,""), _xlfn.XLOOKUP(F286,PgSqlRaw!B:B,PgSqlRaw!F:F,""))</f>
        <v>BARE_LABEL</v>
      </c>
      <c r="K286" t="str">
        <f t="shared" si="25"/>
        <v>BARE_LABEL</v>
      </c>
      <c r="L286" t="str">
        <f>IF(_xlfn.XLOOKUP(F286,PhpReserved!A:A,PhpReserved!B:B,"") = "", _xlfn.XLOOKUP(G286,PhpReserved!A:A,PhpReserved!B:B,""),_xlfn.XLOOKUP(F286,PhpReserved!A:A,PhpReserved!B:B,""))</f>
        <v/>
      </c>
      <c r="M286" t="str">
        <f>IF(_xlfn.XLOOKUP(F286,PhpFunctions!A:A,PhpFunctions!B:B,"") =  "", _xlfn.XLOOKUP(G286,PhpFunctions!A:A,PhpFunctions!B:B,""), _xlfn.XLOOKUP(F286,PhpFunctions!A:A,PhpFunctions!B:B,""))</f>
        <v/>
      </c>
      <c r="N286" t="str">
        <f>IF(_xlfn.XLOOKUP(F286,PhpParamFunc!A:A,PhpParamFunc!B:B,"") = "", _xlfn.XLOOKUP(G286,PhpParamFunc!A:A,PhpParamFunc!B:B,""), _xlfn.XLOOKUP(F286,PhpParamFunc!A:A,PhpParamFunc!B:B,""))</f>
        <v/>
      </c>
      <c r="O286" t="str">
        <f>IF(_xlfn.XLOOKUP(F286,PhpAggrFunc!A:A,PhpAggrFunc!B:B,"") = "", _xlfn.XLOOKUP(G286,PhpAggrFunc!A:A,PhpAggrFunc!B:B,""), _xlfn.XLOOKUP(F286,PhpAggrFunc!A:A,PhpAggrFunc!B:B,""))</f>
        <v/>
      </c>
      <c r="P286" t="str">
        <f t="shared" si="26"/>
        <v>COLNAME_KEYWORD</v>
      </c>
      <c r="Q286" t="str">
        <f t="shared" si="27"/>
        <v>static const String^ TOK_NCHAR = "NCHAR";</v>
      </c>
      <c r="R286" t="str">
        <f t="shared" si="28"/>
        <v>static const int TOK_NCHAR = 361;</v>
      </c>
      <c r="S286" t="str">
        <f t="shared" si="29"/>
        <v>_Tokens-&gt;Add((String^)GramVals::TOK_NCHAR, gcnew Token(GramKeys::TOK_NCHAR, EnumTokenCategory::COLNAME_KEYWORD,BARE_LABEL, i++));</v>
      </c>
    </row>
    <row r="287" spans="1:19" x14ac:dyDescent="0.25">
      <c r="A287" s="3" t="s">
        <v>1652</v>
      </c>
      <c r="B287" s="5" t="s">
        <v>1211</v>
      </c>
      <c r="C287" s="3" t="s">
        <v>2178</v>
      </c>
      <c r="D287" s="3" t="s">
        <v>881</v>
      </c>
      <c r="E287" s="3" t="s">
        <v>3484</v>
      </c>
      <c r="F287" t="str">
        <f t="shared" si="24"/>
        <v>NEQ</v>
      </c>
      <c r="G287" t="s">
        <v>3742</v>
      </c>
      <c r="I287" s="3" t="str">
        <f>IF(_xlfn.XLOOKUP(F287,PgSqlRaw!B:B,PgSqlRaw!E:E,"") = "",_xlfn.XLOOKUP(G287,PgSqlRaw!B:B,PgSqlRaw!E:E,""),_xlfn.XLOOKUP(F287,PgSqlRaw!B:B,PgSqlRaw!E:E,""))</f>
        <v/>
      </c>
      <c r="J287" t="str">
        <f>IF(_xlfn.XLOOKUP(F287,PgSqlRaw!B:B,PgSqlRaw!F:F,"") = "", _xlfn.XLOOKUP(G287,PgSqlRaw!B:B,PgSqlRaw!F:F,""), _xlfn.XLOOKUP(F287,PgSqlRaw!B:B,PgSqlRaw!F:F,""))</f>
        <v/>
      </c>
      <c r="K287" t="str">
        <f t="shared" si="25"/>
        <v>BARE_LABEL</v>
      </c>
      <c r="L287" t="str">
        <f>IF(_xlfn.XLOOKUP(F287,PhpReserved!A:A,PhpReserved!B:B,"") = "", _xlfn.XLOOKUP(G287,PhpReserved!A:A,PhpReserved!B:B,""),_xlfn.XLOOKUP(F287,PhpReserved!A:A,PhpReserved!B:B,""))</f>
        <v/>
      </c>
      <c r="M287" t="str">
        <f>IF(_xlfn.XLOOKUP(F287,PhpFunctions!A:A,PhpFunctions!B:B,"") =  "", _xlfn.XLOOKUP(G287,PhpFunctions!A:A,PhpFunctions!B:B,""), _xlfn.XLOOKUP(F287,PhpFunctions!A:A,PhpFunctions!B:B,""))</f>
        <v/>
      </c>
      <c r="N287" t="str">
        <f>IF(_xlfn.XLOOKUP(F287,PhpParamFunc!A:A,PhpParamFunc!B:B,"") = "", _xlfn.XLOOKUP(G287,PhpParamFunc!A:A,PhpParamFunc!B:B,""), _xlfn.XLOOKUP(F287,PhpParamFunc!A:A,PhpParamFunc!B:B,""))</f>
        <v/>
      </c>
      <c r="O287" t="str">
        <f>IF(_xlfn.XLOOKUP(F287,PhpAggrFunc!A:A,PhpAggrFunc!B:B,"") = "", _xlfn.XLOOKUP(G287,PhpAggrFunc!A:A,PhpAggrFunc!B:B,""), _xlfn.XLOOKUP(F287,PhpAggrFunc!A:A,PhpAggrFunc!B:B,""))</f>
        <v/>
      </c>
      <c r="P287" t="str">
        <f t="shared" si="26"/>
        <v>OPERATOR</v>
      </c>
      <c r="Q287" t="str">
        <f t="shared" si="27"/>
        <v>static const String^ TOK_NEQ = "!=";</v>
      </c>
      <c r="R287" t="str">
        <f t="shared" si="28"/>
        <v>static const int TOK_NEQ = 362;</v>
      </c>
      <c r="S287" t="str">
        <f t="shared" si="29"/>
        <v>_Tokens-&gt;Add((String^)GramVals::TOK_NEQ, gcnew Token(GramKeys::TOK_NEQ, EnumTokenCategory::OPERATOR,BARE_LABEL, i++));</v>
      </c>
    </row>
    <row r="288" spans="1:19" x14ac:dyDescent="0.25">
      <c r="A288" s="3" t="s">
        <v>1654</v>
      </c>
      <c r="B288" s="5" t="s">
        <v>1212</v>
      </c>
      <c r="C288" s="3" t="s">
        <v>2180</v>
      </c>
      <c r="D288" s="3" t="s">
        <v>2423</v>
      </c>
      <c r="F288" t="str">
        <f t="shared" si="24"/>
        <v>NEXT</v>
      </c>
      <c r="G288" t="s">
        <v>3463</v>
      </c>
      <c r="I288" s="3" t="str">
        <f>IF(_xlfn.XLOOKUP(F288,PgSqlRaw!B:B,PgSqlRaw!E:E,"") = "",_xlfn.XLOOKUP(G288,PgSqlRaw!B:B,PgSqlRaw!E:E,""),_xlfn.XLOOKUP(F288,PgSqlRaw!B:B,PgSqlRaw!E:E,""))</f>
        <v/>
      </c>
      <c r="J288" t="str">
        <f>IF(_xlfn.XLOOKUP(F288,PgSqlRaw!B:B,PgSqlRaw!F:F,"") = "", _xlfn.XLOOKUP(G288,PgSqlRaw!B:B,PgSqlRaw!F:F,""), _xlfn.XLOOKUP(F288,PgSqlRaw!B:B,PgSqlRaw!F:F,""))</f>
        <v>BARE_LABEL</v>
      </c>
      <c r="K288" t="str">
        <f t="shared" si="25"/>
        <v>BARE_LABEL</v>
      </c>
      <c r="L288" t="str">
        <f>IF(_xlfn.XLOOKUP(F288,PhpReserved!A:A,PhpReserved!B:B,"") = "", _xlfn.XLOOKUP(G288,PhpReserved!A:A,PhpReserved!B:B,""),_xlfn.XLOOKUP(F288,PhpReserved!A:A,PhpReserved!B:B,""))</f>
        <v/>
      </c>
      <c r="M288" t="str">
        <f>IF(_xlfn.XLOOKUP(F288,PhpFunctions!A:A,PhpFunctions!B:B,"") =  "", _xlfn.XLOOKUP(G288,PhpFunctions!A:A,PhpFunctions!B:B,""), _xlfn.XLOOKUP(F288,PhpFunctions!A:A,PhpFunctions!B:B,""))</f>
        <v/>
      </c>
      <c r="N288" t="str">
        <f>IF(_xlfn.XLOOKUP(F288,PhpParamFunc!A:A,PhpParamFunc!B:B,"") = "", _xlfn.XLOOKUP(G288,PhpParamFunc!A:A,PhpParamFunc!B:B,""), _xlfn.XLOOKUP(F288,PhpParamFunc!A:A,PhpParamFunc!B:B,""))</f>
        <v/>
      </c>
      <c r="O288" t="str">
        <f>IF(_xlfn.XLOOKUP(F288,PhpAggrFunc!A:A,PhpAggrFunc!B:B,"") = "", _xlfn.XLOOKUP(G288,PhpAggrFunc!A:A,PhpAggrFunc!B:B,""), _xlfn.XLOOKUP(F288,PhpAggrFunc!A:A,PhpAggrFunc!B:B,""))</f>
        <v/>
      </c>
      <c r="P288" t="str">
        <f t="shared" si="26"/>
        <v>UNRESERVED</v>
      </c>
      <c r="Q288" t="str">
        <f t="shared" si="27"/>
        <v>static const String^ TOK_NEXT = "NEXT";</v>
      </c>
      <c r="R288" t="str">
        <f t="shared" si="28"/>
        <v>static const int TOK_NEXT = 505;</v>
      </c>
      <c r="S288" t="str">
        <f t="shared" si="29"/>
        <v>// _Tokens-&gt;Add((String^)GramVals::TOK_NEXT, gcnew Token(GramKeys::TOK_NEXT, EnumTokenCategory::UNRESERVED,BARE_LABEL, i++));</v>
      </c>
    </row>
    <row r="289" spans="1:19" x14ac:dyDescent="0.25">
      <c r="A289" s="3" t="s">
        <v>1655</v>
      </c>
      <c r="B289" s="5" t="s">
        <v>1213</v>
      </c>
      <c r="C289" s="3" t="s">
        <v>2181</v>
      </c>
      <c r="D289" s="3" t="s">
        <v>881</v>
      </c>
      <c r="F289" t="str">
        <f t="shared" si="24"/>
        <v>NO</v>
      </c>
      <c r="G289" t="s">
        <v>3468</v>
      </c>
      <c r="I289" s="3" t="str">
        <f>IF(_xlfn.XLOOKUP(F289,PgSqlRaw!B:B,PgSqlRaw!E:E,"") = "",_xlfn.XLOOKUP(G289,PgSqlRaw!B:B,PgSqlRaw!E:E,""),_xlfn.XLOOKUP(F289,PgSqlRaw!B:B,PgSqlRaw!E:E,""))</f>
        <v/>
      </c>
      <c r="J289" t="str">
        <f>IF(_xlfn.XLOOKUP(F289,PgSqlRaw!B:B,PgSqlRaw!F:F,"") = "", _xlfn.XLOOKUP(G289,PgSqlRaw!B:B,PgSqlRaw!F:F,""), _xlfn.XLOOKUP(F289,PgSqlRaw!B:B,PgSqlRaw!F:F,""))</f>
        <v>BARE_LABEL</v>
      </c>
      <c r="K289" t="str">
        <f t="shared" si="25"/>
        <v>BARE_LABEL</v>
      </c>
      <c r="L289" t="str">
        <f>IF(_xlfn.XLOOKUP(F289,PhpReserved!A:A,PhpReserved!B:B,"") = "", _xlfn.XLOOKUP(G289,PhpReserved!A:A,PhpReserved!B:B,""),_xlfn.XLOOKUP(F289,PhpReserved!A:A,PhpReserved!B:B,""))</f>
        <v/>
      </c>
      <c r="M289" t="str">
        <f>IF(_xlfn.XLOOKUP(F289,PhpFunctions!A:A,PhpFunctions!B:B,"") =  "", _xlfn.XLOOKUP(G289,PhpFunctions!A:A,PhpFunctions!B:B,""), _xlfn.XLOOKUP(F289,PhpFunctions!A:A,PhpFunctions!B:B,""))</f>
        <v/>
      </c>
      <c r="N289" t="str">
        <f>IF(_xlfn.XLOOKUP(F289,PhpParamFunc!A:A,PhpParamFunc!B:B,"") = "", _xlfn.XLOOKUP(G289,PhpParamFunc!A:A,PhpParamFunc!B:B,""), _xlfn.XLOOKUP(F289,PhpParamFunc!A:A,PhpParamFunc!B:B,""))</f>
        <v/>
      </c>
      <c r="O289" t="str">
        <f>IF(_xlfn.XLOOKUP(F289,PhpAggrFunc!A:A,PhpAggrFunc!B:B,"") = "", _xlfn.XLOOKUP(G289,PhpAggrFunc!A:A,PhpAggrFunc!B:B,""), _xlfn.XLOOKUP(F289,PhpAggrFunc!A:A,PhpAggrFunc!B:B,""))</f>
        <v/>
      </c>
      <c r="P289" t="str">
        <f t="shared" si="26"/>
        <v>UNRESERVED</v>
      </c>
      <c r="Q289" t="str">
        <f t="shared" si="27"/>
        <v>static const String^ TOK_NO = "NO";</v>
      </c>
      <c r="R289" t="str">
        <f t="shared" si="28"/>
        <v>static const int TOK_NO = 363;</v>
      </c>
      <c r="S289" t="str">
        <f t="shared" si="29"/>
        <v>// _Tokens-&gt;Add((String^)GramVals::TOK_NO, gcnew Token(GramKeys::TOK_NO, EnumTokenCategory::UNRESERVED,BARE_LABEL, i++));</v>
      </c>
    </row>
    <row r="290" spans="1:19" x14ac:dyDescent="0.25">
      <c r="A290" s="3" t="s">
        <v>1656</v>
      </c>
      <c r="B290" s="5">
        <v>709</v>
      </c>
      <c r="C290" s="3" t="s">
        <v>2182</v>
      </c>
      <c r="D290" s="3" t="s">
        <v>2423</v>
      </c>
      <c r="F290" t="str">
        <f t="shared" si="24"/>
        <v>NORMALIZE_DECFLOAT</v>
      </c>
      <c r="G290" t="s">
        <v>3743</v>
      </c>
      <c r="I290" s="3" t="str">
        <f>IF(_xlfn.XLOOKUP(F290,PgSqlRaw!B:B,PgSqlRaw!E:E,"") = "",_xlfn.XLOOKUP(G290,PgSqlRaw!B:B,PgSqlRaw!E:E,""),_xlfn.XLOOKUP(F290,PgSqlRaw!B:B,PgSqlRaw!E:E,""))</f>
        <v/>
      </c>
      <c r="J290" t="str">
        <f>IF(_xlfn.XLOOKUP(F290,PgSqlRaw!B:B,PgSqlRaw!F:F,"") = "", _xlfn.XLOOKUP(G290,PgSqlRaw!B:B,PgSqlRaw!F:F,""), _xlfn.XLOOKUP(F290,PgSqlRaw!B:B,PgSqlRaw!F:F,""))</f>
        <v/>
      </c>
      <c r="K290" t="str">
        <f t="shared" si="25"/>
        <v>BARE_LABEL</v>
      </c>
      <c r="L290" t="str">
        <f>IF(_xlfn.XLOOKUP(F290,PhpReserved!A:A,PhpReserved!B:B,"") = "", _xlfn.XLOOKUP(G290,PhpReserved!A:A,PhpReserved!B:B,""),_xlfn.XLOOKUP(F290,PhpReserved!A:A,PhpReserved!B:B,""))</f>
        <v/>
      </c>
      <c r="M290" t="str">
        <f>IF(_xlfn.XLOOKUP(F290,PhpFunctions!A:A,PhpFunctions!B:B,"") =  "", _xlfn.XLOOKUP(G290,PhpFunctions!A:A,PhpFunctions!B:B,""), _xlfn.XLOOKUP(F290,PhpFunctions!A:A,PhpFunctions!B:B,""))</f>
        <v/>
      </c>
      <c r="N290" t="str">
        <f>IF(_xlfn.XLOOKUP(F290,PhpParamFunc!A:A,PhpParamFunc!B:B,"") = "", _xlfn.XLOOKUP(G290,PhpParamFunc!A:A,PhpParamFunc!B:B,""), _xlfn.XLOOKUP(F290,PhpParamFunc!A:A,PhpParamFunc!B:B,""))</f>
        <v/>
      </c>
      <c r="O290" t="str">
        <f>IF(_xlfn.XLOOKUP(F290,PhpAggrFunc!A:A,PhpAggrFunc!B:B,"") = "", _xlfn.XLOOKUP(G290,PhpAggrFunc!A:A,PhpAggrFunc!B:B,""), _xlfn.XLOOKUP(F290,PhpAggrFunc!A:A,PhpAggrFunc!B:B,""))</f>
        <v/>
      </c>
      <c r="P290" t="str">
        <f t="shared" si="26"/>
        <v>UNRESERVED</v>
      </c>
      <c r="Q290" t="str">
        <f t="shared" si="27"/>
        <v>static const String^ TOK_NORMALIZE_DECFLOAT = "NORMALIZE_DECFLOAT";</v>
      </c>
      <c r="R290" t="str">
        <f t="shared" si="28"/>
        <v>static const int TOK_NORMALIZE_DECFLOAT = 709;</v>
      </c>
      <c r="S290" t="str">
        <f t="shared" si="29"/>
        <v>// _Tokens-&gt;Add((String^)GramVals::TOK_NORMALIZE_DECFLOAT, gcnew Token(GramKeys::TOK_NORMALIZE_DECFLOAT, EnumTokenCategory::UNRESERVED,BARE_LABEL, i++));</v>
      </c>
    </row>
    <row r="291" spans="1:19" x14ac:dyDescent="0.25">
      <c r="A291" s="3" t="s">
        <v>1657</v>
      </c>
      <c r="B291" s="5" t="s">
        <v>1214</v>
      </c>
      <c r="C291" s="3" t="s">
        <v>2183</v>
      </c>
      <c r="D291" s="3" t="s">
        <v>881</v>
      </c>
      <c r="F291" t="str">
        <f t="shared" si="24"/>
        <v>NOT</v>
      </c>
      <c r="G291" t="s">
        <v>3200</v>
      </c>
      <c r="I291" s="3" t="str">
        <f>IF(_xlfn.XLOOKUP(F291,PgSqlRaw!B:B,PgSqlRaw!E:E,"") = "",_xlfn.XLOOKUP(G291,PgSqlRaw!B:B,PgSqlRaw!E:E,""),_xlfn.XLOOKUP(F291,PgSqlRaw!B:B,PgSqlRaw!E:E,""))</f>
        <v>RESERVED</v>
      </c>
      <c r="J291" t="str">
        <f>IF(_xlfn.XLOOKUP(F291,PgSqlRaw!B:B,PgSqlRaw!F:F,"") = "", _xlfn.XLOOKUP(G291,PgSqlRaw!B:B,PgSqlRaw!F:F,""), _xlfn.XLOOKUP(F291,PgSqlRaw!B:B,PgSqlRaw!F:F,""))</f>
        <v>BARE_LABEL</v>
      </c>
      <c r="K291" t="str">
        <f t="shared" si="25"/>
        <v>BARE_LABEL</v>
      </c>
      <c r="L291" t="str">
        <f>IF(_xlfn.XLOOKUP(F291,PhpReserved!A:A,PhpReserved!B:B,"") = "", _xlfn.XLOOKUP(G291,PhpReserved!A:A,PhpReserved!B:B,""),_xlfn.XLOOKUP(F291,PhpReserved!A:A,PhpReserved!B:B,""))</f>
        <v>RESERVED</v>
      </c>
      <c r="M291" t="str">
        <f>IF(_xlfn.XLOOKUP(F291,PhpFunctions!A:A,PhpFunctions!B:B,"") =  "", _xlfn.XLOOKUP(G291,PhpFunctions!A:A,PhpFunctions!B:B,""), _xlfn.XLOOKUP(F291,PhpFunctions!A:A,PhpFunctions!B:B,""))</f>
        <v/>
      </c>
      <c r="N291" t="str">
        <f>IF(_xlfn.XLOOKUP(F291,PhpParamFunc!A:A,PhpParamFunc!B:B,"") = "", _xlfn.XLOOKUP(G291,PhpParamFunc!A:A,PhpParamFunc!B:B,""), _xlfn.XLOOKUP(F291,PhpParamFunc!A:A,PhpParamFunc!B:B,""))</f>
        <v/>
      </c>
      <c r="O291" t="str">
        <f>IF(_xlfn.XLOOKUP(F291,PhpAggrFunc!A:A,PhpAggrFunc!B:B,"") = "", _xlfn.XLOOKUP(G291,PhpAggrFunc!A:A,PhpAggrFunc!B:B,""), _xlfn.XLOOKUP(F291,PhpAggrFunc!A:A,PhpAggrFunc!B:B,""))</f>
        <v/>
      </c>
      <c r="P291" t="str">
        <f t="shared" si="26"/>
        <v>RESERVED</v>
      </c>
      <c r="Q291" t="str">
        <f t="shared" si="27"/>
        <v>static const String^ TOK_NOT = "NOT";</v>
      </c>
      <c r="R291" t="str">
        <f t="shared" si="28"/>
        <v>static const int TOK_NOT = 364;</v>
      </c>
      <c r="S291" t="str">
        <f t="shared" si="29"/>
        <v>_Tokens-&gt;Add((String^)GramVals::TOK_NOT, gcnew Token(GramKeys::TOK_NOT, EnumTokenCategory::RESERVED,BARE_LABEL, i++));</v>
      </c>
    </row>
    <row r="292" spans="1:19" x14ac:dyDescent="0.25">
      <c r="A292" s="3" t="s">
        <v>1658</v>
      </c>
      <c r="B292" s="5" t="s">
        <v>1215</v>
      </c>
      <c r="C292" s="3" t="s">
        <v>2184</v>
      </c>
      <c r="D292" s="3" t="s">
        <v>881</v>
      </c>
      <c r="E292" s="3" t="s">
        <v>3484</v>
      </c>
      <c r="F292" t="str">
        <f t="shared" si="24"/>
        <v>NOT_GTR</v>
      </c>
      <c r="G292" t="s">
        <v>3744</v>
      </c>
      <c r="I292" s="3" t="str">
        <f>IF(_xlfn.XLOOKUP(F292,PgSqlRaw!B:B,PgSqlRaw!E:E,"") = "",_xlfn.XLOOKUP(G292,PgSqlRaw!B:B,PgSqlRaw!E:E,""),_xlfn.XLOOKUP(F292,PgSqlRaw!B:B,PgSqlRaw!E:E,""))</f>
        <v/>
      </c>
      <c r="J292" t="str">
        <f>IF(_xlfn.XLOOKUP(F292,PgSqlRaw!B:B,PgSqlRaw!F:F,"") = "", _xlfn.XLOOKUP(G292,PgSqlRaw!B:B,PgSqlRaw!F:F,""), _xlfn.XLOOKUP(F292,PgSqlRaw!B:B,PgSqlRaw!F:F,""))</f>
        <v/>
      </c>
      <c r="K292" t="str">
        <f t="shared" si="25"/>
        <v>BARE_LABEL</v>
      </c>
      <c r="L292" t="str">
        <f>IF(_xlfn.XLOOKUP(F292,PhpReserved!A:A,PhpReserved!B:B,"") = "", _xlfn.XLOOKUP(G292,PhpReserved!A:A,PhpReserved!B:B,""),_xlfn.XLOOKUP(F292,PhpReserved!A:A,PhpReserved!B:B,""))</f>
        <v/>
      </c>
      <c r="M292" t="str">
        <f>IF(_xlfn.XLOOKUP(F292,PhpFunctions!A:A,PhpFunctions!B:B,"") =  "", _xlfn.XLOOKUP(G292,PhpFunctions!A:A,PhpFunctions!B:B,""), _xlfn.XLOOKUP(F292,PhpFunctions!A:A,PhpFunctions!B:B,""))</f>
        <v/>
      </c>
      <c r="N292" t="str">
        <f>IF(_xlfn.XLOOKUP(F292,PhpParamFunc!A:A,PhpParamFunc!B:B,"") = "", _xlfn.XLOOKUP(G292,PhpParamFunc!A:A,PhpParamFunc!B:B,""), _xlfn.XLOOKUP(F292,PhpParamFunc!A:A,PhpParamFunc!B:B,""))</f>
        <v/>
      </c>
      <c r="O292" t="str">
        <f>IF(_xlfn.XLOOKUP(F292,PhpAggrFunc!A:A,PhpAggrFunc!B:B,"") = "", _xlfn.XLOOKUP(G292,PhpAggrFunc!A:A,PhpAggrFunc!B:B,""), _xlfn.XLOOKUP(F292,PhpAggrFunc!A:A,PhpAggrFunc!B:B,""))</f>
        <v/>
      </c>
      <c r="P292" t="str">
        <f t="shared" si="26"/>
        <v>OPERATOR</v>
      </c>
      <c r="Q292" t="str">
        <f t="shared" si="27"/>
        <v>static const String^ TOK_NOT_GTR = "!&gt;";</v>
      </c>
      <c r="R292" t="str">
        <f t="shared" si="28"/>
        <v>static const int TOK_NOT_GTR = 365;</v>
      </c>
      <c r="S292" t="str">
        <f t="shared" si="29"/>
        <v>_Tokens-&gt;Add((String^)GramVals::TOK_NOT_GTR, gcnew Token(GramKeys::TOK_NOT_GTR, EnumTokenCategory::OPERATOR,BARE_LABEL, i++));</v>
      </c>
    </row>
    <row r="293" spans="1:19" x14ac:dyDescent="0.25">
      <c r="A293" s="3" t="s">
        <v>1653</v>
      </c>
      <c r="B293" s="5">
        <v>708</v>
      </c>
      <c r="C293" s="3" t="s">
        <v>2179</v>
      </c>
      <c r="D293" s="3" t="s">
        <v>881</v>
      </c>
      <c r="E293" s="3" t="s">
        <v>3484</v>
      </c>
      <c r="F293" t="str">
        <f t="shared" si="24"/>
        <v>NOT_GTR_LSS</v>
      </c>
      <c r="G293" t="s">
        <v>3745</v>
      </c>
      <c r="I293" s="3" t="str">
        <f>IF(_xlfn.XLOOKUP(F293,PgSqlRaw!B:B,PgSqlRaw!E:E,"") = "",_xlfn.XLOOKUP(G293,PgSqlRaw!B:B,PgSqlRaw!E:E,""),_xlfn.XLOOKUP(F293,PgSqlRaw!B:B,PgSqlRaw!E:E,""))</f>
        <v/>
      </c>
      <c r="J293" t="str">
        <f>IF(_xlfn.XLOOKUP(F293,PgSqlRaw!B:B,PgSqlRaw!F:F,"") = "", _xlfn.XLOOKUP(G293,PgSqlRaw!B:B,PgSqlRaw!F:F,""), _xlfn.XLOOKUP(F293,PgSqlRaw!B:B,PgSqlRaw!F:F,""))</f>
        <v/>
      </c>
      <c r="K293" t="str">
        <f t="shared" si="25"/>
        <v>BARE_LABEL</v>
      </c>
      <c r="L293" t="str">
        <f>IF(_xlfn.XLOOKUP(F293,PhpReserved!A:A,PhpReserved!B:B,"") = "", _xlfn.XLOOKUP(G293,PhpReserved!A:A,PhpReserved!B:B,""),_xlfn.XLOOKUP(F293,PhpReserved!A:A,PhpReserved!B:B,""))</f>
        <v/>
      </c>
      <c r="M293" t="str">
        <f>IF(_xlfn.XLOOKUP(F293,PhpFunctions!A:A,PhpFunctions!B:B,"") =  "", _xlfn.XLOOKUP(G293,PhpFunctions!A:A,PhpFunctions!B:B,""), _xlfn.XLOOKUP(F293,PhpFunctions!A:A,PhpFunctions!B:B,""))</f>
        <v/>
      </c>
      <c r="N293" t="str">
        <f>IF(_xlfn.XLOOKUP(F293,PhpParamFunc!A:A,PhpParamFunc!B:B,"") = "", _xlfn.XLOOKUP(G293,PhpParamFunc!A:A,PhpParamFunc!B:B,""), _xlfn.XLOOKUP(F293,PhpParamFunc!A:A,PhpParamFunc!B:B,""))</f>
        <v/>
      </c>
      <c r="O293" t="str">
        <f>IF(_xlfn.XLOOKUP(F293,PhpAggrFunc!A:A,PhpAggrFunc!B:B,"") = "", _xlfn.XLOOKUP(G293,PhpAggrFunc!A:A,PhpAggrFunc!B:B,""), _xlfn.XLOOKUP(F293,PhpAggrFunc!A:A,PhpAggrFunc!B:B,""))</f>
        <v/>
      </c>
      <c r="P293" t="str">
        <f t="shared" si="26"/>
        <v>OPERATOR</v>
      </c>
      <c r="Q293" t="str">
        <f t="shared" si="27"/>
        <v>static const String^ TOK_NOT_GTR_LSS = "&lt;&gt;";</v>
      </c>
      <c r="R293" t="str">
        <f t="shared" si="28"/>
        <v>static const int TOK_NOT_GTR_LSS = 708;</v>
      </c>
      <c r="S293" t="str">
        <f t="shared" si="29"/>
        <v>_Tokens-&gt;Add((String^)GramVals::TOK_NOT_GTR_LSS, gcnew Token(GramKeys::TOK_NOT_GTR_LSS, EnumTokenCategory::OPERATOR,BARE_LABEL, i++));</v>
      </c>
    </row>
    <row r="294" spans="1:19" x14ac:dyDescent="0.25">
      <c r="A294" s="3" t="s">
        <v>1659</v>
      </c>
      <c r="B294" s="5" t="s">
        <v>1216</v>
      </c>
      <c r="C294" s="3" t="s">
        <v>2185</v>
      </c>
      <c r="D294" s="3" t="s">
        <v>881</v>
      </c>
      <c r="E294" s="3" t="s">
        <v>3484</v>
      </c>
      <c r="F294" t="str">
        <f t="shared" si="24"/>
        <v>NOT_LSS</v>
      </c>
      <c r="G294" t="s">
        <v>3746</v>
      </c>
      <c r="I294" s="3" t="str">
        <f>IF(_xlfn.XLOOKUP(F294,PgSqlRaw!B:B,PgSqlRaw!E:E,"") = "",_xlfn.XLOOKUP(G294,PgSqlRaw!B:B,PgSqlRaw!E:E,""),_xlfn.XLOOKUP(F294,PgSqlRaw!B:B,PgSqlRaw!E:E,""))</f>
        <v/>
      </c>
      <c r="J294" t="str">
        <f>IF(_xlfn.XLOOKUP(F294,PgSqlRaw!B:B,PgSqlRaw!F:F,"") = "", _xlfn.XLOOKUP(G294,PgSqlRaw!B:B,PgSqlRaw!F:F,""), _xlfn.XLOOKUP(F294,PgSqlRaw!B:B,PgSqlRaw!F:F,""))</f>
        <v/>
      </c>
      <c r="K294" t="str">
        <f t="shared" si="25"/>
        <v>BARE_LABEL</v>
      </c>
      <c r="L294" t="str">
        <f>IF(_xlfn.XLOOKUP(F294,PhpReserved!A:A,PhpReserved!B:B,"") = "", _xlfn.XLOOKUP(G294,PhpReserved!A:A,PhpReserved!B:B,""),_xlfn.XLOOKUP(F294,PhpReserved!A:A,PhpReserved!B:B,""))</f>
        <v/>
      </c>
      <c r="M294" t="str">
        <f>IF(_xlfn.XLOOKUP(F294,PhpFunctions!A:A,PhpFunctions!B:B,"") =  "", _xlfn.XLOOKUP(G294,PhpFunctions!A:A,PhpFunctions!B:B,""), _xlfn.XLOOKUP(F294,PhpFunctions!A:A,PhpFunctions!B:B,""))</f>
        <v/>
      </c>
      <c r="N294" t="str">
        <f>IF(_xlfn.XLOOKUP(F294,PhpParamFunc!A:A,PhpParamFunc!B:B,"") = "", _xlfn.XLOOKUP(G294,PhpParamFunc!A:A,PhpParamFunc!B:B,""), _xlfn.XLOOKUP(F294,PhpParamFunc!A:A,PhpParamFunc!B:B,""))</f>
        <v/>
      </c>
      <c r="O294" t="str">
        <f>IF(_xlfn.XLOOKUP(F294,PhpAggrFunc!A:A,PhpAggrFunc!B:B,"") = "", _xlfn.XLOOKUP(G294,PhpAggrFunc!A:A,PhpAggrFunc!B:B,""), _xlfn.XLOOKUP(F294,PhpAggrFunc!A:A,PhpAggrFunc!B:B,""))</f>
        <v/>
      </c>
      <c r="P294" t="str">
        <f t="shared" si="26"/>
        <v>OPERATOR</v>
      </c>
      <c r="Q294" t="str">
        <f t="shared" si="27"/>
        <v>static const String^ TOK_NOT_LSS = "!&lt;";</v>
      </c>
      <c r="R294" t="str">
        <f t="shared" si="28"/>
        <v>static const int TOK_NOT_LSS = 366;</v>
      </c>
      <c r="S294" t="str">
        <f t="shared" si="29"/>
        <v>_Tokens-&gt;Add((String^)GramVals::TOK_NOT_LSS, gcnew Token(GramKeys::TOK_NOT_LSS, EnumTokenCategory::OPERATOR,BARE_LABEL, i++));</v>
      </c>
    </row>
    <row r="295" spans="1:19" x14ac:dyDescent="0.25">
      <c r="A295" s="3" t="s">
        <v>1660</v>
      </c>
      <c r="B295" s="5" t="s">
        <v>1217</v>
      </c>
      <c r="C295" s="3" t="s">
        <v>2186</v>
      </c>
      <c r="D295" s="3" t="s">
        <v>2423</v>
      </c>
      <c r="F295" t="str">
        <f t="shared" si="24"/>
        <v>NTH_VALUE</v>
      </c>
      <c r="G295" t="s">
        <v>3747</v>
      </c>
      <c r="I295" s="3" t="str">
        <f>IF(_xlfn.XLOOKUP(F295,PgSqlRaw!B:B,PgSqlRaw!E:E,"") = "",_xlfn.XLOOKUP(G295,PgSqlRaw!B:B,PgSqlRaw!E:E,""),_xlfn.XLOOKUP(F295,PgSqlRaw!B:B,PgSqlRaw!E:E,""))</f>
        <v/>
      </c>
      <c r="J295" t="str">
        <f>IF(_xlfn.XLOOKUP(F295,PgSqlRaw!B:B,PgSqlRaw!F:F,"") = "", _xlfn.XLOOKUP(G295,PgSqlRaw!B:B,PgSqlRaw!F:F,""), _xlfn.XLOOKUP(F295,PgSqlRaw!B:B,PgSqlRaw!F:F,""))</f>
        <v/>
      </c>
      <c r="K295" t="str">
        <f t="shared" si="25"/>
        <v>BARE_LABEL</v>
      </c>
      <c r="L295" t="str">
        <f>IF(_xlfn.XLOOKUP(F295,PhpReserved!A:A,PhpReserved!B:B,"") = "", _xlfn.XLOOKUP(G295,PhpReserved!A:A,PhpReserved!B:B,""),_xlfn.XLOOKUP(F295,PhpReserved!A:A,PhpReserved!B:B,""))</f>
        <v/>
      </c>
      <c r="M295" t="str">
        <f>IF(_xlfn.XLOOKUP(F295,PhpFunctions!A:A,PhpFunctions!B:B,"") =  "", _xlfn.XLOOKUP(G295,PhpFunctions!A:A,PhpFunctions!B:B,""), _xlfn.XLOOKUP(F295,PhpFunctions!A:A,PhpFunctions!B:B,""))</f>
        <v/>
      </c>
      <c r="N295" t="str">
        <f>IF(_xlfn.XLOOKUP(F295,PhpParamFunc!A:A,PhpParamFunc!B:B,"") = "", _xlfn.XLOOKUP(G295,PhpParamFunc!A:A,PhpParamFunc!B:B,""), _xlfn.XLOOKUP(F295,PhpParamFunc!A:A,PhpParamFunc!B:B,""))</f>
        <v/>
      </c>
      <c r="O295" t="str">
        <f>IF(_xlfn.XLOOKUP(F295,PhpAggrFunc!A:A,PhpAggrFunc!B:B,"") = "", _xlfn.XLOOKUP(G295,PhpAggrFunc!A:A,PhpAggrFunc!B:B,""), _xlfn.XLOOKUP(F295,PhpAggrFunc!A:A,PhpAggrFunc!B:B,""))</f>
        <v/>
      </c>
      <c r="P295" t="str">
        <f t="shared" si="26"/>
        <v>UNRESERVED</v>
      </c>
      <c r="Q295" t="str">
        <f t="shared" si="27"/>
        <v>static const String^ TOK_NTH_VALUE = "NTH_VALUE";</v>
      </c>
      <c r="R295" t="str">
        <f t="shared" si="28"/>
        <v>static const int TOK_NTH_VALUE = 631;</v>
      </c>
      <c r="S295" t="str">
        <f t="shared" si="29"/>
        <v>// _Tokens-&gt;Add((String^)GramVals::TOK_NTH_VALUE, gcnew Token(GramKeys::TOK_NTH_VALUE, EnumTokenCategory::UNRESERVED,BARE_LABEL, i++));</v>
      </c>
    </row>
    <row r="296" spans="1:19" x14ac:dyDescent="0.25">
      <c r="A296" s="3" t="s">
        <v>1661</v>
      </c>
      <c r="B296" s="5">
        <v>710</v>
      </c>
      <c r="C296" s="3" t="s">
        <v>2187</v>
      </c>
      <c r="D296" s="3" t="s">
        <v>2423</v>
      </c>
      <c r="F296" t="str">
        <f t="shared" si="24"/>
        <v>NTILE</v>
      </c>
      <c r="G296" t="s">
        <v>3748</v>
      </c>
      <c r="I296" s="3" t="str">
        <f>IF(_xlfn.XLOOKUP(F296,PgSqlRaw!B:B,PgSqlRaw!E:E,"") = "",_xlfn.XLOOKUP(G296,PgSqlRaw!B:B,PgSqlRaw!E:E,""),_xlfn.XLOOKUP(F296,PgSqlRaw!B:B,PgSqlRaw!E:E,""))</f>
        <v/>
      </c>
      <c r="J296" t="str">
        <f>IF(_xlfn.XLOOKUP(F296,PgSqlRaw!B:B,PgSqlRaw!F:F,"") = "", _xlfn.XLOOKUP(G296,PgSqlRaw!B:B,PgSqlRaw!F:F,""), _xlfn.XLOOKUP(F296,PgSqlRaw!B:B,PgSqlRaw!F:F,""))</f>
        <v/>
      </c>
      <c r="K296" t="str">
        <f t="shared" si="25"/>
        <v>BARE_LABEL</v>
      </c>
      <c r="L296" t="str">
        <f>IF(_xlfn.XLOOKUP(F296,PhpReserved!A:A,PhpReserved!B:B,"") = "", _xlfn.XLOOKUP(G296,PhpReserved!A:A,PhpReserved!B:B,""),_xlfn.XLOOKUP(F296,PhpReserved!A:A,PhpReserved!B:B,""))</f>
        <v/>
      </c>
      <c r="M296" t="str">
        <f>IF(_xlfn.XLOOKUP(F296,PhpFunctions!A:A,PhpFunctions!B:B,"") =  "", _xlfn.XLOOKUP(G296,PhpFunctions!A:A,PhpFunctions!B:B,""), _xlfn.XLOOKUP(F296,PhpFunctions!A:A,PhpFunctions!B:B,""))</f>
        <v/>
      </c>
      <c r="N296" t="str">
        <f>IF(_xlfn.XLOOKUP(F296,PhpParamFunc!A:A,PhpParamFunc!B:B,"") = "", _xlfn.XLOOKUP(G296,PhpParamFunc!A:A,PhpParamFunc!B:B,""), _xlfn.XLOOKUP(F296,PhpParamFunc!A:A,PhpParamFunc!B:B,""))</f>
        <v/>
      </c>
      <c r="O296" t="str">
        <f>IF(_xlfn.XLOOKUP(F296,PhpAggrFunc!A:A,PhpAggrFunc!B:B,"") = "", _xlfn.XLOOKUP(G296,PhpAggrFunc!A:A,PhpAggrFunc!B:B,""), _xlfn.XLOOKUP(F296,PhpAggrFunc!A:A,PhpAggrFunc!B:B,""))</f>
        <v/>
      </c>
      <c r="P296" t="str">
        <f t="shared" si="26"/>
        <v>UNRESERVED</v>
      </c>
      <c r="Q296" t="str">
        <f t="shared" si="27"/>
        <v>static const String^ TOK_NTILE = "NTILE";</v>
      </c>
      <c r="R296" t="str">
        <f t="shared" si="28"/>
        <v>static const int TOK_NTILE = 710;</v>
      </c>
      <c r="S296" t="str">
        <f t="shared" si="29"/>
        <v>// _Tokens-&gt;Add((String^)GramVals::TOK_NTILE, gcnew Token(GramKeys::TOK_NTILE, EnumTokenCategory::UNRESERVED,BARE_LABEL, i++));</v>
      </c>
    </row>
    <row r="297" spans="1:19" x14ac:dyDescent="0.25">
      <c r="A297" s="3" t="s">
        <v>1662</v>
      </c>
      <c r="B297" s="5" t="s">
        <v>1218</v>
      </c>
      <c r="C297" s="3" t="s">
        <v>2188</v>
      </c>
      <c r="D297" s="3" t="s">
        <v>881</v>
      </c>
      <c r="F297" t="str">
        <f t="shared" si="24"/>
        <v>NULL</v>
      </c>
      <c r="G297" t="s">
        <v>2407</v>
      </c>
      <c r="I297" s="3" t="str">
        <f>IF(_xlfn.XLOOKUP(F297,PgSqlRaw!B:B,PgSqlRaw!E:E,"") = "",_xlfn.XLOOKUP(G297,PgSqlRaw!B:B,PgSqlRaw!E:E,""),_xlfn.XLOOKUP(F297,PgSqlRaw!B:B,PgSqlRaw!E:E,""))</f>
        <v>RESERVED</v>
      </c>
      <c r="J297" t="str">
        <f>IF(_xlfn.XLOOKUP(F297,PgSqlRaw!B:B,PgSqlRaw!F:F,"") = "", _xlfn.XLOOKUP(G297,PgSqlRaw!B:B,PgSqlRaw!F:F,""), _xlfn.XLOOKUP(F297,PgSqlRaw!B:B,PgSqlRaw!F:F,""))</f>
        <v>BARE_LABEL</v>
      </c>
      <c r="K297" t="str">
        <f t="shared" si="25"/>
        <v>BARE_LABEL</v>
      </c>
      <c r="L297" t="str">
        <f>IF(_xlfn.XLOOKUP(F297,PhpReserved!A:A,PhpReserved!B:B,"") = "", _xlfn.XLOOKUP(G297,PhpReserved!A:A,PhpReserved!B:B,""),_xlfn.XLOOKUP(F297,PhpReserved!A:A,PhpReserved!B:B,""))</f>
        <v>RESERVED</v>
      </c>
      <c r="M297" t="str">
        <f>IF(_xlfn.XLOOKUP(F297,PhpFunctions!A:A,PhpFunctions!B:B,"") =  "", _xlfn.XLOOKUP(G297,PhpFunctions!A:A,PhpFunctions!B:B,""), _xlfn.XLOOKUP(F297,PhpFunctions!A:A,PhpFunctions!B:B,""))</f>
        <v/>
      </c>
      <c r="N297" t="str">
        <f>IF(_xlfn.XLOOKUP(F297,PhpParamFunc!A:A,PhpParamFunc!B:B,"") = "", _xlfn.XLOOKUP(G297,PhpParamFunc!A:A,PhpParamFunc!B:B,""), _xlfn.XLOOKUP(F297,PhpParamFunc!A:A,PhpParamFunc!B:B,""))</f>
        <v/>
      </c>
      <c r="O297" t="str">
        <f>IF(_xlfn.XLOOKUP(F297,PhpAggrFunc!A:A,PhpAggrFunc!B:B,"") = "", _xlfn.XLOOKUP(G297,PhpAggrFunc!A:A,PhpAggrFunc!B:B,""), _xlfn.XLOOKUP(F297,PhpAggrFunc!A:A,PhpAggrFunc!B:B,""))</f>
        <v/>
      </c>
      <c r="P297" t="str">
        <f t="shared" si="26"/>
        <v>RESERVED</v>
      </c>
      <c r="Q297" t="str">
        <f t="shared" si="27"/>
        <v>static const String^ TOK_NULL = "NULL";</v>
      </c>
      <c r="R297" t="str">
        <f t="shared" si="28"/>
        <v>static const int TOK_NULL = 344;</v>
      </c>
      <c r="S297" t="str">
        <f t="shared" si="29"/>
        <v>_Tokens-&gt;Add((String^)GramVals::TOK_NULL, gcnew Token(GramKeys::TOK_NULL, EnumTokenCategory::RESERVED,BARE_LABEL, i++));</v>
      </c>
    </row>
    <row r="298" spans="1:19" x14ac:dyDescent="0.25">
      <c r="A298" s="3" t="s">
        <v>1663</v>
      </c>
      <c r="B298" s="5" t="s">
        <v>1219</v>
      </c>
      <c r="C298" s="3" t="s">
        <v>2189</v>
      </c>
      <c r="D298" s="3" t="s">
        <v>2423</v>
      </c>
      <c r="F298" t="str">
        <f t="shared" si="24"/>
        <v>NULLIF</v>
      </c>
      <c r="G298" t="s">
        <v>3005</v>
      </c>
      <c r="I298" s="3" t="str">
        <f>IF(_xlfn.XLOOKUP(F298,PgSqlRaw!B:B,PgSqlRaw!E:E,"") = "",_xlfn.XLOOKUP(G298,PgSqlRaw!B:B,PgSqlRaw!E:E,""),_xlfn.XLOOKUP(F298,PgSqlRaw!B:B,PgSqlRaw!E:E,""))</f>
        <v>COLNAME_KEYWORD</v>
      </c>
      <c r="J298" t="str">
        <f>IF(_xlfn.XLOOKUP(F298,PgSqlRaw!B:B,PgSqlRaw!F:F,"") = "", _xlfn.XLOOKUP(G298,PgSqlRaw!B:B,PgSqlRaw!F:F,""), _xlfn.XLOOKUP(F298,PgSqlRaw!B:B,PgSqlRaw!F:F,""))</f>
        <v>BARE_LABEL</v>
      </c>
      <c r="K298" t="str">
        <f t="shared" si="25"/>
        <v>BARE_LABEL</v>
      </c>
      <c r="L298" t="str">
        <f>IF(_xlfn.XLOOKUP(F298,PhpReserved!A:A,PhpReserved!B:B,"") = "", _xlfn.XLOOKUP(G298,PhpReserved!A:A,PhpReserved!B:B,""),_xlfn.XLOOKUP(F298,PhpReserved!A:A,PhpReserved!B:B,""))</f>
        <v>RESERVED</v>
      </c>
      <c r="M298" t="str">
        <f>IF(_xlfn.XLOOKUP(F298,PhpFunctions!A:A,PhpFunctions!B:B,"") =  "", _xlfn.XLOOKUP(G298,PhpFunctions!A:A,PhpFunctions!B:B,""), _xlfn.XLOOKUP(F298,PhpFunctions!A:A,PhpFunctions!B:B,""))</f>
        <v>FUNCTION</v>
      </c>
      <c r="N298" t="str">
        <f>IF(_xlfn.XLOOKUP(F298,PhpParamFunc!A:A,PhpParamFunc!B:B,"") = "", _xlfn.XLOOKUP(G298,PhpParamFunc!A:A,PhpParamFunc!B:B,""), _xlfn.XLOOKUP(F298,PhpParamFunc!A:A,PhpParamFunc!B:B,""))</f>
        <v>PARAM_FUNCTION</v>
      </c>
      <c r="O298" t="str">
        <f>IF(_xlfn.XLOOKUP(F298,PhpAggrFunc!A:A,PhpAggrFunc!B:B,"") = "", _xlfn.XLOOKUP(G298,PhpAggrFunc!A:A,PhpAggrFunc!B:B,""), _xlfn.XLOOKUP(F298,PhpAggrFunc!A:A,PhpAggrFunc!B:B,""))</f>
        <v/>
      </c>
      <c r="P298" t="str">
        <f t="shared" si="26"/>
        <v>PARAM_FUNCTION</v>
      </c>
      <c r="Q298" t="str">
        <f t="shared" si="27"/>
        <v>static const String^ TOK_NULLIF = "NULLIF";</v>
      </c>
      <c r="R298" t="str">
        <f t="shared" si="28"/>
        <v>static const int TOK_NULLIF = 481;</v>
      </c>
      <c r="S298" t="str">
        <f t="shared" si="29"/>
        <v>_Tokens-&gt;Add((String^)GramVals::TOK_NULLIF, gcnew Token(GramKeys::TOK_NULLIF, EnumTokenCategory::PARAM_FUNCTION,BARE_LABEL, i++));</v>
      </c>
    </row>
    <row r="299" spans="1:19" x14ac:dyDescent="0.25">
      <c r="A299" s="3" t="s">
        <v>1664</v>
      </c>
      <c r="B299" s="5" t="s">
        <v>1220</v>
      </c>
      <c r="C299" s="3" t="s">
        <v>2190</v>
      </c>
      <c r="D299" s="3" t="s">
        <v>2423</v>
      </c>
      <c r="F299" t="str">
        <f t="shared" si="24"/>
        <v>NULLS</v>
      </c>
      <c r="G299" t="s">
        <v>3476</v>
      </c>
      <c r="I299" s="3" t="str">
        <f>IF(_xlfn.XLOOKUP(F299,PgSqlRaw!B:B,PgSqlRaw!E:E,"") = "",_xlfn.XLOOKUP(G299,PgSqlRaw!B:B,PgSqlRaw!E:E,""),_xlfn.XLOOKUP(F299,PgSqlRaw!B:B,PgSqlRaw!E:E,""))</f>
        <v/>
      </c>
      <c r="J299" t="str">
        <f>IF(_xlfn.XLOOKUP(F299,PgSqlRaw!B:B,PgSqlRaw!F:F,"") = "", _xlfn.XLOOKUP(G299,PgSqlRaw!B:B,PgSqlRaw!F:F,""), _xlfn.XLOOKUP(F299,PgSqlRaw!B:B,PgSqlRaw!F:F,""))</f>
        <v>BARE_LABEL</v>
      </c>
      <c r="K299" t="str">
        <f t="shared" si="25"/>
        <v>BARE_LABEL</v>
      </c>
      <c r="L299" t="str">
        <f>IF(_xlfn.XLOOKUP(F299,PhpReserved!A:A,PhpReserved!B:B,"") = "", _xlfn.XLOOKUP(G299,PhpReserved!A:A,PhpReserved!B:B,""),_xlfn.XLOOKUP(F299,PhpReserved!A:A,PhpReserved!B:B,""))</f>
        <v/>
      </c>
      <c r="M299" t="str">
        <f>IF(_xlfn.XLOOKUP(F299,PhpFunctions!A:A,PhpFunctions!B:B,"") =  "", _xlfn.XLOOKUP(G299,PhpFunctions!A:A,PhpFunctions!B:B,""), _xlfn.XLOOKUP(F299,PhpFunctions!A:A,PhpFunctions!B:B,""))</f>
        <v/>
      </c>
      <c r="N299" t="str">
        <f>IF(_xlfn.XLOOKUP(F299,PhpParamFunc!A:A,PhpParamFunc!B:B,"") = "", _xlfn.XLOOKUP(G299,PhpParamFunc!A:A,PhpParamFunc!B:B,""), _xlfn.XLOOKUP(F299,PhpParamFunc!A:A,PhpParamFunc!B:B,""))</f>
        <v/>
      </c>
      <c r="O299" t="str">
        <f>IF(_xlfn.XLOOKUP(F299,PhpAggrFunc!A:A,PhpAggrFunc!B:B,"") = "", _xlfn.XLOOKUP(G299,PhpAggrFunc!A:A,PhpAggrFunc!B:B,""), _xlfn.XLOOKUP(F299,PhpAggrFunc!A:A,PhpAggrFunc!B:B,""))</f>
        <v/>
      </c>
      <c r="P299" t="str">
        <f t="shared" si="26"/>
        <v>UNRESERVED</v>
      </c>
      <c r="Q299" t="str">
        <f t="shared" si="27"/>
        <v>static const String^ TOK_NULLS = "NULLS";</v>
      </c>
      <c r="R299" t="str">
        <f t="shared" si="28"/>
        <v>static const int TOK_NULLS = 484;</v>
      </c>
      <c r="S299" t="str">
        <f t="shared" si="29"/>
        <v>// _Tokens-&gt;Add((String^)GramVals::TOK_NULLS, gcnew Token(GramKeys::TOK_NULLS, EnumTokenCategory::UNRESERVED,BARE_LABEL, i++));</v>
      </c>
    </row>
    <row r="300" spans="1:19" x14ac:dyDescent="0.25">
      <c r="A300" s="3" t="s">
        <v>1665</v>
      </c>
      <c r="B300" s="5" t="s">
        <v>1221</v>
      </c>
      <c r="C300" s="3" t="s">
        <v>2191</v>
      </c>
      <c r="D300" s="3" t="s">
        <v>2423</v>
      </c>
      <c r="F300" t="str">
        <f t="shared" si="24"/>
        <v>NUM126</v>
      </c>
      <c r="G300" t="s">
        <v>3749</v>
      </c>
      <c r="I300" s="3" t="str">
        <f>IF(_xlfn.XLOOKUP(F300,PgSqlRaw!B:B,PgSqlRaw!E:E,"") = "",_xlfn.XLOOKUP(G300,PgSqlRaw!B:B,PgSqlRaw!E:E,""),_xlfn.XLOOKUP(F300,PgSqlRaw!B:B,PgSqlRaw!E:E,""))</f>
        <v/>
      </c>
      <c r="J300" t="str">
        <f>IF(_xlfn.XLOOKUP(F300,PgSqlRaw!B:B,PgSqlRaw!F:F,"") = "", _xlfn.XLOOKUP(G300,PgSqlRaw!B:B,PgSqlRaw!F:F,""), _xlfn.XLOOKUP(F300,PgSqlRaw!B:B,PgSqlRaw!F:F,""))</f>
        <v/>
      </c>
      <c r="K300" t="str">
        <f t="shared" si="25"/>
        <v>BARE_LABEL</v>
      </c>
      <c r="L300" t="str">
        <f>IF(_xlfn.XLOOKUP(F300,PhpReserved!A:A,PhpReserved!B:B,"") = "", _xlfn.XLOOKUP(G300,PhpReserved!A:A,PhpReserved!B:B,""),_xlfn.XLOOKUP(F300,PhpReserved!A:A,PhpReserved!B:B,""))</f>
        <v/>
      </c>
      <c r="M300" t="str">
        <f>IF(_xlfn.XLOOKUP(F300,PhpFunctions!A:A,PhpFunctions!B:B,"") =  "", _xlfn.XLOOKUP(G300,PhpFunctions!A:A,PhpFunctions!B:B,""), _xlfn.XLOOKUP(F300,PhpFunctions!A:A,PhpFunctions!B:B,""))</f>
        <v/>
      </c>
      <c r="N300" t="str">
        <f>IF(_xlfn.XLOOKUP(F300,PhpParamFunc!A:A,PhpParamFunc!B:B,"") = "", _xlfn.XLOOKUP(G300,PhpParamFunc!A:A,PhpParamFunc!B:B,""), _xlfn.XLOOKUP(F300,PhpParamFunc!A:A,PhpParamFunc!B:B,""))</f>
        <v/>
      </c>
      <c r="O300" t="str">
        <f>IF(_xlfn.XLOOKUP(F300,PhpAggrFunc!A:A,PhpAggrFunc!B:B,"") = "", _xlfn.XLOOKUP(G300,PhpAggrFunc!A:A,PhpAggrFunc!B:B,""), _xlfn.XLOOKUP(F300,PhpAggrFunc!A:A,PhpAggrFunc!B:B,""))</f>
        <v/>
      </c>
      <c r="P300" t="str">
        <f t="shared" si="26"/>
        <v>UNRESERVED</v>
      </c>
      <c r="Q300" t="str">
        <f t="shared" si="27"/>
        <v>static const String^ TOK_NUM126 = "NUM128";</v>
      </c>
      <c r="R300" t="str">
        <f t="shared" si="28"/>
        <v>static const int TOK_NUM126 = 651;</v>
      </c>
      <c r="S300" t="str">
        <f t="shared" si="29"/>
        <v>// _Tokens-&gt;Add((String^)GramVals::TOK_NUM126, gcnew Token(GramKeys::TOK_NUM126, EnumTokenCategory::UNRESERVED,BARE_LABEL, i++));</v>
      </c>
    </row>
    <row r="301" spans="1:19" x14ac:dyDescent="0.25">
      <c r="A301" s="3" t="s">
        <v>1666</v>
      </c>
      <c r="B301" s="5" t="s">
        <v>1222</v>
      </c>
      <c r="C301" s="3" t="s">
        <v>2192</v>
      </c>
      <c r="D301" s="3" t="s">
        <v>2423</v>
      </c>
      <c r="F301" t="str">
        <f t="shared" si="24"/>
        <v>NUMBER</v>
      </c>
      <c r="G301" t="s">
        <v>3750</v>
      </c>
      <c r="I301" s="3" t="str">
        <f>IF(_xlfn.XLOOKUP(F301,PgSqlRaw!B:B,PgSqlRaw!E:E,"") = "",_xlfn.XLOOKUP(G301,PgSqlRaw!B:B,PgSqlRaw!E:E,""),_xlfn.XLOOKUP(F301,PgSqlRaw!B:B,PgSqlRaw!E:E,""))</f>
        <v/>
      </c>
      <c r="J301" t="str">
        <f>IF(_xlfn.XLOOKUP(F301,PgSqlRaw!B:B,PgSqlRaw!F:F,"") = "", _xlfn.XLOOKUP(G301,PgSqlRaw!B:B,PgSqlRaw!F:F,""), _xlfn.XLOOKUP(F301,PgSqlRaw!B:B,PgSqlRaw!F:F,""))</f>
        <v/>
      </c>
      <c r="K301" t="str">
        <f t="shared" si="25"/>
        <v>BARE_LABEL</v>
      </c>
      <c r="L301" t="str">
        <f>IF(_xlfn.XLOOKUP(F301,PhpReserved!A:A,PhpReserved!B:B,"") = "", _xlfn.XLOOKUP(G301,PhpReserved!A:A,PhpReserved!B:B,""),_xlfn.XLOOKUP(F301,PhpReserved!A:A,PhpReserved!B:B,""))</f>
        <v/>
      </c>
      <c r="M301" t="str">
        <f>IF(_xlfn.XLOOKUP(F301,PhpFunctions!A:A,PhpFunctions!B:B,"") =  "", _xlfn.XLOOKUP(G301,PhpFunctions!A:A,PhpFunctions!B:B,""), _xlfn.XLOOKUP(F301,PhpFunctions!A:A,PhpFunctions!B:B,""))</f>
        <v/>
      </c>
      <c r="N301" t="str">
        <f>IF(_xlfn.XLOOKUP(F301,PhpParamFunc!A:A,PhpParamFunc!B:B,"") = "", _xlfn.XLOOKUP(G301,PhpParamFunc!A:A,PhpParamFunc!B:B,""), _xlfn.XLOOKUP(F301,PhpParamFunc!A:A,PhpParamFunc!B:B,""))</f>
        <v/>
      </c>
      <c r="O301" t="str">
        <f>IF(_xlfn.XLOOKUP(F301,PhpAggrFunc!A:A,PhpAggrFunc!B:B,"") = "", _xlfn.XLOOKUP(G301,PhpAggrFunc!A:A,PhpAggrFunc!B:B,""), _xlfn.XLOOKUP(F301,PhpAggrFunc!A:A,PhpAggrFunc!B:B,""))</f>
        <v/>
      </c>
      <c r="P301" t="str">
        <f t="shared" si="26"/>
        <v>UNRESERVED</v>
      </c>
      <c r="Q301" t="str">
        <f t="shared" si="27"/>
        <v>static const String^ TOK_NUMBER = "NUMBER";</v>
      </c>
      <c r="R301" t="str">
        <f t="shared" si="28"/>
        <v>static const int TOK_NUMBER = 442;</v>
      </c>
      <c r="S301" t="str">
        <f t="shared" si="29"/>
        <v>// _Tokens-&gt;Add((String^)GramVals::TOK_NUMBER, gcnew Token(GramKeys::TOK_NUMBER, EnumTokenCategory::UNRESERVED,BARE_LABEL, i++));</v>
      </c>
    </row>
    <row r="302" spans="1:19" x14ac:dyDescent="0.25">
      <c r="A302" s="3" t="s">
        <v>1667</v>
      </c>
      <c r="B302" s="5" t="s">
        <v>1223</v>
      </c>
      <c r="C302" s="3" t="s">
        <v>2193</v>
      </c>
      <c r="D302" s="3" t="s">
        <v>2423</v>
      </c>
      <c r="F302" t="str">
        <f t="shared" si="24"/>
        <v>NUMBER32BIT</v>
      </c>
      <c r="G302" t="s">
        <v>3751</v>
      </c>
      <c r="I302" s="3" t="str">
        <f>IF(_xlfn.XLOOKUP(F302,PgSqlRaw!B:B,PgSqlRaw!E:E,"") = "",_xlfn.XLOOKUP(G302,PgSqlRaw!B:B,PgSqlRaw!E:E,""),_xlfn.XLOOKUP(F302,PgSqlRaw!B:B,PgSqlRaw!E:E,""))</f>
        <v/>
      </c>
      <c r="J302" t="str">
        <f>IF(_xlfn.XLOOKUP(F302,PgSqlRaw!B:B,PgSqlRaw!F:F,"") = "", _xlfn.XLOOKUP(G302,PgSqlRaw!B:B,PgSqlRaw!F:F,""), _xlfn.XLOOKUP(F302,PgSqlRaw!B:B,PgSqlRaw!F:F,""))</f>
        <v/>
      </c>
      <c r="K302" t="str">
        <f t="shared" si="25"/>
        <v>BARE_LABEL</v>
      </c>
      <c r="L302" t="str">
        <f>IF(_xlfn.XLOOKUP(F302,PhpReserved!A:A,PhpReserved!B:B,"") = "", _xlfn.XLOOKUP(G302,PhpReserved!A:A,PhpReserved!B:B,""),_xlfn.XLOOKUP(F302,PhpReserved!A:A,PhpReserved!B:B,""))</f>
        <v/>
      </c>
      <c r="M302" t="str">
        <f>IF(_xlfn.XLOOKUP(F302,PhpFunctions!A:A,PhpFunctions!B:B,"") =  "", _xlfn.XLOOKUP(G302,PhpFunctions!A:A,PhpFunctions!B:B,""), _xlfn.XLOOKUP(F302,PhpFunctions!A:A,PhpFunctions!B:B,""))</f>
        <v/>
      </c>
      <c r="N302" t="str">
        <f>IF(_xlfn.XLOOKUP(F302,PhpParamFunc!A:A,PhpParamFunc!B:B,"") = "", _xlfn.XLOOKUP(G302,PhpParamFunc!A:A,PhpParamFunc!B:B,""), _xlfn.XLOOKUP(F302,PhpParamFunc!A:A,PhpParamFunc!B:B,""))</f>
        <v/>
      </c>
      <c r="O302" t="str">
        <f>IF(_xlfn.XLOOKUP(F302,PhpAggrFunc!A:A,PhpAggrFunc!B:B,"") = "", _xlfn.XLOOKUP(G302,PhpAggrFunc!A:A,PhpAggrFunc!B:B,""), _xlfn.XLOOKUP(F302,PhpAggrFunc!A:A,PhpAggrFunc!B:B,""))</f>
        <v/>
      </c>
      <c r="P302" t="str">
        <f t="shared" si="26"/>
        <v>UNRESERVED</v>
      </c>
      <c r="Q302" t="str">
        <f t="shared" si="27"/>
        <v>static const String^ TOK_NUMBER32BIT = "NUMBER32BIT";</v>
      </c>
      <c r="R302" t="str">
        <f t="shared" si="28"/>
        <v>static const int TOK_NUMBER32BIT = 652;</v>
      </c>
      <c r="S302" t="str">
        <f t="shared" si="29"/>
        <v>// _Tokens-&gt;Add((String^)GramVals::TOK_NUMBER32BIT, gcnew Token(GramKeys::TOK_NUMBER32BIT, EnumTokenCategory::UNRESERVED,BARE_LABEL, i++));</v>
      </c>
    </row>
    <row r="303" spans="1:19" x14ac:dyDescent="0.25">
      <c r="A303" s="3" t="s">
        <v>1668</v>
      </c>
      <c r="B303" s="5" t="s">
        <v>1224</v>
      </c>
      <c r="C303" s="3" t="s">
        <v>2194</v>
      </c>
      <c r="D303" s="3" t="s">
        <v>2423</v>
      </c>
      <c r="F303" t="str">
        <f t="shared" si="24"/>
        <v>NUMBER64BIT</v>
      </c>
      <c r="G303" t="s">
        <v>3752</v>
      </c>
      <c r="I303" s="3" t="str">
        <f>IF(_xlfn.XLOOKUP(F303,PgSqlRaw!B:B,PgSqlRaw!E:E,"") = "",_xlfn.XLOOKUP(G303,PgSqlRaw!B:B,PgSqlRaw!E:E,""),_xlfn.XLOOKUP(F303,PgSqlRaw!B:B,PgSqlRaw!E:E,""))</f>
        <v/>
      </c>
      <c r="J303" t="str">
        <f>IF(_xlfn.XLOOKUP(F303,PgSqlRaw!B:B,PgSqlRaw!F:F,"") = "", _xlfn.XLOOKUP(G303,PgSqlRaw!B:B,PgSqlRaw!F:F,""), _xlfn.XLOOKUP(F303,PgSqlRaw!B:B,PgSqlRaw!F:F,""))</f>
        <v/>
      </c>
      <c r="K303" t="str">
        <f t="shared" si="25"/>
        <v>BARE_LABEL</v>
      </c>
      <c r="L303" t="str">
        <f>IF(_xlfn.XLOOKUP(F303,PhpReserved!A:A,PhpReserved!B:B,"") = "", _xlfn.XLOOKUP(G303,PhpReserved!A:A,PhpReserved!B:B,""),_xlfn.XLOOKUP(F303,PhpReserved!A:A,PhpReserved!B:B,""))</f>
        <v/>
      </c>
      <c r="M303" t="str">
        <f>IF(_xlfn.XLOOKUP(F303,PhpFunctions!A:A,PhpFunctions!B:B,"") =  "", _xlfn.XLOOKUP(G303,PhpFunctions!A:A,PhpFunctions!B:B,""), _xlfn.XLOOKUP(F303,PhpFunctions!A:A,PhpFunctions!B:B,""))</f>
        <v/>
      </c>
      <c r="N303" t="str">
        <f>IF(_xlfn.XLOOKUP(F303,PhpParamFunc!A:A,PhpParamFunc!B:B,"") = "", _xlfn.XLOOKUP(G303,PhpParamFunc!A:A,PhpParamFunc!B:B,""), _xlfn.XLOOKUP(F303,PhpParamFunc!A:A,PhpParamFunc!B:B,""))</f>
        <v/>
      </c>
      <c r="O303" t="str">
        <f>IF(_xlfn.XLOOKUP(F303,PhpAggrFunc!A:A,PhpAggrFunc!B:B,"") = "", _xlfn.XLOOKUP(G303,PhpAggrFunc!A:A,PhpAggrFunc!B:B,""), _xlfn.XLOOKUP(F303,PhpAggrFunc!A:A,PhpAggrFunc!B:B,""))</f>
        <v/>
      </c>
      <c r="P303" t="str">
        <f t="shared" si="26"/>
        <v>UNRESERVED</v>
      </c>
      <c r="Q303" t="str">
        <f t="shared" si="27"/>
        <v>static const String^ TOK_NUMBER64BIT = "NUMBER64BIT";</v>
      </c>
      <c r="R303" t="str">
        <f t="shared" si="28"/>
        <v>static const int TOK_NUMBER64BIT = 467;</v>
      </c>
      <c r="S303" t="str">
        <f t="shared" si="29"/>
        <v>// _Tokens-&gt;Add((String^)GramVals::TOK_NUMBER64BIT, gcnew Token(GramKeys::TOK_NUMBER64BIT, EnumTokenCategory::UNRESERVED,BARE_LABEL, i++));</v>
      </c>
    </row>
    <row r="304" spans="1:19" x14ac:dyDescent="0.25">
      <c r="A304" s="3" t="s">
        <v>1669</v>
      </c>
      <c r="B304" s="5" t="s">
        <v>1225</v>
      </c>
      <c r="C304" s="3" t="s">
        <v>2195</v>
      </c>
      <c r="D304" s="3" t="s">
        <v>881</v>
      </c>
      <c r="F304" t="str">
        <f t="shared" si="24"/>
        <v>NUMERIC</v>
      </c>
      <c r="G304" t="s">
        <v>3202</v>
      </c>
      <c r="I304" s="3" t="str">
        <f>IF(_xlfn.XLOOKUP(F304,PgSqlRaw!B:B,PgSqlRaw!E:E,"") = "",_xlfn.XLOOKUP(G304,PgSqlRaw!B:B,PgSqlRaw!E:E,""),_xlfn.XLOOKUP(F304,PgSqlRaw!B:B,PgSqlRaw!E:E,""))</f>
        <v>COLNAME_KEYWORD</v>
      </c>
      <c r="J304" t="str">
        <f>IF(_xlfn.XLOOKUP(F304,PgSqlRaw!B:B,PgSqlRaw!F:F,"") = "", _xlfn.XLOOKUP(G304,PgSqlRaw!B:B,PgSqlRaw!F:F,""), _xlfn.XLOOKUP(F304,PgSqlRaw!B:B,PgSqlRaw!F:F,""))</f>
        <v>BARE_LABEL</v>
      </c>
      <c r="K304" t="str">
        <f t="shared" si="25"/>
        <v>BARE_LABEL</v>
      </c>
      <c r="L304" t="str">
        <f>IF(_xlfn.XLOOKUP(F304,PhpReserved!A:A,PhpReserved!B:B,"") = "", _xlfn.XLOOKUP(G304,PhpReserved!A:A,PhpReserved!B:B,""),_xlfn.XLOOKUP(F304,PhpReserved!A:A,PhpReserved!B:B,""))</f>
        <v>RESERVED</v>
      </c>
      <c r="M304" t="str">
        <f>IF(_xlfn.XLOOKUP(F304,PhpFunctions!A:A,PhpFunctions!B:B,"") =  "", _xlfn.XLOOKUP(G304,PhpFunctions!A:A,PhpFunctions!B:B,""), _xlfn.XLOOKUP(F304,PhpFunctions!A:A,PhpFunctions!B:B,""))</f>
        <v/>
      </c>
      <c r="N304" t="str">
        <f>IF(_xlfn.XLOOKUP(F304,PhpParamFunc!A:A,PhpParamFunc!B:B,"") = "", _xlfn.XLOOKUP(G304,PhpParamFunc!A:A,PhpParamFunc!B:B,""), _xlfn.XLOOKUP(F304,PhpParamFunc!A:A,PhpParamFunc!B:B,""))</f>
        <v/>
      </c>
      <c r="O304" t="str">
        <f>IF(_xlfn.XLOOKUP(F304,PhpAggrFunc!A:A,PhpAggrFunc!B:B,"") = "", _xlfn.XLOOKUP(G304,PhpAggrFunc!A:A,PhpAggrFunc!B:B,""), _xlfn.XLOOKUP(F304,PhpAggrFunc!A:A,PhpAggrFunc!B:B,""))</f>
        <v/>
      </c>
      <c r="P304" t="str">
        <f t="shared" si="26"/>
        <v>RESERVED</v>
      </c>
      <c r="Q304" t="str">
        <f t="shared" si="27"/>
        <v>static const String^ TOK_NUMERIC = "NUMERIC";</v>
      </c>
      <c r="R304" t="str">
        <f t="shared" si="28"/>
        <v>static const int TOK_NUMERIC = 345;</v>
      </c>
      <c r="S304" t="str">
        <f t="shared" si="29"/>
        <v>_Tokens-&gt;Add((String^)GramVals::TOK_NUMERIC, gcnew Token(GramKeys::TOK_NUMERIC, EnumTokenCategory::RESERVED,BARE_LABEL, i++));</v>
      </c>
    </row>
    <row r="305" spans="1:19" x14ac:dyDescent="0.25">
      <c r="A305" s="3" t="s">
        <v>1670</v>
      </c>
      <c r="B305" s="5" t="s">
        <v>1226</v>
      </c>
      <c r="C305" s="3" t="s">
        <v>2196</v>
      </c>
      <c r="D305" s="3" t="s">
        <v>881</v>
      </c>
      <c r="F305" t="str">
        <f t="shared" si="24"/>
        <v>OCTET_LENGTH</v>
      </c>
      <c r="G305" t="s">
        <v>3007</v>
      </c>
      <c r="I305" s="3" t="str">
        <f>IF(_xlfn.XLOOKUP(F305,PgSqlRaw!B:B,PgSqlRaw!E:E,"") = "",_xlfn.XLOOKUP(G305,PgSqlRaw!B:B,PgSqlRaw!E:E,""),_xlfn.XLOOKUP(F305,PgSqlRaw!B:B,PgSqlRaw!E:E,""))</f>
        <v/>
      </c>
      <c r="J305" t="str">
        <f>IF(_xlfn.XLOOKUP(F305,PgSqlRaw!B:B,PgSqlRaw!F:F,"") = "", _xlfn.XLOOKUP(G305,PgSqlRaw!B:B,PgSqlRaw!F:F,""), _xlfn.XLOOKUP(F305,PgSqlRaw!B:B,PgSqlRaw!F:F,""))</f>
        <v/>
      </c>
      <c r="K305" t="str">
        <f t="shared" si="25"/>
        <v>BARE_LABEL</v>
      </c>
      <c r="L305" t="str">
        <f>IF(_xlfn.XLOOKUP(F305,PhpReserved!A:A,PhpReserved!B:B,"") = "", _xlfn.XLOOKUP(G305,PhpReserved!A:A,PhpReserved!B:B,""),_xlfn.XLOOKUP(F305,PhpReserved!A:A,PhpReserved!B:B,""))</f>
        <v>RESERVED</v>
      </c>
      <c r="M305" t="str">
        <f>IF(_xlfn.XLOOKUP(F305,PhpFunctions!A:A,PhpFunctions!B:B,"") =  "", _xlfn.XLOOKUP(G305,PhpFunctions!A:A,PhpFunctions!B:B,""), _xlfn.XLOOKUP(F305,PhpFunctions!A:A,PhpFunctions!B:B,""))</f>
        <v>FUNCTION</v>
      </c>
      <c r="N305" t="str">
        <f>IF(_xlfn.XLOOKUP(F305,PhpParamFunc!A:A,PhpParamFunc!B:B,"") = "", _xlfn.XLOOKUP(G305,PhpParamFunc!A:A,PhpParamFunc!B:B,""), _xlfn.XLOOKUP(F305,PhpParamFunc!A:A,PhpParamFunc!B:B,""))</f>
        <v>PARAM_FUNCTION</v>
      </c>
      <c r="O305" t="str">
        <f>IF(_xlfn.XLOOKUP(F305,PhpAggrFunc!A:A,PhpAggrFunc!B:B,"") = "", _xlfn.XLOOKUP(G305,PhpAggrFunc!A:A,PhpAggrFunc!B:B,""), _xlfn.XLOOKUP(F305,PhpAggrFunc!A:A,PhpAggrFunc!B:B,""))</f>
        <v/>
      </c>
      <c r="P305" t="str">
        <f t="shared" si="26"/>
        <v>PARAM_FUNCTION</v>
      </c>
      <c r="Q305" t="str">
        <f t="shared" si="27"/>
        <v>static const String^ TOK_OCTET_LENGTH = "OCTET_LENGTH";</v>
      </c>
      <c r="R305" t="str">
        <f t="shared" si="28"/>
        <v>static const int TOK_OCTET_LENGTH = 516;</v>
      </c>
      <c r="S305" t="str">
        <f t="shared" si="29"/>
        <v>_Tokens-&gt;Add((String^)GramVals::TOK_OCTET_LENGTH, gcnew Token(GramKeys::TOK_OCTET_LENGTH, EnumTokenCategory::PARAM_FUNCTION,BARE_LABEL, i++));</v>
      </c>
    </row>
    <row r="306" spans="1:19" x14ac:dyDescent="0.25">
      <c r="A306" s="3" t="s">
        <v>1671</v>
      </c>
      <c r="B306" s="5" t="s">
        <v>1227</v>
      </c>
      <c r="C306" s="3" t="s">
        <v>2197</v>
      </c>
      <c r="D306" s="3" t="s">
        <v>881</v>
      </c>
      <c r="F306" t="str">
        <f t="shared" si="24"/>
        <v>OF</v>
      </c>
      <c r="G306" t="s">
        <v>3478</v>
      </c>
      <c r="I306" s="3" t="str">
        <f>IF(_xlfn.XLOOKUP(F306,PgSqlRaw!B:B,PgSqlRaw!E:E,"") = "",_xlfn.XLOOKUP(G306,PgSqlRaw!B:B,PgSqlRaw!E:E,""),_xlfn.XLOOKUP(F306,PgSqlRaw!B:B,PgSqlRaw!E:E,""))</f>
        <v/>
      </c>
      <c r="J306" t="str">
        <f>IF(_xlfn.XLOOKUP(F306,PgSqlRaw!B:B,PgSqlRaw!F:F,"") = "", _xlfn.XLOOKUP(G306,PgSqlRaw!B:B,PgSqlRaw!F:F,""), _xlfn.XLOOKUP(F306,PgSqlRaw!B:B,PgSqlRaw!F:F,""))</f>
        <v>BARE_LABEL</v>
      </c>
      <c r="K306" t="str">
        <f t="shared" si="25"/>
        <v>BARE_LABEL</v>
      </c>
      <c r="L306" t="str">
        <f>IF(_xlfn.XLOOKUP(F306,PhpReserved!A:A,PhpReserved!B:B,"") = "", _xlfn.XLOOKUP(G306,PhpReserved!A:A,PhpReserved!B:B,""),_xlfn.XLOOKUP(F306,PhpReserved!A:A,PhpReserved!B:B,""))</f>
        <v/>
      </c>
      <c r="M306" t="str">
        <f>IF(_xlfn.XLOOKUP(F306,PhpFunctions!A:A,PhpFunctions!B:B,"") =  "", _xlfn.XLOOKUP(G306,PhpFunctions!A:A,PhpFunctions!B:B,""), _xlfn.XLOOKUP(F306,PhpFunctions!A:A,PhpFunctions!B:B,""))</f>
        <v/>
      </c>
      <c r="N306" t="str">
        <f>IF(_xlfn.XLOOKUP(F306,PhpParamFunc!A:A,PhpParamFunc!B:B,"") = "", _xlfn.XLOOKUP(G306,PhpParamFunc!A:A,PhpParamFunc!B:B,""), _xlfn.XLOOKUP(F306,PhpParamFunc!A:A,PhpParamFunc!B:B,""))</f>
        <v/>
      </c>
      <c r="O306" t="str">
        <f>IF(_xlfn.XLOOKUP(F306,PhpAggrFunc!A:A,PhpAggrFunc!B:B,"") = "", _xlfn.XLOOKUP(G306,PhpAggrFunc!A:A,PhpAggrFunc!B:B,""), _xlfn.XLOOKUP(F306,PhpAggrFunc!A:A,PhpAggrFunc!B:B,""))</f>
        <v/>
      </c>
      <c r="P306" t="str">
        <f t="shared" si="26"/>
        <v>UNRESERVED</v>
      </c>
      <c r="Q306" t="str">
        <f t="shared" si="27"/>
        <v>static const String^ TOK_OF = "OF";</v>
      </c>
      <c r="R306" t="str">
        <f t="shared" si="28"/>
        <v>static const int TOK_OF = 367;</v>
      </c>
      <c r="S306" t="str">
        <f t="shared" si="29"/>
        <v>// _Tokens-&gt;Add((String^)GramVals::TOK_OF, gcnew Token(GramKeys::TOK_OF, EnumTokenCategory::UNRESERVED,BARE_LABEL, i++));</v>
      </c>
    </row>
    <row r="307" spans="1:19" x14ac:dyDescent="0.25">
      <c r="A307" s="3" t="s">
        <v>1672</v>
      </c>
      <c r="B307" s="5">
        <v>711</v>
      </c>
      <c r="C307" s="3" t="s">
        <v>2198</v>
      </c>
      <c r="D307" s="3" t="s">
        <v>881</v>
      </c>
      <c r="F307" t="str">
        <f t="shared" si="24"/>
        <v>OFFSET</v>
      </c>
      <c r="G307" t="s">
        <v>3480</v>
      </c>
      <c r="I307" s="3" t="str">
        <f>IF(_xlfn.XLOOKUP(F307,PgSqlRaw!B:B,PgSqlRaw!E:E,"") = "",_xlfn.XLOOKUP(G307,PgSqlRaw!B:B,PgSqlRaw!E:E,""),_xlfn.XLOOKUP(F307,PgSqlRaw!B:B,PgSqlRaw!E:E,""))</f>
        <v>RESERVED</v>
      </c>
      <c r="J307" t="str">
        <f>IF(_xlfn.XLOOKUP(F307,PgSqlRaw!B:B,PgSqlRaw!F:F,"") = "", _xlfn.XLOOKUP(G307,PgSqlRaw!B:B,PgSqlRaw!F:F,""), _xlfn.XLOOKUP(F307,PgSqlRaw!B:B,PgSqlRaw!F:F,""))</f>
        <v>AS_LABEL</v>
      </c>
      <c r="K307" t="str">
        <f t="shared" si="25"/>
        <v>AS_LABEL</v>
      </c>
      <c r="L307" t="str">
        <f>IF(_xlfn.XLOOKUP(F307,PhpReserved!A:A,PhpReserved!B:B,"") = "", _xlfn.XLOOKUP(G307,PhpReserved!A:A,PhpReserved!B:B,""),_xlfn.XLOOKUP(F307,PhpReserved!A:A,PhpReserved!B:B,""))</f>
        <v/>
      </c>
      <c r="M307" t="str">
        <f>IF(_xlfn.XLOOKUP(F307,PhpFunctions!A:A,PhpFunctions!B:B,"") =  "", _xlfn.XLOOKUP(G307,PhpFunctions!A:A,PhpFunctions!B:B,""), _xlfn.XLOOKUP(F307,PhpFunctions!A:A,PhpFunctions!B:B,""))</f>
        <v/>
      </c>
      <c r="N307" t="str">
        <f>IF(_xlfn.XLOOKUP(F307,PhpParamFunc!A:A,PhpParamFunc!B:B,"") = "", _xlfn.XLOOKUP(G307,PhpParamFunc!A:A,PhpParamFunc!B:B,""), _xlfn.XLOOKUP(F307,PhpParamFunc!A:A,PhpParamFunc!B:B,""))</f>
        <v/>
      </c>
      <c r="O307" t="str">
        <f>IF(_xlfn.XLOOKUP(F307,PhpAggrFunc!A:A,PhpAggrFunc!B:B,"") = "", _xlfn.XLOOKUP(G307,PhpAggrFunc!A:A,PhpAggrFunc!B:B,""), _xlfn.XLOOKUP(F307,PhpAggrFunc!A:A,PhpAggrFunc!B:B,""))</f>
        <v/>
      </c>
      <c r="P307" t="str">
        <f t="shared" si="26"/>
        <v>RESERVED</v>
      </c>
      <c r="Q307" t="str">
        <f t="shared" si="27"/>
        <v>static const String^ TOK_OFFSET = "OFFSET";</v>
      </c>
      <c r="R307" t="str">
        <f t="shared" si="28"/>
        <v>static const int TOK_OFFSET = 711;</v>
      </c>
      <c r="S307" t="str">
        <f t="shared" si="29"/>
        <v>_Tokens-&gt;Add((String^)GramVals::TOK_OFFSET, gcnew Token(GramKeys::TOK_OFFSET, EnumTokenCategory::RESERVED,AS_LABEL, i++));</v>
      </c>
    </row>
    <row r="308" spans="1:19" x14ac:dyDescent="0.25">
      <c r="A308" s="3" t="s">
        <v>1673</v>
      </c>
      <c r="B308" s="5">
        <v>712</v>
      </c>
      <c r="C308" s="3" t="s">
        <v>2199</v>
      </c>
      <c r="D308" s="3" t="s">
        <v>2423</v>
      </c>
      <c r="F308" t="str">
        <f t="shared" si="24"/>
        <v>OLDEST</v>
      </c>
      <c r="G308" t="s">
        <v>3753</v>
      </c>
      <c r="I308" s="3" t="str">
        <f>IF(_xlfn.XLOOKUP(F308,PgSqlRaw!B:B,PgSqlRaw!E:E,"") = "",_xlfn.XLOOKUP(G308,PgSqlRaw!B:B,PgSqlRaw!E:E,""),_xlfn.XLOOKUP(F308,PgSqlRaw!B:B,PgSqlRaw!E:E,""))</f>
        <v/>
      </c>
      <c r="J308" t="str">
        <f>IF(_xlfn.XLOOKUP(F308,PgSqlRaw!B:B,PgSqlRaw!F:F,"") = "", _xlfn.XLOOKUP(G308,PgSqlRaw!B:B,PgSqlRaw!F:F,""), _xlfn.XLOOKUP(F308,PgSqlRaw!B:B,PgSqlRaw!F:F,""))</f>
        <v/>
      </c>
      <c r="K308" t="str">
        <f t="shared" si="25"/>
        <v>BARE_LABEL</v>
      </c>
      <c r="L308" t="str">
        <f>IF(_xlfn.XLOOKUP(F308,PhpReserved!A:A,PhpReserved!B:B,"") = "", _xlfn.XLOOKUP(G308,PhpReserved!A:A,PhpReserved!B:B,""),_xlfn.XLOOKUP(F308,PhpReserved!A:A,PhpReserved!B:B,""))</f>
        <v/>
      </c>
      <c r="M308" t="str">
        <f>IF(_xlfn.XLOOKUP(F308,PhpFunctions!A:A,PhpFunctions!B:B,"") =  "", _xlfn.XLOOKUP(G308,PhpFunctions!A:A,PhpFunctions!B:B,""), _xlfn.XLOOKUP(F308,PhpFunctions!A:A,PhpFunctions!B:B,""))</f>
        <v/>
      </c>
      <c r="N308" t="str">
        <f>IF(_xlfn.XLOOKUP(F308,PhpParamFunc!A:A,PhpParamFunc!B:B,"") = "", _xlfn.XLOOKUP(G308,PhpParamFunc!A:A,PhpParamFunc!B:B,""), _xlfn.XLOOKUP(F308,PhpParamFunc!A:A,PhpParamFunc!B:B,""))</f>
        <v/>
      </c>
      <c r="O308" t="str">
        <f>IF(_xlfn.XLOOKUP(F308,PhpAggrFunc!A:A,PhpAggrFunc!B:B,"") = "", _xlfn.XLOOKUP(G308,PhpAggrFunc!A:A,PhpAggrFunc!B:B,""), _xlfn.XLOOKUP(F308,PhpAggrFunc!A:A,PhpAggrFunc!B:B,""))</f>
        <v/>
      </c>
      <c r="P308" t="str">
        <f t="shared" si="26"/>
        <v>UNRESERVED</v>
      </c>
      <c r="Q308" t="str">
        <f t="shared" si="27"/>
        <v>static const String^ TOK_OLDEST = "OLDEST";</v>
      </c>
      <c r="R308" t="str">
        <f t="shared" si="28"/>
        <v>static const int TOK_OLDEST = 712;</v>
      </c>
      <c r="S308" t="str">
        <f t="shared" si="29"/>
        <v>// _Tokens-&gt;Add((String^)GramVals::TOK_OLDEST, gcnew Token(GramKeys::TOK_OLDEST, EnumTokenCategory::UNRESERVED,BARE_LABEL, i++));</v>
      </c>
    </row>
    <row r="309" spans="1:19" x14ac:dyDescent="0.25">
      <c r="A309" s="3" t="s">
        <v>1674</v>
      </c>
      <c r="B309" s="5" t="s">
        <v>1228</v>
      </c>
      <c r="C309" s="3" t="s">
        <v>2200</v>
      </c>
      <c r="D309" s="3" t="s">
        <v>881</v>
      </c>
      <c r="F309" t="str">
        <f t="shared" si="24"/>
        <v>ON</v>
      </c>
      <c r="G309" t="s">
        <v>3203</v>
      </c>
      <c r="I309" s="3" t="str">
        <f>IF(_xlfn.XLOOKUP(F309,PgSqlRaw!B:B,PgSqlRaw!E:E,"") = "",_xlfn.XLOOKUP(G309,PgSqlRaw!B:B,PgSqlRaw!E:E,""),_xlfn.XLOOKUP(F309,PgSqlRaw!B:B,PgSqlRaw!E:E,""))</f>
        <v>RESERVED</v>
      </c>
      <c r="J309" t="str">
        <f>IF(_xlfn.XLOOKUP(F309,PgSqlRaw!B:B,PgSqlRaw!F:F,"") = "", _xlfn.XLOOKUP(G309,PgSqlRaw!B:B,PgSqlRaw!F:F,""), _xlfn.XLOOKUP(F309,PgSqlRaw!B:B,PgSqlRaw!F:F,""))</f>
        <v>AS_LABEL</v>
      </c>
      <c r="K309" t="str">
        <f t="shared" si="25"/>
        <v>AS_LABEL</v>
      </c>
      <c r="L309" t="str">
        <f>IF(_xlfn.XLOOKUP(F309,PhpReserved!A:A,PhpReserved!B:B,"") = "", _xlfn.XLOOKUP(G309,PhpReserved!A:A,PhpReserved!B:B,""),_xlfn.XLOOKUP(F309,PhpReserved!A:A,PhpReserved!B:B,""))</f>
        <v>RESERVED</v>
      </c>
      <c r="M309" t="str">
        <f>IF(_xlfn.XLOOKUP(F309,PhpFunctions!A:A,PhpFunctions!B:B,"") =  "", _xlfn.XLOOKUP(G309,PhpFunctions!A:A,PhpFunctions!B:B,""), _xlfn.XLOOKUP(F309,PhpFunctions!A:A,PhpFunctions!B:B,""))</f>
        <v/>
      </c>
      <c r="N309" t="str">
        <f>IF(_xlfn.XLOOKUP(F309,PhpParamFunc!A:A,PhpParamFunc!B:B,"") = "", _xlfn.XLOOKUP(G309,PhpParamFunc!A:A,PhpParamFunc!B:B,""), _xlfn.XLOOKUP(F309,PhpParamFunc!A:A,PhpParamFunc!B:B,""))</f>
        <v/>
      </c>
      <c r="O309" t="str">
        <f>IF(_xlfn.XLOOKUP(F309,PhpAggrFunc!A:A,PhpAggrFunc!B:B,"") = "", _xlfn.XLOOKUP(G309,PhpAggrFunc!A:A,PhpAggrFunc!B:B,""), _xlfn.XLOOKUP(F309,PhpAggrFunc!A:A,PhpAggrFunc!B:B,""))</f>
        <v/>
      </c>
      <c r="P309" t="str">
        <f t="shared" si="26"/>
        <v>RESERVED</v>
      </c>
      <c r="Q309" t="str">
        <f t="shared" si="27"/>
        <v>static const String^ TOK_ON = "ON";</v>
      </c>
      <c r="R309" t="str">
        <f t="shared" si="28"/>
        <v>static const int TOK_ON = 368;</v>
      </c>
      <c r="S309" t="str">
        <f t="shared" si="29"/>
        <v>_Tokens-&gt;Add((String^)GramVals::TOK_ON, gcnew Token(GramKeys::TOK_ON, EnumTokenCategory::RESERVED,AS_LABEL, i++));</v>
      </c>
    </row>
    <row r="310" spans="1:19" x14ac:dyDescent="0.25">
      <c r="A310" s="3" t="s">
        <v>1675</v>
      </c>
      <c r="B310" s="5" t="s">
        <v>1229</v>
      </c>
      <c r="C310" s="3" t="s">
        <v>2201</v>
      </c>
      <c r="D310" s="3" t="s">
        <v>881</v>
      </c>
      <c r="F310" t="str">
        <f t="shared" si="24"/>
        <v>ONLY</v>
      </c>
      <c r="G310" t="s">
        <v>3483</v>
      </c>
      <c r="I310" s="3" t="str">
        <f>IF(_xlfn.XLOOKUP(F310,PgSqlRaw!B:B,PgSqlRaw!E:E,"") = "",_xlfn.XLOOKUP(G310,PgSqlRaw!B:B,PgSqlRaw!E:E,""),_xlfn.XLOOKUP(F310,PgSqlRaw!B:B,PgSqlRaw!E:E,""))</f>
        <v>RESERVED</v>
      </c>
      <c r="J310" t="str">
        <f>IF(_xlfn.XLOOKUP(F310,PgSqlRaw!B:B,PgSqlRaw!F:F,"") = "", _xlfn.XLOOKUP(G310,PgSqlRaw!B:B,PgSqlRaw!F:F,""), _xlfn.XLOOKUP(F310,PgSqlRaw!B:B,PgSqlRaw!F:F,""))</f>
        <v>BARE_LABEL</v>
      </c>
      <c r="K310" t="str">
        <f t="shared" si="25"/>
        <v>BARE_LABEL</v>
      </c>
      <c r="L310" t="str">
        <f>IF(_xlfn.XLOOKUP(F310,PhpReserved!A:A,PhpReserved!B:B,"") = "", _xlfn.XLOOKUP(G310,PhpReserved!A:A,PhpReserved!B:B,""),_xlfn.XLOOKUP(F310,PhpReserved!A:A,PhpReserved!B:B,""))</f>
        <v/>
      </c>
      <c r="M310" t="str">
        <f>IF(_xlfn.XLOOKUP(F310,PhpFunctions!A:A,PhpFunctions!B:B,"") =  "", _xlfn.XLOOKUP(G310,PhpFunctions!A:A,PhpFunctions!B:B,""), _xlfn.XLOOKUP(F310,PhpFunctions!A:A,PhpFunctions!B:B,""))</f>
        <v/>
      </c>
      <c r="N310" t="str">
        <f>IF(_xlfn.XLOOKUP(F310,PhpParamFunc!A:A,PhpParamFunc!B:B,"") = "", _xlfn.XLOOKUP(G310,PhpParamFunc!A:A,PhpParamFunc!B:B,""), _xlfn.XLOOKUP(F310,PhpParamFunc!A:A,PhpParamFunc!B:B,""))</f>
        <v/>
      </c>
      <c r="O310" t="str">
        <f>IF(_xlfn.XLOOKUP(F310,PhpAggrFunc!A:A,PhpAggrFunc!B:B,"") = "", _xlfn.XLOOKUP(G310,PhpAggrFunc!A:A,PhpAggrFunc!B:B,""), _xlfn.XLOOKUP(F310,PhpAggrFunc!A:A,PhpAggrFunc!B:B,""))</f>
        <v/>
      </c>
      <c r="P310" t="str">
        <f t="shared" si="26"/>
        <v>RESERVED</v>
      </c>
      <c r="Q310" t="str">
        <f t="shared" si="27"/>
        <v>static const String^ TOK_ONLY = "ONLY";</v>
      </c>
      <c r="R310" t="str">
        <f t="shared" si="28"/>
        <v>static const int TOK_ONLY = 369;</v>
      </c>
      <c r="S310" t="str">
        <f t="shared" si="29"/>
        <v>_Tokens-&gt;Add((String^)GramVals::TOK_ONLY, gcnew Token(GramKeys::TOK_ONLY, EnumTokenCategory::RESERVED,BARE_LABEL, i++));</v>
      </c>
    </row>
    <row r="311" spans="1:19" x14ac:dyDescent="0.25">
      <c r="A311" s="3" t="s">
        <v>1676</v>
      </c>
      <c r="B311" s="5" t="s">
        <v>1230</v>
      </c>
      <c r="C311" s="3" t="s">
        <v>2202</v>
      </c>
      <c r="D311" s="3" t="s">
        <v>881</v>
      </c>
      <c r="F311" t="str">
        <f t="shared" si="24"/>
        <v>OPEN</v>
      </c>
      <c r="G311" t="s">
        <v>3754</v>
      </c>
      <c r="I311" s="3" t="str">
        <f>IF(_xlfn.XLOOKUP(F311,PgSqlRaw!B:B,PgSqlRaw!E:E,"") = "",_xlfn.XLOOKUP(G311,PgSqlRaw!B:B,PgSqlRaw!E:E,""),_xlfn.XLOOKUP(F311,PgSqlRaw!B:B,PgSqlRaw!E:E,""))</f>
        <v/>
      </c>
      <c r="J311" t="str">
        <f>IF(_xlfn.XLOOKUP(F311,PgSqlRaw!B:B,PgSqlRaw!F:F,"") = "", _xlfn.XLOOKUP(G311,PgSqlRaw!B:B,PgSqlRaw!F:F,""), _xlfn.XLOOKUP(F311,PgSqlRaw!B:B,PgSqlRaw!F:F,""))</f>
        <v/>
      </c>
      <c r="K311" t="str">
        <f t="shared" si="25"/>
        <v>BARE_LABEL</v>
      </c>
      <c r="L311" t="str">
        <f>IF(_xlfn.XLOOKUP(F311,PhpReserved!A:A,PhpReserved!B:B,"") = "", _xlfn.XLOOKUP(G311,PhpReserved!A:A,PhpReserved!B:B,""),_xlfn.XLOOKUP(F311,PhpReserved!A:A,PhpReserved!B:B,""))</f>
        <v/>
      </c>
      <c r="M311" t="str">
        <f>IF(_xlfn.XLOOKUP(F311,PhpFunctions!A:A,PhpFunctions!B:B,"") =  "", _xlfn.XLOOKUP(G311,PhpFunctions!A:A,PhpFunctions!B:B,""), _xlfn.XLOOKUP(F311,PhpFunctions!A:A,PhpFunctions!B:B,""))</f>
        <v/>
      </c>
      <c r="N311" t="str">
        <f>IF(_xlfn.XLOOKUP(F311,PhpParamFunc!A:A,PhpParamFunc!B:B,"") = "", _xlfn.XLOOKUP(G311,PhpParamFunc!A:A,PhpParamFunc!B:B,""), _xlfn.XLOOKUP(F311,PhpParamFunc!A:A,PhpParamFunc!B:B,""))</f>
        <v/>
      </c>
      <c r="O311" t="str">
        <f>IF(_xlfn.XLOOKUP(F311,PhpAggrFunc!A:A,PhpAggrFunc!B:B,"") = "", _xlfn.XLOOKUP(G311,PhpAggrFunc!A:A,PhpAggrFunc!B:B,""), _xlfn.XLOOKUP(F311,PhpAggrFunc!A:A,PhpAggrFunc!B:B,""))</f>
        <v/>
      </c>
      <c r="P311" t="str">
        <f t="shared" si="26"/>
        <v>UNRESERVED</v>
      </c>
      <c r="Q311" t="str">
        <f t="shared" si="27"/>
        <v>static const String^ TOK_OPEN = "OPEN";</v>
      </c>
      <c r="R311" t="str">
        <f t="shared" si="28"/>
        <v>static const int TOK_OPEN = 497;</v>
      </c>
      <c r="S311" t="str">
        <f t="shared" si="29"/>
        <v>// _Tokens-&gt;Add((String^)GramVals::TOK_OPEN, gcnew Token(GramKeys::TOK_OPEN, EnumTokenCategory::UNRESERVED,BARE_LABEL, i++));</v>
      </c>
    </row>
    <row r="312" spans="1:19" x14ac:dyDescent="0.25">
      <c r="A312" s="3" t="s">
        <v>3854</v>
      </c>
      <c r="B312" s="5">
        <v>713</v>
      </c>
      <c r="C312" s="3" t="s">
        <v>2203</v>
      </c>
      <c r="D312" s="3" t="s">
        <v>881</v>
      </c>
      <c r="E312" s="3" t="s">
        <v>3484</v>
      </c>
      <c r="F312" t="str">
        <f t="shared" si="24"/>
        <v>OPR_EQ</v>
      </c>
      <c r="G312" t="s">
        <v>3855</v>
      </c>
      <c r="I312" s="3" t="str">
        <f>IF(_xlfn.XLOOKUP(F312,PgSqlRaw!B:B,PgSqlRaw!E:E,"") = "",_xlfn.XLOOKUP(G312,PgSqlRaw!B:B,PgSqlRaw!E:E,""),_xlfn.XLOOKUP(F312,PgSqlRaw!B:B,PgSqlRaw!E:E,""))</f>
        <v/>
      </c>
      <c r="J312" t="str">
        <f>IF(_xlfn.XLOOKUP(F312,PgSqlRaw!B:B,PgSqlRaw!F:F,"") = "", _xlfn.XLOOKUP(G312,PgSqlRaw!B:B,PgSqlRaw!F:F,""), _xlfn.XLOOKUP(F312,PgSqlRaw!B:B,PgSqlRaw!F:F,""))</f>
        <v/>
      </c>
      <c r="K312" t="str">
        <f t="shared" si="25"/>
        <v>BARE_LABEL</v>
      </c>
      <c r="L312" t="str">
        <f>IF(_xlfn.XLOOKUP(F312,PhpReserved!A:A,PhpReserved!B:B,"") = "", _xlfn.XLOOKUP(G312,PhpReserved!A:A,PhpReserved!B:B,""),_xlfn.XLOOKUP(F312,PhpReserved!A:A,PhpReserved!B:B,""))</f>
        <v/>
      </c>
      <c r="M312" t="str">
        <f>IF(_xlfn.XLOOKUP(F312,PhpFunctions!A:A,PhpFunctions!B:B,"") =  "", _xlfn.XLOOKUP(G312,PhpFunctions!A:A,PhpFunctions!B:B,""), _xlfn.XLOOKUP(F312,PhpFunctions!A:A,PhpFunctions!B:B,""))</f>
        <v/>
      </c>
      <c r="N312" t="str">
        <f>IF(_xlfn.XLOOKUP(F312,PhpParamFunc!A:A,PhpParamFunc!B:B,"") = "", _xlfn.XLOOKUP(G312,PhpParamFunc!A:A,PhpParamFunc!B:B,""), _xlfn.XLOOKUP(F312,PhpParamFunc!A:A,PhpParamFunc!B:B,""))</f>
        <v/>
      </c>
      <c r="O312" t="str">
        <f>IF(_xlfn.XLOOKUP(F312,PhpAggrFunc!A:A,PhpAggrFunc!B:B,"") = "", _xlfn.XLOOKUP(G312,PhpAggrFunc!A:A,PhpAggrFunc!B:B,""), _xlfn.XLOOKUP(F312,PhpAggrFunc!A:A,PhpAggrFunc!B:B,""))</f>
        <v/>
      </c>
      <c r="P312" t="str">
        <f t="shared" si="26"/>
        <v>OPERATOR</v>
      </c>
      <c r="Q312" t="str">
        <f t="shared" si="27"/>
        <v>static const String^ TOK_OPR_EQ = "=";</v>
      </c>
      <c r="R312" t="str">
        <f t="shared" si="28"/>
        <v>static const int TOK_OPR_EQ = 713;</v>
      </c>
      <c r="S312" t="str">
        <f t="shared" si="29"/>
        <v>_Tokens-&gt;Add((String^)GramVals::TOK_OPR_EQ, gcnew Token(GramKeys::TOK_OPR_EQ, EnumTokenCategory::OPERATOR,BARE_LABEL, i++));</v>
      </c>
    </row>
    <row r="313" spans="1:19" x14ac:dyDescent="0.25">
      <c r="A313" s="3" t="s">
        <v>1677</v>
      </c>
      <c r="B313" s="5">
        <v>714</v>
      </c>
      <c r="C313" s="3" t="s">
        <v>2204</v>
      </c>
      <c r="D313" s="3" t="s">
        <v>881</v>
      </c>
      <c r="E313" s="3" t="s">
        <v>3484</v>
      </c>
      <c r="F313" t="str">
        <f t="shared" si="24"/>
        <v>OPR_GTR</v>
      </c>
      <c r="G313" t="s">
        <v>3755</v>
      </c>
      <c r="I313" s="3" t="str">
        <f>IF(_xlfn.XLOOKUP(F313,PgSqlRaw!B:B,PgSqlRaw!E:E,"") = "",_xlfn.XLOOKUP(G313,PgSqlRaw!B:B,PgSqlRaw!E:E,""),_xlfn.XLOOKUP(F313,PgSqlRaw!B:B,PgSqlRaw!E:E,""))</f>
        <v/>
      </c>
      <c r="J313" t="str">
        <f>IF(_xlfn.XLOOKUP(F313,PgSqlRaw!B:B,PgSqlRaw!F:F,"") = "", _xlfn.XLOOKUP(G313,PgSqlRaw!B:B,PgSqlRaw!F:F,""), _xlfn.XLOOKUP(F313,PgSqlRaw!B:B,PgSqlRaw!F:F,""))</f>
        <v/>
      </c>
      <c r="K313" t="str">
        <f t="shared" si="25"/>
        <v>BARE_LABEL</v>
      </c>
      <c r="L313" t="str">
        <f>IF(_xlfn.XLOOKUP(F313,PhpReserved!A:A,PhpReserved!B:B,"") = "", _xlfn.XLOOKUP(G313,PhpReserved!A:A,PhpReserved!B:B,""),_xlfn.XLOOKUP(F313,PhpReserved!A:A,PhpReserved!B:B,""))</f>
        <v/>
      </c>
      <c r="M313" t="str">
        <f>IF(_xlfn.XLOOKUP(F313,PhpFunctions!A:A,PhpFunctions!B:B,"") =  "", _xlfn.XLOOKUP(G313,PhpFunctions!A:A,PhpFunctions!B:B,""), _xlfn.XLOOKUP(F313,PhpFunctions!A:A,PhpFunctions!B:B,""))</f>
        <v/>
      </c>
      <c r="N313" t="str">
        <f>IF(_xlfn.XLOOKUP(F313,PhpParamFunc!A:A,PhpParamFunc!B:B,"") = "", _xlfn.XLOOKUP(G313,PhpParamFunc!A:A,PhpParamFunc!B:B,""), _xlfn.XLOOKUP(F313,PhpParamFunc!A:A,PhpParamFunc!B:B,""))</f>
        <v/>
      </c>
      <c r="O313" t="str">
        <f>IF(_xlfn.XLOOKUP(F313,PhpAggrFunc!A:A,PhpAggrFunc!B:B,"") = "", _xlfn.XLOOKUP(G313,PhpAggrFunc!A:A,PhpAggrFunc!B:B,""), _xlfn.XLOOKUP(F313,PhpAggrFunc!A:A,PhpAggrFunc!B:B,""))</f>
        <v/>
      </c>
      <c r="P313" t="str">
        <f t="shared" si="26"/>
        <v>OPERATOR</v>
      </c>
      <c r="Q313" t="str">
        <f t="shared" si="27"/>
        <v>static const String^ TOK_OPR_GTR = "&gt;";</v>
      </c>
      <c r="R313" t="str">
        <f t="shared" si="28"/>
        <v>static const int TOK_OPR_GTR = 714;</v>
      </c>
      <c r="S313" t="str">
        <f t="shared" si="29"/>
        <v>_Tokens-&gt;Add((String^)GramVals::TOK_OPR_GTR, gcnew Token(GramKeys::TOK_OPR_GTR, EnumTokenCategory::OPERATOR,BARE_LABEL, i++));</v>
      </c>
    </row>
    <row r="314" spans="1:19" x14ac:dyDescent="0.25">
      <c r="A314" s="3" t="s">
        <v>1678</v>
      </c>
      <c r="B314" s="5">
        <v>715</v>
      </c>
      <c r="C314" s="3" t="s">
        <v>2205</v>
      </c>
      <c r="D314" s="3" t="s">
        <v>881</v>
      </c>
      <c r="E314" s="3" t="s">
        <v>3484</v>
      </c>
      <c r="F314" t="str">
        <f t="shared" si="24"/>
        <v>OPR_LSS</v>
      </c>
      <c r="G314" t="s">
        <v>3756</v>
      </c>
      <c r="I314" s="3" t="str">
        <f>IF(_xlfn.XLOOKUP(F314,PgSqlRaw!B:B,PgSqlRaw!E:E,"") = "",_xlfn.XLOOKUP(G314,PgSqlRaw!B:B,PgSqlRaw!E:E,""),_xlfn.XLOOKUP(F314,PgSqlRaw!B:B,PgSqlRaw!E:E,""))</f>
        <v/>
      </c>
      <c r="J314" t="str">
        <f>IF(_xlfn.XLOOKUP(F314,PgSqlRaw!B:B,PgSqlRaw!F:F,"") = "", _xlfn.XLOOKUP(G314,PgSqlRaw!B:B,PgSqlRaw!F:F,""), _xlfn.XLOOKUP(F314,PgSqlRaw!B:B,PgSqlRaw!F:F,""))</f>
        <v/>
      </c>
      <c r="K314" t="str">
        <f t="shared" si="25"/>
        <v>BARE_LABEL</v>
      </c>
      <c r="L314" t="str">
        <f>IF(_xlfn.XLOOKUP(F314,PhpReserved!A:A,PhpReserved!B:B,"") = "", _xlfn.XLOOKUP(G314,PhpReserved!A:A,PhpReserved!B:B,""),_xlfn.XLOOKUP(F314,PhpReserved!A:A,PhpReserved!B:B,""))</f>
        <v/>
      </c>
      <c r="M314" t="str">
        <f>IF(_xlfn.XLOOKUP(F314,PhpFunctions!A:A,PhpFunctions!B:B,"") =  "", _xlfn.XLOOKUP(G314,PhpFunctions!A:A,PhpFunctions!B:B,""), _xlfn.XLOOKUP(F314,PhpFunctions!A:A,PhpFunctions!B:B,""))</f>
        <v/>
      </c>
      <c r="N314" t="str">
        <f>IF(_xlfn.XLOOKUP(F314,PhpParamFunc!A:A,PhpParamFunc!B:B,"") = "", _xlfn.XLOOKUP(G314,PhpParamFunc!A:A,PhpParamFunc!B:B,""), _xlfn.XLOOKUP(F314,PhpParamFunc!A:A,PhpParamFunc!B:B,""))</f>
        <v/>
      </c>
      <c r="O314" t="str">
        <f>IF(_xlfn.XLOOKUP(F314,PhpAggrFunc!A:A,PhpAggrFunc!B:B,"") = "", _xlfn.XLOOKUP(G314,PhpAggrFunc!A:A,PhpAggrFunc!B:B,""), _xlfn.XLOOKUP(F314,PhpAggrFunc!A:A,PhpAggrFunc!B:B,""))</f>
        <v/>
      </c>
      <c r="P314" t="str">
        <f t="shared" si="26"/>
        <v>OPERATOR</v>
      </c>
      <c r="Q314" t="str">
        <f t="shared" si="27"/>
        <v>static const String^ TOK_OPR_LSS = "&lt;";</v>
      </c>
      <c r="R314" t="str">
        <f t="shared" si="28"/>
        <v>static const int TOK_OPR_LSS = 715;</v>
      </c>
      <c r="S314" t="str">
        <f t="shared" si="29"/>
        <v>_Tokens-&gt;Add((String^)GramVals::TOK_OPR_LSS, gcnew Token(GramKeys::TOK_OPR_LSS, EnumTokenCategory::OPERATOR,BARE_LABEL, i++));</v>
      </c>
    </row>
    <row r="315" spans="1:19" x14ac:dyDescent="0.25">
      <c r="A315" s="3" t="s">
        <v>1679</v>
      </c>
      <c r="B315" s="5" t="s">
        <v>1231</v>
      </c>
      <c r="C315" s="3" t="s">
        <v>2206</v>
      </c>
      <c r="D315" s="3" t="s">
        <v>2423</v>
      </c>
      <c r="F315" t="str">
        <f t="shared" si="24"/>
        <v>OPTION</v>
      </c>
      <c r="G315" t="s">
        <v>3205</v>
      </c>
      <c r="I315" s="3" t="str">
        <f>IF(_xlfn.XLOOKUP(F315,PgSqlRaw!B:B,PgSqlRaw!E:E,"") = "",_xlfn.XLOOKUP(G315,PgSqlRaw!B:B,PgSqlRaw!E:E,""),_xlfn.XLOOKUP(F315,PgSqlRaw!B:B,PgSqlRaw!E:E,""))</f>
        <v/>
      </c>
      <c r="J315" t="str">
        <f>IF(_xlfn.XLOOKUP(F315,PgSqlRaw!B:B,PgSqlRaw!F:F,"") = "", _xlfn.XLOOKUP(G315,PgSqlRaw!B:B,PgSqlRaw!F:F,""), _xlfn.XLOOKUP(F315,PgSqlRaw!B:B,PgSqlRaw!F:F,""))</f>
        <v>BARE_LABEL</v>
      </c>
      <c r="K315" t="str">
        <f t="shared" si="25"/>
        <v>BARE_LABEL</v>
      </c>
      <c r="L315" t="str">
        <f>IF(_xlfn.XLOOKUP(F315,PhpReserved!A:A,PhpReserved!B:B,"") = "", _xlfn.XLOOKUP(G315,PhpReserved!A:A,PhpReserved!B:B,""),_xlfn.XLOOKUP(F315,PhpReserved!A:A,PhpReserved!B:B,""))</f>
        <v>RESERVED</v>
      </c>
      <c r="M315" t="str">
        <f>IF(_xlfn.XLOOKUP(F315,PhpFunctions!A:A,PhpFunctions!B:B,"") =  "", _xlfn.XLOOKUP(G315,PhpFunctions!A:A,PhpFunctions!B:B,""), _xlfn.XLOOKUP(F315,PhpFunctions!A:A,PhpFunctions!B:B,""))</f>
        <v/>
      </c>
      <c r="N315" t="str">
        <f>IF(_xlfn.XLOOKUP(F315,PhpParamFunc!A:A,PhpParamFunc!B:B,"") = "", _xlfn.XLOOKUP(G315,PhpParamFunc!A:A,PhpParamFunc!B:B,""), _xlfn.XLOOKUP(F315,PhpParamFunc!A:A,PhpParamFunc!B:B,""))</f>
        <v/>
      </c>
      <c r="O315" t="str">
        <f>IF(_xlfn.XLOOKUP(F315,PhpAggrFunc!A:A,PhpAggrFunc!B:B,"") = "", _xlfn.XLOOKUP(G315,PhpAggrFunc!A:A,PhpAggrFunc!B:B,""), _xlfn.XLOOKUP(F315,PhpAggrFunc!A:A,PhpAggrFunc!B:B,""))</f>
        <v/>
      </c>
      <c r="P315" t="str">
        <f t="shared" si="26"/>
        <v>RESERVED</v>
      </c>
      <c r="Q315" t="str">
        <f t="shared" si="27"/>
        <v>static const String^ TOK_OPTION = "OPTION";</v>
      </c>
      <c r="R315" t="str">
        <f t="shared" si="28"/>
        <v>static const int TOK_OPTION = 370;</v>
      </c>
      <c r="S315" t="str">
        <f t="shared" si="29"/>
        <v>_Tokens-&gt;Add((String^)GramVals::TOK_OPTION, gcnew Token(GramKeys::TOK_OPTION, EnumTokenCategory::RESERVED,BARE_LABEL, i++));</v>
      </c>
    </row>
    <row r="316" spans="1:19" x14ac:dyDescent="0.25">
      <c r="A316" s="3" t="s">
        <v>1680</v>
      </c>
      <c r="B316" s="5" t="s">
        <v>1232</v>
      </c>
      <c r="C316" s="3" t="s">
        <v>2207</v>
      </c>
      <c r="D316" s="3" t="s">
        <v>881</v>
      </c>
      <c r="E316" s="3"/>
      <c r="F316" t="str">
        <f t="shared" si="24"/>
        <v>OR</v>
      </c>
      <c r="G316" t="s">
        <v>3207</v>
      </c>
      <c r="I316" s="3" t="str">
        <f>IF(_xlfn.XLOOKUP(F316,PgSqlRaw!B:B,PgSqlRaw!E:E,"") = "",_xlfn.XLOOKUP(G316,PgSqlRaw!B:B,PgSqlRaw!E:E,""),_xlfn.XLOOKUP(F316,PgSqlRaw!B:B,PgSqlRaw!E:E,""))</f>
        <v>RESERVED</v>
      </c>
      <c r="J316" t="str">
        <f>IF(_xlfn.XLOOKUP(F316,PgSqlRaw!B:B,PgSqlRaw!F:F,"") = "", _xlfn.XLOOKUP(G316,PgSqlRaw!B:B,PgSqlRaw!F:F,""), _xlfn.XLOOKUP(F316,PgSqlRaw!B:B,PgSqlRaw!F:F,""))</f>
        <v>BARE_LABEL</v>
      </c>
      <c r="K316" t="str">
        <f t="shared" si="25"/>
        <v>BARE_LABEL</v>
      </c>
      <c r="L316" t="str">
        <f>IF(_xlfn.XLOOKUP(F316,PhpReserved!A:A,PhpReserved!B:B,"") = "", _xlfn.XLOOKUP(G316,PhpReserved!A:A,PhpReserved!B:B,""),_xlfn.XLOOKUP(F316,PhpReserved!A:A,PhpReserved!B:B,""))</f>
        <v>RESERVED</v>
      </c>
      <c r="M316" t="str">
        <f>IF(_xlfn.XLOOKUP(F316,PhpFunctions!A:A,PhpFunctions!B:B,"") =  "", _xlfn.XLOOKUP(G316,PhpFunctions!A:A,PhpFunctions!B:B,""), _xlfn.XLOOKUP(F316,PhpFunctions!A:A,PhpFunctions!B:B,""))</f>
        <v/>
      </c>
      <c r="N316" t="str">
        <f>IF(_xlfn.XLOOKUP(F316,PhpParamFunc!A:A,PhpParamFunc!B:B,"") = "", _xlfn.XLOOKUP(G316,PhpParamFunc!A:A,PhpParamFunc!B:B,""), _xlfn.XLOOKUP(F316,PhpParamFunc!A:A,PhpParamFunc!B:B,""))</f>
        <v/>
      </c>
      <c r="O316" t="str">
        <f>IF(_xlfn.XLOOKUP(F316,PhpAggrFunc!A:A,PhpAggrFunc!B:B,"") = "", _xlfn.XLOOKUP(G316,PhpAggrFunc!A:A,PhpAggrFunc!B:B,""), _xlfn.XLOOKUP(F316,PhpAggrFunc!A:A,PhpAggrFunc!B:B,""))</f>
        <v/>
      </c>
      <c r="P316" t="str">
        <f t="shared" si="26"/>
        <v>RESERVED</v>
      </c>
      <c r="Q316" t="str">
        <f t="shared" si="27"/>
        <v>static const String^ TOK_OR = "OR";</v>
      </c>
      <c r="R316" t="str">
        <f t="shared" si="28"/>
        <v>static const int TOK_OR = 371;</v>
      </c>
      <c r="S316" t="str">
        <f t="shared" si="29"/>
        <v>_Tokens-&gt;Add((String^)GramVals::TOK_OR, gcnew Token(GramKeys::TOK_OR, EnumTokenCategory::RESERVED,BARE_LABEL, i++));</v>
      </c>
    </row>
    <row r="317" spans="1:19" x14ac:dyDescent="0.25">
      <c r="A317" s="3" t="s">
        <v>1681</v>
      </c>
      <c r="B317" s="5" t="s">
        <v>1233</v>
      </c>
      <c r="C317" s="3" t="s">
        <v>2208</v>
      </c>
      <c r="D317" s="3" t="s">
        <v>881</v>
      </c>
      <c r="F317" t="str">
        <f t="shared" si="24"/>
        <v>ORDER</v>
      </c>
      <c r="G317" t="s">
        <v>3208</v>
      </c>
      <c r="I317" s="3" t="str">
        <f>IF(_xlfn.XLOOKUP(F317,PgSqlRaw!B:B,PgSqlRaw!E:E,"") = "",_xlfn.XLOOKUP(G317,PgSqlRaw!B:B,PgSqlRaw!E:E,""),_xlfn.XLOOKUP(F317,PgSqlRaw!B:B,PgSqlRaw!E:E,""))</f>
        <v>RESERVED</v>
      </c>
      <c r="J317" t="str">
        <f>IF(_xlfn.XLOOKUP(F317,PgSqlRaw!B:B,PgSqlRaw!F:F,"") = "", _xlfn.XLOOKUP(G317,PgSqlRaw!B:B,PgSqlRaw!F:F,""), _xlfn.XLOOKUP(F317,PgSqlRaw!B:B,PgSqlRaw!F:F,""))</f>
        <v>AS_LABEL</v>
      </c>
      <c r="K317" t="str">
        <f t="shared" si="25"/>
        <v>AS_LABEL</v>
      </c>
      <c r="L317" t="str">
        <f>IF(_xlfn.XLOOKUP(F317,PhpReserved!A:A,PhpReserved!B:B,"") = "", _xlfn.XLOOKUP(G317,PhpReserved!A:A,PhpReserved!B:B,""),_xlfn.XLOOKUP(F317,PhpReserved!A:A,PhpReserved!B:B,""))</f>
        <v>RESERVED</v>
      </c>
      <c r="M317" t="str">
        <f>IF(_xlfn.XLOOKUP(F317,PhpFunctions!A:A,PhpFunctions!B:B,"") =  "", _xlfn.XLOOKUP(G317,PhpFunctions!A:A,PhpFunctions!B:B,""), _xlfn.XLOOKUP(F317,PhpFunctions!A:A,PhpFunctions!B:B,""))</f>
        <v/>
      </c>
      <c r="N317" t="str">
        <f>IF(_xlfn.XLOOKUP(F317,PhpParamFunc!A:A,PhpParamFunc!B:B,"") = "", _xlfn.XLOOKUP(G317,PhpParamFunc!A:A,PhpParamFunc!B:B,""), _xlfn.XLOOKUP(F317,PhpParamFunc!A:A,PhpParamFunc!B:B,""))</f>
        <v/>
      </c>
      <c r="O317" t="str">
        <f>IF(_xlfn.XLOOKUP(F317,PhpAggrFunc!A:A,PhpAggrFunc!B:B,"") = "", _xlfn.XLOOKUP(G317,PhpAggrFunc!A:A,PhpAggrFunc!B:B,""), _xlfn.XLOOKUP(F317,PhpAggrFunc!A:A,PhpAggrFunc!B:B,""))</f>
        <v/>
      </c>
      <c r="P317" t="str">
        <f t="shared" si="26"/>
        <v>RESERVED</v>
      </c>
      <c r="Q317" t="str">
        <f t="shared" si="27"/>
        <v>static const String^ TOK_ORDER = "ORDER";</v>
      </c>
      <c r="R317" t="str">
        <f t="shared" si="28"/>
        <v>static const int TOK_ORDER = 372;</v>
      </c>
      <c r="S317" t="str">
        <f t="shared" si="29"/>
        <v>_Tokens-&gt;Add((String^)GramVals::TOK_ORDER, gcnew Token(GramKeys::TOK_ORDER, EnumTokenCategory::RESERVED,AS_LABEL, i++));</v>
      </c>
    </row>
    <row r="318" spans="1:19" x14ac:dyDescent="0.25">
      <c r="A318" s="3" t="s">
        <v>1682</v>
      </c>
      <c r="B318" s="5" t="s">
        <v>1234</v>
      </c>
      <c r="C318" s="3" t="s">
        <v>2209</v>
      </c>
      <c r="D318" s="3" t="s">
        <v>2423</v>
      </c>
      <c r="F318" t="str">
        <f t="shared" si="24"/>
        <v>OS_NAME</v>
      </c>
      <c r="G318" t="s">
        <v>3757</v>
      </c>
      <c r="I318" s="3" t="str">
        <f>IF(_xlfn.XLOOKUP(F318,PgSqlRaw!B:B,PgSqlRaw!E:E,"") = "",_xlfn.XLOOKUP(G318,PgSqlRaw!B:B,PgSqlRaw!E:E,""),_xlfn.XLOOKUP(F318,PgSqlRaw!B:B,PgSqlRaw!E:E,""))</f>
        <v/>
      </c>
      <c r="J318" t="str">
        <f>IF(_xlfn.XLOOKUP(F318,PgSqlRaw!B:B,PgSqlRaw!F:F,"") = "", _xlfn.XLOOKUP(G318,PgSqlRaw!B:B,PgSqlRaw!F:F,""), _xlfn.XLOOKUP(F318,PgSqlRaw!B:B,PgSqlRaw!F:F,""))</f>
        <v/>
      </c>
      <c r="K318" t="str">
        <f t="shared" si="25"/>
        <v>BARE_LABEL</v>
      </c>
      <c r="L318" t="str">
        <f>IF(_xlfn.XLOOKUP(F318,PhpReserved!A:A,PhpReserved!B:B,"") = "", _xlfn.XLOOKUP(G318,PhpReserved!A:A,PhpReserved!B:B,""),_xlfn.XLOOKUP(F318,PhpReserved!A:A,PhpReserved!B:B,""))</f>
        <v/>
      </c>
      <c r="M318" t="str">
        <f>IF(_xlfn.XLOOKUP(F318,PhpFunctions!A:A,PhpFunctions!B:B,"") =  "", _xlfn.XLOOKUP(G318,PhpFunctions!A:A,PhpFunctions!B:B,""), _xlfn.XLOOKUP(F318,PhpFunctions!A:A,PhpFunctions!B:B,""))</f>
        <v/>
      </c>
      <c r="N318" t="str">
        <f>IF(_xlfn.XLOOKUP(F318,PhpParamFunc!A:A,PhpParamFunc!B:B,"") = "", _xlfn.XLOOKUP(G318,PhpParamFunc!A:A,PhpParamFunc!B:B,""), _xlfn.XLOOKUP(F318,PhpParamFunc!A:A,PhpParamFunc!B:B,""))</f>
        <v/>
      </c>
      <c r="O318" t="str">
        <f>IF(_xlfn.XLOOKUP(F318,PhpAggrFunc!A:A,PhpAggrFunc!B:B,"") = "", _xlfn.XLOOKUP(G318,PhpAggrFunc!A:A,PhpAggrFunc!B:B,""), _xlfn.XLOOKUP(F318,PhpAggrFunc!A:A,PhpAggrFunc!B:B,""))</f>
        <v/>
      </c>
      <c r="P318" t="str">
        <f t="shared" si="26"/>
        <v>UNRESERVED</v>
      </c>
      <c r="Q318" t="str">
        <f t="shared" si="27"/>
        <v>static const String^ TOK_OS_NAME = "OS_NAME";</v>
      </c>
      <c r="R318" t="str">
        <f t="shared" si="28"/>
        <v>static const int TOK_OS_NAME = 597;</v>
      </c>
      <c r="S318" t="str">
        <f t="shared" si="29"/>
        <v>// _Tokens-&gt;Add((String^)GramVals::TOK_OS_NAME, gcnew Token(GramKeys::TOK_OS_NAME, EnumTokenCategory::UNRESERVED,BARE_LABEL, i++));</v>
      </c>
    </row>
    <row r="319" spans="1:19" x14ac:dyDescent="0.25">
      <c r="A319" s="3" t="s">
        <v>1683</v>
      </c>
      <c r="B319" s="5">
        <v>716</v>
      </c>
      <c r="C319" s="3" t="s">
        <v>2210</v>
      </c>
      <c r="D319" s="3" t="s">
        <v>2423</v>
      </c>
      <c r="F319" t="str">
        <f t="shared" si="24"/>
        <v>OTHERS</v>
      </c>
      <c r="G319" t="s">
        <v>3487</v>
      </c>
      <c r="I319" s="3" t="str">
        <f>IF(_xlfn.XLOOKUP(F319,PgSqlRaw!B:B,PgSqlRaw!E:E,"") = "",_xlfn.XLOOKUP(G319,PgSqlRaw!B:B,PgSqlRaw!E:E,""),_xlfn.XLOOKUP(F319,PgSqlRaw!B:B,PgSqlRaw!E:E,""))</f>
        <v/>
      </c>
      <c r="J319" t="str">
        <f>IF(_xlfn.XLOOKUP(F319,PgSqlRaw!B:B,PgSqlRaw!F:F,"") = "", _xlfn.XLOOKUP(G319,PgSqlRaw!B:B,PgSqlRaw!F:F,""), _xlfn.XLOOKUP(F319,PgSqlRaw!B:B,PgSqlRaw!F:F,""))</f>
        <v>BARE_LABEL</v>
      </c>
      <c r="K319" t="str">
        <f t="shared" si="25"/>
        <v>BARE_LABEL</v>
      </c>
      <c r="L319" t="str">
        <f>IF(_xlfn.XLOOKUP(F319,PhpReserved!A:A,PhpReserved!B:B,"") = "", _xlfn.XLOOKUP(G319,PhpReserved!A:A,PhpReserved!B:B,""),_xlfn.XLOOKUP(F319,PhpReserved!A:A,PhpReserved!B:B,""))</f>
        <v/>
      </c>
      <c r="M319" t="str">
        <f>IF(_xlfn.XLOOKUP(F319,PhpFunctions!A:A,PhpFunctions!B:B,"") =  "", _xlfn.XLOOKUP(G319,PhpFunctions!A:A,PhpFunctions!B:B,""), _xlfn.XLOOKUP(F319,PhpFunctions!A:A,PhpFunctions!B:B,""))</f>
        <v/>
      </c>
      <c r="N319" t="str">
        <f>IF(_xlfn.XLOOKUP(F319,PhpParamFunc!A:A,PhpParamFunc!B:B,"") = "", _xlfn.XLOOKUP(G319,PhpParamFunc!A:A,PhpParamFunc!B:B,""), _xlfn.XLOOKUP(F319,PhpParamFunc!A:A,PhpParamFunc!B:B,""))</f>
        <v/>
      </c>
      <c r="O319" t="str">
        <f>IF(_xlfn.XLOOKUP(F319,PhpAggrFunc!A:A,PhpAggrFunc!B:B,"") = "", _xlfn.XLOOKUP(G319,PhpAggrFunc!A:A,PhpAggrFunc!B:B,""), _xlfn.XLOOKUP(F319,PhpAggrFunc!A:A,PhpAggrFunc!B:B,""))</f>
        <v/>
      </c>
      <c r="P319" t="str">
        <f t="shared" si="26"/>
        <v>UNRESERVED</v>
      </c>
      <c r="Q319" t="str">
        <f t="shared" si="27"/>
        <v>static const String^ TOK_OTHERS = "OTHERS";</v>
      </c>
      <c r="R319" t="str">
        <f t="shared" si="28"/>
        <v>static const int TOK_OTHERS = 716;</v>
      </c>
      <c r="S319" t="str">
        <f t="shared" si="29"/>
        <v>// _Tokens-&gt;Add((String^)GramVals::TOK_OTHERS, gcnew Token(GramKeys::TOK_OTHERS, EnumTokenCategory::UNRESERVED,BARE_LABEL, i++));</v>
      </c>
    </row>
    <row r="320" spans="1:19" x14ac:dyDescent="0.25">
      <c r="A320" s="3" t="s">
        <v>1684</v>
      </c>
      <c r="B320" s="5" t="s">
        <v>1235</v>
      </c>
      <c r="C320" s="3" t="s">
        <v>2211</v>
      </c>
      <c r="D320" s="3" t="s">
        <v>881</v>
      </c>
      <c r="F320" t="str">
        <f t="shared" si="24"/>
        <v>OUTER</v>
      </c>
      <c r="G320" t="s">
        <v>3210</v>
      </c>
      <c r="I320" s="3" t="str">
        <f>IF(_xlfn.XLOOKUP(F320,PgSqlRaw!B:B,PgSqlRaw!E:E,"") = "",_xlfn.XLOOKUP(G320,PgSqlRaw!B:B,PgSqlRaw!E:E,""),_xlfn.XLOOKUP(F320,PgSqlRaw!B:B,PgSqlRaw!E:E,""))</f>
        <v>FUNCTION</v>
      </c>
      <c r="J320" t="str">
        <f>IF(_xlfn.XLOOKUP(F320,PgSqlRaw!B:B,PgSqlRaw!F:F,"") = "", _xlfn.XLOOKUP(G320,PgSqlRaw!B:B,PgSqlRaw!F:F,""), _xlfn.XLOOKUP(F320,PgSqlRaw!B:B,PgSqlRaw!F:F,""))</f>
        <v>BARE_LABEL</v>
      </c>
      <c r="K320" t="str">
        <f t="shared" si="25"/>
        <v>BARE_LABEL</v>
      </c>
      <c r="L320" t="str">
        <f>IF(_xlfn.XLOOKUP(F320,PhpReserved!A:A,PhpReserved!B:B,"") = "", _xlfn.XLOOKUP(G320,PhpReserved!A:A,PhpReserved!B:B,""),_xlfn.XLOOKUP(F320,PhpReserved!A:A,PhpReserved!B:B,""))</f>
        <v>RESERVED</v>
      </c>
      <c r="M320" t="str">
        <f>IF(_xlfn.XLOOKUP(F320,PhpFunctions!A:A,PhpFunctions!B:B,"") =  "", _xlfn.XLOOKUP(G320,PhpFunctions!A:A,PhpFunctions!B:B,""), _xlfn.XLOOKUP(F320,PhpFunctions!A:A,PhpFunctions!B:B,""))</f>
        <v/>
      </c>
      <c r="N320" t="str">
        <f>IF(_xlfn.XLOOKUP(F320,PhpParamFunc!A:A,PhpParamFunc!B:B,"") = "", _xlfn.XLOOKUP(G320,PhpParamFunc!A:A,PhpParamFunc!B:B,""), _xlfn.XLOOKUP(F320,PhpParamFunc!A:A,PhpParamFunc!B:B,""))</f>
        <v/>
      </c>
      <c r="O320" t="str">
        <f>IF(_xlfn.XLOOKUP(F320,PhpAggrFunc!A:A,PhpAggrFunc!B:B,"") = "", _xlfn.XLOOKUP(G320,PhpAggrFunc!A:A,PhpAggrFunc!B:B,""), _xlfn.XLOOKUP(F320,PhpAggrFunc!A:A,PhpAggrFunc!B:B,""))</f>
        <v/>
      </c>
      <c r="P320" t="str">
        <f t="shared" si="26"/>
        <v>RESERVED</v>
      </c>
      <c r="Q320" t="str">
        <f t="shared" si="27"/>
        <v>static const String^ TOK_OUTER = "OUTER";</v>
      </c>
      <c r="R320" t="str">
        <f t="shared" si="28"/>
        <v>static const int TOK_OUTER = 373;</v>
      </c>
      <c r="S320" t="str">
        <f t="shared" si="29"/>
        <v>_Tokens-&gt;Add((String^)GramVals::TOK_OUTER, gcnew Token(GramKeys::TOK_OUTER, EnumTokenCategory::RESERVED,BARE_LABEL, i++));</v>
      </c>
    </row>
    <row r="321" spans="1:19" x14ac:dyDescent="0.25">
      <c r="A321" s="3" t="s">
        <v>1685</v>
      </c>
      <c r="B321" s="5" t="s">
        <v>1236</v>
      </c>
      <c r="C321" s="3" t="s">
        <v>2212</v>
      </c>
      <c r="D321" s="3" t="s">
        <v>2423</v>
      </c>
      <c r="F321" t="str">
        <f t="shared" si="24"/>
        <v>OUTPUT_TYPE</v>
      </c>
      <c r="G321" t="s">
        <v>3758</v>
      </c>
      <c r="I321" s="3" t="str">
        <f>IF(_xlfn.XLOOKUP(F321,PgSqlRaw!B:B,PgSqlRaw!E:E,"") = "",_xlfn.XLOOKUP(G321,PgSqlRaw!B:B,PgSqlRaw!E:E,""),_xlfn.XLOOKUP(F321,PgSqlRaw!B:B,PgSqlRaw!E:E,""))</f>
        <v/>
      </c>
      <c r="J321" t="str">
        <f>IF(_xlfn.XLOOKUP(F321,PgSqlRaw!B:B,PgSqlRaw!F:F,"") = "", _xlfn.XLOOKUP(G321,PgSqlRaw!B:B,PgSqlRaw!F:F,""), _xlfn.XLOOKUP(F321,PgSqlRaw!B:B,PgSqlRaw!F:F,""))</f>
        <v/>
      </c>
      <c r="K321" t="str">
        <f t="shared" si="25"/>
        <v>BARE_LABEL</v>
      </c>
      <c r="L321" t="str">
        <f>IF(_xlfn.XLOOKUP(F321,PhpReserved!A:A,PhpReserved!B:B,"") = "", _xlfn.XLOOKUP(G321,PhpReserved!A:A,PhpReserved!B:B,""),_xlfn.XLOOKUP(F321,PhpReserved!A:A,PhpReserved!B:B,""))</f>
        <v/>
      </c>
      <c r="M321" t="str">
        <f>IF(_xlfn.XLOOKUP(F321,PhpFunctions!A:A,PhpFunctions!B:B,"") =  "", _xlfn.XLOOKUP(G321,PhpFunctions!A:A,PhpFunctions!B:B,""), _xlfn.XLOOKUP(F321,PhpFunctions!A:A,PhpFunctions!B:B,""))</f>
        <v/>
      </c>
      <c r="N321" t="str">
        <f>IF(_xlfn.XLOOKUP(F321,PhpParamFunc!A:A,PhpParamFunc!B:B,"") = "", _xlfn.XLOOKUP(G321,PhpParamFunc!A:A,PhpParamFunc!B:B,""), _xlfn.XLOOKUP(F321,PhpParamFunc!A:A,PhpParamFunc!B:B,""))</f>
        <v/>
      </c>
      <c r="O321" t="str">
        <f>IF(_xlfn.XLOOKUP(F321,PhpAggrFunc!A:A,PhpAggrFunc!B:B,"") = "", _xlfn.XLOOKUP(G321,PhpAggrFunc!A:A,PhpAggrFunc!B:B,""), _xlfn.XLOOKUP(F321,PhpAggrFunc!A:A,PhpAggrFunc!B:B,""))</f>
        <v/>
      </c>
      <c r="P321" t="str">
        <f t="shared" si="26"/>
        <v>UNRESERVED</v>
      </c>
      <c r="Q321" t="str">
        <f t="shared" si="27"/>
        <v>static const String^ TOK_OUTPUT_TYPE = "OUTPUT_TYPE";</v>
      </c>
      <c r="R321" t="str">
        <f t="shared" si="28"/>
        <v>static const int TOK_OUTPUT_TYPE = 374;</v>
      </c>
      <c r="S321" t="str">
        <f t="shared" si="29"/>
        <v>// _Tokens-&gt;Add((String^)GramVals::TOK_OUTPUT_TYPE, gcnew Token(GramKeys::TOK_OUTPUT_TYPE, EnumTokenCategory::UNRESERVED,BARE_LABEL, i++));</v>
      </c>
    </row>
    <row r="322" spans="1:19" x14ac:dyDescent="0.25">
      <c r="A322" s="3" t="s">
        <v>1686</v>
      </c>
      <c r="B322" s="5" t="s">
        <v>1237</v>
      </c>
      <c r="C322" s="3" t="s">
        <v>2213</v>
      </c>
      <c r="D322" s="3" t="s">
        <v>881</v>
      </c>
      <c r="F322" t="str">
        <f t="shared" si="24"/>
        <v>OVER</v>
      </c>
      <c r="G322" t="s">
        <v>3488</v>
      </c>
      <c r="I322" s="3" t="str">
        <f>IF(_xlfn.XLOOKUP(F322,PgSqlRaw!B:B,PgSqlRaw!E:E,"") = "",_xlfn.XLOOKUP(G322,PgSqlRaw!B:B,PgSqlRaw!E:E,""),_xlfn.XLOOKUP(F322,PgSqlRaw!B:B,PgSqlRaw!E:E,""))</f>
        <v/>
      </c>
      <c r="J322" t="str">
        <f>IF(_xlfn.XLOOKUP(F322,PgSqlRaw!B:B,PgSqlRaw!F:F,"") = "", _xlfn.XLOOKUP(G322,PgSqlRaw!B:B,PgSqlRaw!F:F,""), _xlfn.XLOOKUP(F322,PgSqlRaw!B:B,PgSqlRaw!F:F,""))</f>
        <v>AS_LABEL</v>
      </c>
      <c r="K322" t="str">
        <f t="shared" si="25"/>
        <v>AS_LABEL</v>
      </c>
      <c r="L322" t="str">
        <f>IF(_xlfn.XLOOKUP(F322,PhpReserved!A:A,PhpReserved!B:B,"") = "", _xlfn.XLOOKUP(G322,PhpReserved!A:A,PhpReserved!B:B,""),_xlfn.XLOOKUP(F322,PhpReserved!A:A,PhpReserved!B:B,""))</f>
        <v/>
      </c>
      <c r="M322" t="str">
        <f>IF(_xlfn.XLOOKUP(F322,PhpFunctions!A:A,PhpFunctions!B:B,"") =  "", _xlfn.XLOOKUP(G322,PhpFunctions!A:A,PhpFunctions!B:B,""), _xlfn.XLOOKUP(F322,PhpFunctions!A:A,PhpFunctions!B:B,""))</f>
        <v/>
      </c>
      <c r="N322" t="str">
        <f>IF(_xlfn.XLOOKUP(F322,PhpParamFunc!A:A,PhpParamFunc!B:B,"") = "", _xlfn.XLOOKUP(G322,PhpParamFunc!A:A,PhpParamFunc!B:B,""), _xlfn.XLOOKUP(F322,PhpParamFunc!A:A,PhpParamFunc!B:B,""))</f>
        <v/>
      </c>
      <c r="O322" t="str">
        <f>IF(_xlfn.XLOOKUP(F322,PhpAggrFunc!A:A,PhpAggrFunc!B:B,"") = "", _xlfn.XLOOKUP(G322,PhpAggrFunc!A:A,PhpAggrFunc!B:B,""), _xlfn.XLOOKUP(F322,PhpAggrFunc!A:A,PhpAggrFunc!B:B,""))</f>
        <v/>
      </c>
      <c r="P322" t="str">
        <f t="shared" si="26"/>
        <v>UNRESERVED</v>
      </c>
      <c r="Q322" t="str">
        <f t="shared" si="27"/>
        <v>static const String^ TOK_OVER = "OVER";</v>
      </c>
      <c r="R322" t="str">
        <f t="shared" si="28"/>
        <v>static const int TOK_OVER = 614;</v>
      </c>
      <c r="S322" t="str">
        <f t="shared" si="29"/>
        <v>// _Tokens-&gt;Add((String^)GramVals::TOK_OVER, gcnew Token(GramKeys::TOK_OVER, EnumTokenCategory::UNRESERVED,AS_LABEL, i++));</v>
      </c>
    </row>
    <row r="323" spans="1:19" x14ac:dyDescent="0.25">
      <c r="A323" s="3" t="s">
        <v>1687</v>
      </c>
      <c r="B323" s="5" t="s">
        <v>1238</v>
      </c>
      <c r="C323" s="3" t="s">
        <v>2214</v>
      </c>
      <c r="D323" s="3" t="s">
        <v>2423</v>
      </c>
      <c r="F323" t="str">
        <f t="shared" si="24"/>
        <v>OVERFLOW</v>
      </c>
      <c r="G323" t="s">
        <v>3759</v>
      </c>
      <c r="I323" s="3" t="str">
        <f>IF(_xlfn.XLOOKUP(F323,PgSqlRaw!B:B,PgSqlRaw!E:E,"") = "",_xlfn.XLOOKUP(G323,PgSqlRaw!B:B,PgSqlRaw!E:E,""),_xlfn.XLOOKUP(F323,PgSqlRaw!B:B,PgSqlRaw!E:E,""))</f>
        <v/>
      </c>
      <c r="J323" t="str">
        <f>IF(_xlfn.XLOOKUP(F323,PgSqlRaw!B:B,PgSqlRaw!F:F,"") = "", _xlfn.XLOOKUP(G323,PgSqlRaw!B:B,PgSqlRaw!F:F,""), _xlfn.XLOOKUP(F323,PgSqlRaw!B:B,PgSqlRaw!F:F,""))</f>
        <v/>
      </c>
      <c r="K323" t="str">
        <f t="shared" si="25"/>
        <v>BARE_LABEL</v>
      </c>
      <c r="L323" t="str">
        <f>IF(_xlfn.XLOOKUP(F323,PhpReserved!A:A,PhpReserved!B:B,"") = "", _xlfn.XLOOKUP(G323,PhpReserved!A:A,PhpReserved!B:B,""),_xlfn.XLOOKUP(F323,PhpReserved!A:A,PhpReserved!B:B,""))</f>
        <v/>
      </c>
      <c r="M323" t="str">
        <f>IF(_xlfn.XLOOKUP(F323,PhpFunctions!A:A,PhpFunctions!B:B,"") =  "", _xlfn.XLOOKUP(G323,PhpFunctions!A:A,PhpFunctions!B:B,""), _xlfn.XLOOKUP(F323,PhpFunctions!A:A,PhpFunctions!B:B,""))</f>
        <v/>
      </c>
      <c r="N323" t="str">
        <f>IF(_xlfn.XLOOKUP(F323,PhpParamFunc!A:A,PhpParamFunc!B:B,"") = "", _xlfn.XLOOKUP(G323,PhpParamFunc!A:A,PhpParamFunc!B:B,""), _xlfn.XLOOKUP(F323,PhpParamFunc!A:A,PhpParamFunc!B:B,""))</f>
        <v/>
      </c>
      <c r="O323" t="str">
        <f>IF(_xlfn.XLOOKUP(F323,PhpAggrFunc!A:A,PhpAggrFunc!B:B,"") = "", _xlfn.XLOOKUP(G323,PhpAggrFunc!A:A,PhpAggrFunc!B:B,""), _xlfn.XLOOKUP(F323,PhpAggrFunc!A:A,PhpAggrFunc!B:B,""))</f>
        <v/>
      </c>
      <c r="P323" t="str">
        <f t="shared" si="26"/>
        <v>UNRESERVED</v>
      </c>
      <c r="Q323" t="str">
        <f t="shared" si="27"/>
        <v>static const String^ TOK_OVERFLOW = "OVERFLOW";</v>
      </c>
      <c r="R323" t="str">
        <f t="shared" si="28"/>
        <v>static const int TOK_OVERFLOW = 375;</v>
      </c>
      <c r="S323" t="str">
        <f t="shared" si="29"/>
        <v>// _Tokens-&gt;Add((String^)GramVals::TOK_OVERFLOW, gcnew Token(GramKeys::TOK_OVERFLOW, EnumTokenCategory::UNRESERVED,BARE_LABEL, i++));</v>
      </c>
    </row>
    <row r="324" spans="1:19" x14ac:dyDescent="0.25">
      <c r="A324" s="3" t="s">
        <v>1688</v>
      </c>
      <c r="B324" s="5" t="s">
        <v>1239</v>
      </c>
      <c r="C324" s="3" t="s">
        <v>2215</v>
      </c>
      <c r="D324" s="3" t="s">
        <v>2423</v>
      </c>
      <c r="F324" t="str">
        <f t="shared" ref="F324:F387" si="30">MID(A324,5,99)</f>
        <v>OVERLAY</v>
      </c>
      <c r="G324" t="s">
        <v>3490</v>
      </c>
      <c r="I324" s="3" t="str">
        <f>IF(_xlfn.XLOOKUP(F324,PgSqlRaw!B:B,PgSqlRaw!E:E,"") = "",_xlfn.XLOOKUP(G324,PgSqlRaw!B:B,PgSqlRaw!E:E,""),_xlfn.XLOOKUP(F324,PgSqlRaw!B:B,PgSqlRaw!E:E,""))</f>
        <v>COLNAME_KEYWORD</v>
      </c>
      <c r="J324" t="str">
        <f>IF(_xlfn.XLOOKUP(F324,PgSqlRaw!B:B,PgSqlRaw!F:F,"") = "", _xlfn.XLOOKUP(G324,PgSqlRaw!B:B,PgSqlRaw!F:F,""), _xlfn.XLOOKUP(F324,PgSqlRaw!B:B,PgSqlRaw!F:F,""))</f>
        <v>BARE_LABEL</v>
      </c>
      <c r="K324" t="str">
        <f t="shared" ref="K324:K387" si="31">IF(J324 = "", "BARE_LABEL", J324)</f>
        <v>BARE_LABEL</v>
      </c>
      <c r="L324" t="str">
        <f>IF(_xlfn.XLOOKUP(F324,PhpReserved!A:A,PhpReserved!B:B,"") = "", _xlfn.XLOOKUP(G324,PhpReserved!A:A,PhpReserved!B:B,""),_xlfn.XLOOKUP(F324,PhpReserved!A:A,PhpReserved!B:B,""))</f>
        <v/>
      </c>
      <c r="M324" t="str">
        <f>IF(_xlfn.XLOOKUP(F324,PhpFunctions!A:A,PhpFunctions!B:B,"") =  "", _xlfn.XLOOKUP(G324,PhpFunctions!A:A,PhpFunctions!B:B,""), _xlfn.XLOOKUP(F324,PhpFunctions!A:A,PhpFunctions!B:B,""))</f>
        <v/>
      </c>
      <c r="N324" t="str">
        <f>IF(_xlfn.XLOOKUP(F324,PhpParamFunc!A:A,PhpParamFunc!B:B,"") = "", _xlfn.XLOOKUP(G324,PhpParamFunc!A:A,PhpParamFunc!B:B,""), _xlfn.XLOOKUP(F324,PhpParamFunc!A:A,PhpParamFunc!B:B,""))</f>
        <v/>
      </c>
      <c r="O324" t="str">
        <f>IF(_xlfn.XLOOKUP(F324,PhpAggrFunc!A:A,PhpAggrFunc!B:B,"") = "", _xlfn.XLOOKUP(G324,PhpAggrFunc!A:A,PhpAggrFunc!B:B,""), _xlfn.XLOOKUP(F324,PhpAggrFunc!A:A,PhpAggrFunc!B:B,""))</f>
        <v/>
      </c>
      <c r="P324" t="str">
        <f t="shared" ref="P324:P387" si="32">IF(O324 = "",IF(N324 = "", IF(M324 = "", IF(L324 = "", IF(I324 = "",IF(E324 = "","UNRESERVED",E324),I324),L324),M324),N324),O324)</f>
        <v>COLNAME_KEYWORD</v>
      </c>
      <c r="Q324" t="str">
        <f t="shared" ref="Q324:Q387" si="33">_xlfn.CONCAT("static const String^ ", A324, " = ", C324, ";")</f>
        <v>static const String^ TOK_OVERLAY = "OVERLAY";</v>
      </c>
      <c r="R324" t="str">
        <f t="shared" ref="R324:R387" si="34">_xlfn.CONCAT("static const int ", A324, " = ", B324, ";")</f>
        <v>static const int TOK_OVERLAY = 566;</v>
      </c>
      <c r="S324" t="str">
        <f t="shared" ref="S324:S387" si="35">_xlfn.CONCAT(IF(P324 = "UNRESERVED", "// ", ""),"_Tokens-&gt;Add((String^)GramVals::", A324, ", gcnew Token(GramKeys::", A324, ", EnumTokenCategory::", P324, ",",K324, ", i++));")</f>
        <v>_Tokens-&gt;Add((String^)GramVals::TOK_OVERLAY, gcnew Token(GramKeys::TOK_OVERLAY, EnumTokenCategory::COLNAME_KEYWORD,BARE_LABEL, i++));</v>
      </c>
    </row>
    <row r="325" spans="1:19" x14ac:dyDescent="0.25">
      <c r="A325" s="3" t="s">
        <v>1689</v>
      </c>
      <c r="B325" s="5">
        <v>717</v>
      </c>
      <c r="C325" s="3" t="s">
        <v>2216</v>
      </c>
      <c r="D325" s="3" t="s">
        <v>2423</v>
      </c>
      <c r="F325" t="str">
        <f t="shared" si="30"/>
        <v>OVERRIDING</v>
      </c>
      <c r="G325" t="s">
        <v>3491</v>
      </c>
      <c r="I325" s="3" t="str">
        <f>IF(_xlfn.XLOOKUP(F325,PgSqlRaw!B:B,PgSqlRaw!E:E,"") = "",_xlfn.XLOOKUP(G325,PgSqlRaw!B:B,PgSqlRaw!E:E,""),_xlfn.XLOOKUP(F325,PgSqlRaw!B:B,PgSqlRaw!E:E,""))</f>
        <v/>
      </c>
      <c r="J325" t="str">
        <f>IF(_xlfn.XLOOKUP(F325,PgSqlRaw!B:B,PgSqlRaw!F:F,"") = "", _xlfn.XLOOKUP(G325,PgSqlRaw!B:B,PgSqlRaw!F:F,""), _xlfn.XLOOKUP(F325,PgSqlRaw!B:B,PgSqlRaw!F:F,""))</f>
        <v>BARE_LABEL</v>
      </c>
      <c r="K325" t="str">
        <f t="shared" si="31"/>
        <v>BARE_LABEL</v>
      </c>
      <c r="L325" t="str">
        <f>IF(_xlfn.XLOOKUP(F325,PhpReserved!A:A,PhpReserved!B:B,"") = "", _xlfn.XLOOKUP(G325,PhpReserved!A:A,PhpReserved!B:B,""),_xlfn.XLOOKUP(F325,PhpReserved!A:A,PhpReserved!B:B,""))</f>
        <v/>
      </c>
      <c r="M325" t="str">
        <f>IF(_xlfn.XLOOKUP(F325,PhpFunctions!A:A,PhpFunctions!B:B,"") =  "", _xlfn.XLOOKUP(G325,PhpFunctions!A:A,PhpFunctions!B:B,""), _xlfn.XLOOKUP(F325,PhpFunctions!A:A,PhpFunctions!B:B,""))</f>
        <v/>
      </c>
      <c r="N325" t="str">
        <f>IF(_xlfn.XLOOKUP(F325,PhpParamFunc!A:A,PhpParamFunc!B:B,"") = "", _xlfn.XLOOKUP(G325,PhpParamFunc!A:A,PhpParamFunc!B:B,""), _xlfn.XLOOKUP(F325,PhpParamFunc!A:A,PhpParamFunc!B:B,""))</f>
        <v/>
      </c>
      <c r="O325" t="str">
        <f>IF(_xlfn.XLOOKUP(F325,PhpAggrFunc!A:A,PhpAggrFunc!B:B,"") = "", _xlfn.XLOOKUP(G325,PhpAggrFunc!A:A,PhpAggrFunc!B:B,""), _xlfn.XLOOKUP(F325,PhpAggrFunc!A:A,PhpAggrFunc!B:B,""))</f>
        <v/>
      </c>
      <c r="P325" t="str">
        <f t="shared" si="32"/>
        <v>UNRESERVED</v>
      </c>
      <c r="Q325" t="str">
        <f t="shared" si="33"/>
        <v>static const String^ TOK_OVERRIDING = "OVERRIDING";</v>
      </c>
      <c r="R325" t="str">
        <f t="shared" si="34"/>
        <v>static const int TOK_OVERRIDING = 717;</v>
      </c>
      <c r="S325" t="str">
        <f t="shared" si="35"/>
        <v>// _Tokens-&gt;Add((String^)GramVals::TOK_OVERRIDING, gcnew Token(GramKeys::TOK_OVERRIDING, EnumTokenCategory::UNRESERVED,BARE_LABEL, i++));</v>
      </c>
    </row>
    <row r="326" spans="1:19" x14ac:dyDescent="0.25">
      <c r="A326" s="3" t="s">
        <v>1690</v>
      </c>
      <c r="B326" s="5" t="s">
        <v>1240</v>
      </c>
      <c r="C326" s="3" t="s">
        <v>2217</v>
      </c>
      <c r="D326" s="3" t="s">
        <v>2423</v>
      </c>
      <c r="F326" t="str">
        <f t="shared" si="30"/>
        <v>PACKAGE</v>
      </c>
      <c r="G326" t="s">
        <v>3760</v>
      </c>
      <c r="I326" s="3" t="str">
        <f>IF(_xlfn.XLOOKUP(F326,PgSqlRaw!B:B,PgSqlRaw!E:E,"") = "",_xlfn.XLOOKUP(G326,PgSqlRaw!B:B,PgSqlRaw!E:E,""),_xlfn.XLOOKUP(F326,PgSqlRaw!B:B,PgSqlRaw!E:E,""))</f>
        <v/>
      </c>
      <c r="J326" t="str">
        <f>IF(_xlfn.XLOOKUP(F326,PgSqlRaw!B:B,PgSqlRaw!F:F,"") = "", _xlfn.XLOOKUP(G326,PgSqlRaw!B:B,PgSqlRaw!F:F,""), _xlfn.XLOOKUP(F326,PgSqlRaw!B:B,PgSqlRaw!F:F,""))</f>
        <v/>
      </c>
      <c r="K326" t="str">
        <f t="shared" si="31"/>
        <v>BARE_LABEL</v>
      </c>
      <c r="L326" t="str">
        <f>IF(_xlfn.XLOOKUP(F326,PhpReserved!A:A,PhpReserved!B:B,"") = "", _xlfn.XLOOKUP(G326,PhpReserved!A:A,PhpReserved!B:B,""),_xlfn.XLOOKUP(F326,PhpReserved!A:A,PhpReserved!B:B,""))</f>
        <v/>
      </c>
      <c r="M326" t="str">
        <f>IF(_xlfn.XLOOKUP(F326,PhpFunctions!A:A,PhpFunctions!B:B,"") =  "", _xlfn.XLOOKUP(G326,PhpFunctions!A:A,PhpFunctions!B:B,""), _xlfn.XLOOKUP(F326,PhpFunctions!A:A,PhpFunctions!B:B,""))</f>
        <v/>
      </c>
      <c r="N326" t="str">
        <f>IF(_xlfn.XLOOKUP(F326,PhpParamFunc!A:A,PhpParamFunc!B:B,"") = "", _xlfn.XLOOKUP(G326,PhpParamFunc!A:A,PhpParamFunc!B:B,""), _xlfn.XLOOKUP(F326,PhpParamFunc!A:A,PhpParamFunc!B:B,""))</f>
        <v/>
      </c>
      <c r="O326" t="str">
        <f>IF(_xlfn.XLOOKUP(F326,PhpAggrFunc!A:A,PhpAggrFunc!B:B,"") = "", _xlfn.XLOOKUP(G326,PhpAggrFunc!A:A,PhpAggrFunc!B:B,""), _xlfn.XLOOKUP(F326,PhpAggrFunc!A:A,PhpAggrFunc!B:B,""))</f>
        <v/>
      </c>
      <c r="P326" t="str">
        <f t="shared" si="32"/>
        <v>UNRESERVED</v>
      </c>
      <c r="Q326" t="str">
        <f t="shared" si="33"/>
        <v>static const String^ TOK_PACKAGE = "PACKAGE";</v>
      </c>
      <c r="R326" t="str">
        <f t="shared" si="34"/>
        <v>static const int TOK_PACKAGE = 615;</v>
      </c>
      <c r="S326" t="str">
        <f t="shared" si="35"/>
        <v>// _Tokens-&gt;Add((String^)GramVals::TOK_PACKAGE, gcnew Token(GramKeys::TOK_PACKAGE, EnumTokenCategory::UNRESERVED,BARE_LABEL, i++));</v>
      </c>
    </row>
    <row r="327" spans="1:19" x14ac:dyDescent="0.25">
      <c r="A327" s="3" t="s">
        <v>1691</v>
      </c>
      <c r="B327" s="5" t="s">
        <v>1241</v>
      </c>
      <c r="C327" s="3" t="s">
        <v>2218</v>
      </c>
      <c r="D327" s="3" t="s">
        <v>2423</v>
      </c>
      <c r="F327" t="str">
        <f t="shared" si="30"/>
        <v>PAD</v>
      </c>
      <c r="G327" t="s">
        <v>3761</v>
      </c>
      <c r="I327" s="3" t="str">
        <f>IF(_xlfn.XLOOKUP(F327,PgSqlRaw!B:B,PgSqlRaw!E:E,"") = "",_xlfn.XLOOKUP(G327,PgSqlRaw!B:B,PgSqlRaw!E:E,""),_xlfn.XLOOKUP(F327,PgSqlRaw!B:B,PgSqlRaw!E:E,""))</f>
        <v/>
      </c>
      <c r="J327" t="str">
        <f>IF(_xlfn.XLOOKUP(F327,PgSqlRaw!B:B,PgSqlRaw!F:F,"") = "", _xlfn.XLOOKUP(G327,PgSqlRaw!B:B,PgSqlRaw!F:F,""), _xlfn.XLOOKUP(F327,PgSqlRaw!B:B,PgSqlRaw!F:F,""))</f>
        <v/>
      </c>
      <c r="K327" t="str">
        <f t="shared" si="31"/>
        <v>BARE_LABEL</v>
      </c>
      <c r="L327" t="str">
        <f>IF(_xlfn.XLOOKUP(F327,PhpReserved!A:A,PhpReserved!B:B,"") = "", _xlfn.XLOOKUP(G327,PhpReserved!A:A,PhpReserved!B:B,""),_xlfn.XLOOKUP(F327,PhpReserved!A:A,PhpReserved!B:B,""))</f>
        <v/>
      </c>
      <c r="M327" t="str">
        <f>IF(_xlfn.XLOOKUP(F327,PhpFunctions!A:A,PhpFunctions!B:B,"") =  "", _xlfn.XLOOKUP(G327,PhpFunctions!A:A,PhpFunctions!B:B,""), _xlfn.XLOOKUP(F327,PhpFunctions!A:A,PhpFunctions!B:B,""))</f>
        <v/>
      </c>
      <c r="N327" t="str">
        <f>IF(_xlfn.XLOOKUP(F327,PhpParamFunc!A:A,PhpParamFunc!B:B,"") = "", _xlfn.XLOOKUP(G327,PhpParamFunc!A:A,PhpParamFunc!B:B,""), _xlfn.XLOOKUP(F327,PhpParamFunc!A:A,PhpParamFunc!B:B,""))</f>
        <v/>
      </c>
      <c r="O327" t="str">
        <f>IF(_xlfn.XLOOKUP(F327,PhpAggrFunc!A:A,PhpAggrFunc!B:B,"") = "", _xlfn.XLOOKUP(G327,PhpAggrFunc!A:A,PhpAggrFunc!B:B,""), _xlfn.XLOOKUP(F327,PhpAggrFunc!A:A,PhpAggrFunc!B:B,""))</f>
        <v/>
      </c>
      <c r="P327" t="str">
        <f t="shared" si="32"/>
        <v>UNRESERVED</v>
      </c>
      <c r="Q327" t="str">
        <f t="shared" si="33"/>
        <v>static const String^ TOK_PAD = "PAD";</v>
      </c>
      <c r="R327" t="str">
        <f t="shared" si="34"/>
        <v>static const int TOK_PAD = 567;</v>
      </c>
      <c r="S327" t="str">
        <f t="shared" si="35"/>
        <v>// _Tokens-&gt;Add((String^)GramVals::TOK_PAD, gcnew Token(GramKeys::TOK_PAD, EnumTokenCategory::UNRESERVED,BARE_LABEL, i++));</v>
      </c>
    </row>
    <row r="328" spans="1:19" x14ac:dyDescent="0.25">
      <c r="A328" s="3" t="s">
        <v>1692</v>
      </c>
      <c r="B328" s="5" t="s">
        <v>1242</v>
      </c>
      <c r="C328" s="3" t="s">
        <v>2219</v>
      </c>
      <c r="D328" s="3" t="s">
        <v>2423</v>
      </c>
      <c r="F328" t="str">
        <f t="shared" si="30"/>
        <v>PAGE</v>
      </c>
      <c r="G328" t="s">
        <v>3762</v>
      </c>
      <c r="I328" s="3" t="str">
        <f>IF(_xlfn.XLOOKUP(F328,PgSqlRaw!B:B,PgSqlRaw!E:E,"") = "",_xlfn.XLOOKUP(G328,PgSqlRaw!B:B,PgSqlRaw!E:E,""),_xlfn.XLOOKUP(F328,PgSqlRaw!B:B,PgSqlRaw!E:E,""))</f>
        <v/>
      </c>
      <c r="J328" t="str">
        <f>IF(_xlfn.XLOOKUP(F328,PgSqlRaw!B:B,PgSqlRaw!F:F,"") = "", _xlfn.XLOOKUP(G328,PgSqlRaw!B:B,PgSqlRaw!F:F,""), _xlfn.XLOOKUP(F328,PgSqlRaw!B:B,PgSqlRaw!F:F,""))</f>
        <v/>
      </c>
      <c r="K328" t="str">
        <f t="shared" si="31"/>
        <v>BARE_LABEL</v>
      </c>
      <c r="L328" t="str">
        <f>IF(_xlfn.XLOOKUP(F328,PhpReserved!A:A,PhpReserved!B:B,"") = "", _xlfn.XLOOKUP(G328,PhpReserved!A:A,PhpReserved!B:B,""),_xlfn.XLOOKUP(F328,PhpReserved!A:A,PhpReserved!B:B,""))</f>
        <v/>
      </c>
      <c r="M328" t="str">
        <f>IF(_xlfn.XLOOKUP(F328,PhpFunctions!A:A,PhpFunctions!B:B,"") =  "", _xlfn.XLOOKUP(G328,PhpFunctions!A:A,PhpFunctions!B:B,""), _xlfn.XLOOKUP(F328,PhpFunctions!A:A,PhpFunctions!B:B,""))</f>
        <v/>
      </c>
      <c r="N328" t="str">
        <f>IF(_xlfn.XLOOKUP(F328,PhpParamFunc!A:A,PhpParamFunc!B:B,"") = "", _xlfn.XLOOKUP(G328,PhpParamFunc!A:A,PhpParamFunc!B:B,""), _xlfn.XLOOKUP(F328,PhpParamFunc!A:A,PhpParamFunc!B:B,""))</f>
        <v/>
      </c>
      <c r="O328" t="str">
        <f>IF(_xlfn.XLOOKUP(F328,PhpAggrFunc!A:A,PhpAggrFunc!B:B,"") = "", _xlfn.XLOOKUP(G328,PhpAggrFunc!A:A,PhpAggrFunc!B:B,""), _xlfn.XLOOKUP(F328,PhpAggrFunc!A:A,PhpAggrFunc!B:B,""))</f>
        <v/>
      </c>
      <c r="P328" t="str">
        <f t="shared" si="32"/>
        <v>UNRESERVED</v>
      </c>
      <c r="Q328" t="str">
        <f t="shared" si="33"/>
        <v>static const String^ TOK_PAGE = "PAGE";</v>
      </c>
      <c r="R328" t="str">
        <f t="shared" si="34"/>
        <v>static const int TOK_PAGE = 376;</v>
      </c>
      <c r="S328" t="str">
        <f t="shared" si="35"/>
        <v>// _Tokens-&gt;Add((String^)GramVals::TOK_PAGE, gcnew Token(GramKeys::TOK_PAGE, EnumTokenCategory::UNRESERVED,BARE_LABEL, i++));</v>
      </c>
    </row>
    <row r="329" spans="1:19" x14ac:dyDescent="0.25">
      <c r="A329" s="3" t="s">
        <v>1693</v>
      </c>
      <c r="B329" s="5" t="s">
        <v>1243</v>
      </c>
      <c r="C329" s="3" t="s">
        <v>2220</v>
      </c>
      <c r="D329" s="3" t="s">
        <v>2423</v>
      </c>
      <c r="F329" t="str">
        <f t="shared" si="30"/>
        <v>PAGE_SIZE</v>
      </c>
      <c r="G329" t="s">
        <v>3763</v>
      </c>
      <c r="I329" s="3" t="str">
        <f>IF(_xlfn.XLOOKUP(F329,PgSqlRaw!B:B,PgSqlRaw!E:E,"") = "",_xlfn.XLOOKUP(G329,PgSqlRaw!B:B,PgSqlRaw!E:E,""),_xlfn.XLOOKUP(F329,PgSqlRaw!B:B,PgSqlRaw!E:E,""))</f>
        <v/>
      </c>
      <c r="J329" t="str">
        <f>IF(_xlfn.XLOOKUP(F329,PgSqlRaw!B:B,PgSqlRaw!F:F,"") = "", _xlfn.XLOOKUP(G329,PgSqlRaw!B:B,PgSqlRaw!F:F,""), _xlfn.XLOOKUP(F329,PgSqlRaw!B:B,PgSqlRaw!F:F,""))</f>
        <v/>
      </c>
      <c r="K329" t="str">
        <f t="shared" si="31"/>
        <v>BARE_LABEL</v>
      </c>
      <c r="L329" t="str">
        <f>IF(_xlfn.XLOOKUP(F329,PhpReserved!A:A,PhpReserved!B:B,"") = "", _xlfn.XLOOKUP(G329,PhpReserved!A:A,PhpReserved!B:B,""),_xlfn.XLOOKUP(F329,PhpReserved!A:A,PhpReserved!B:B,""))</f>
        <v/>
      </c>
      <c r="M329" t="str">
        <f>IF(_xlfn.XLOOKUP(F329,PhpFunctions!A:A,PhpFunctions!B:B,"") =  "", _xlfn.XLOOKUP(G329,PhpFunctions!A:A,PhpFunctions!B:B,""), _xlfn.XLOOKUP(F329,PhpFunctions!A:A,PhpFunctions!B:B,""))</f>
        <v/>
      </c>
      <c r="N329" t="str">
        <f>IF(_xlfn.XLOOKUP(F329,PhpParamFunc!A:A,PhpParamFunc!B:B,"") = "", _xlfn.XLOOKUP(G329,PhpParamFunc!A:A,PhpParamFunc!B:B,""), _xlfn.XLOOKUP(F329,PhpParamFunc!A:A,PhpParamFunc!B:B,""))</f>
        <v/>
      </c>
      <c r="O329" t="str">
        <f>IF(_xlfn.XLOOKUP(F329,PhpAggrFunc!A:A,PhpAggrFunc!B:B,"") = "", _xlfn.XLOOKUP(G329,PhpAggrFunc!A:A,PhpAggrFunc!B:B,""), _xlfn.XLOOKUP(F329,PhpAggrFunc!A:A,PhpAggrFunc!B:B,""))</f>
        <v/>
      </c>
      <c r="P329" t="str">
        <f t="shared" si="32"/>
        <v>UNRESERVED</v>
      </c>
      <c r="Q329" t="str">
        <f t="shared" si="33"/>
        <v>static const String^ TOK_PAGE_SIZE = "PAGE_SIZE";</v>
      </c>
      <c r="R329" t="str">
        <f t="shared" si="34"/>
        <v>static const int TOK_PAGE_SIZE = 378;</v>
      </c>
      <c r="S329" t="str">
        <f t="shared" si="35"/>
        <v>// _Tokens-&gt;Add((String^)GramVals::TOK_PAGE_SIZE, gcnew Token(GramKeys::TOK_PAGE_SIZE, EnumTokenCategory::UNRESERVED,BARE_LABEL, i++));</v>
      </c>
    </row>
    <row r="330" spans="1:19" x14ac:dyDescent="0.25">
      <c r="A330" s="3" t="s">
        <v>1694</v>
      </c>
      <c r="B330" s="5" t="s">
        <v>1244</v>
      </c>
      <c r="C330" s="3" t="s">
        <v>2221</v>
      </c>
      <c r="D330" s="3" t="s">
        <v>2423</v>
      </c>
      <c r="F330" t="str">
        <f t="shared" si="30"/>
        <v>PAGES</v>
      </c>
      <c r="G330" t="s">
        <v>3764</v>
      </c>
      <c r="I330" s="3" t="str">
        <f>IF(_xlfn.XLOOKUP(F330,PgSqlRaw!B:B,PgSqlRaw!E:E,"") = "",_xlfn.XLOOKUP(G330,PgSqlRaw!B:B,PgSqlRaw!E:E,""),_xlfn.XLOOKUP(F330,PgSqlRaw!B:B,PgSqlRaw!E:E,""))</f>
        <v/>
      </c>
      <c r="J330" t="str">
        <f>IF(_xlfn.XLOOKUP(F330,PgSqlRaw!B:B,PgSqlRaw!F:F,"") = "", _xlfn.XLOOKUP(G330,PgSqlRaw!B:B,PgSqlRaw!F:F,""), _xlfn.XLOOKUP(F330,PgSqlRaw!B:B,PgSqlRaw!F:F,""))</f>
        <v/>
      </c>
      <c r="K330" t="str">
        <f t="shared" si="31"/>
        <v>BARE_LABEL</v>
      </c>
      <c r="L330" t="str">
        <f>IF(_xlfn.XLOOKUP(F330,PhpReserved!A:A,PhpReserved!B:B,"") = "", _xlfn.XLOOKUP(G330,PhpReserved!A:A,PhpReserved!B:B,""),_xlfn.XLOOKUP(F330,PhpReserved!A:A,PhpReserved!B:B,""))</f>
        <v/>
      </c>
      <c r="M330" t="str">
        <f>IF(_xlfn.XLOOKUP(F330,PhpFunctions!A:A,PhpFunctions!B:B,"") =  "", _xlfn.XLOOKUP(G330,PhpFunctions!A:A,PhpFunctions!B:B,""), _xlfn.XLOOKUP(F330,PhpFunctions!A:A,PhpFunctions!B:B,""))</f>
        <v/>
      </c>
      <c r="N330" t="str">
        <f>IF(_xlfn.XLOOKUP(F330,PhpParamFunc!A:A,PhpParamFunc!B:B,"") = "", _xlfn.XLOOKUP(G330,PhpParamFunc!A:A,PhpParamFunc!B:B,""), _xlfn.XLOOKUP(F330,PhpParamFunc!A:A,PhpParamFunc!B:B,""))</f>
        <v/>
      </c>
      <c r="O330" t="str">
        <f>IF(_xlfn.XLOOKUP(F330,PhpAggrFunc!A:A,PhpAggrFunc!B:B,"") = "", _xlfn.XLOOKUP(G330,PhpAggrFunc!A:A,PhpAggrFunc!B:B,""), _xlfn.XLOOKUP(F330,PhpAggrFunc!A:A,PhpAggrFunc!B:B,""))</f>
        <v/>
      </c>
      <c r="P330" t="str">
        <f t="shared" si="32"/>
        <v>UNRESERVED</v>
      </c>
      <c r="Q330" t="str">
        <f t="shared" si="33"/>
        <v>static const String^ TOK_PAGES = "PAGES";</v>
      </c>
      <c r="R330" t="str">
        <f t="shared" si="34"/>
        <v>static const int TOK_PAGES = 377;</v>
      </c>
      <c r="S330" t="str">
        <f t="shared" si="35"/>
        <v>// _Tokens-&gt;Add((String^)GramVals::TOK_PAGES, gcnew Token(GramKeys::TOK_PAGES, EnumTokenCategory::UNRESERVED,BARE_LABEL, i++));</v>
      </c>
    </row>
    <row r="331" spans="1:19" x14ac:dyDescent="0.25">
      <c r="A331" s="3" t="s">
        <v>1695</v>
      </c>
      <c r="B331" s="5" t="s">
        <v>1245</v>
      </c>
      <c r="C331" s="3" t="s">
        <v>2222</v>
      </c>
      <c r="D331" s="3" t="s">
        <v>881</v>
      </c>
      <c r="F331" t="str">
        <f t="shared" si="30"/>
        <v>PARAMETER</v>
      </c>
      <c r="G331" t="s">
        <v>3495</v>
      </c>
      <c r="I331" s="3" t="str">
        <f>IF(_xlfn.XLOOKUP(F331,PgSqlRaw!B:B,PgSqlRaw!E:E,"") = "",_xlfn.XLOOKUP(G331,PgSqlRaw!B:B,PgSqlRaw!E:E,""),_xlfn.XLOOKUP(F331,PgSqlRaw!B:B,PgSqlRaw!E:E,""))</f>
        <v/>
      </c>
      <c r="J331" t="str">
        <f>IF(_xlfn.XLOOKUP(F331,PgSqlRaw!B:B,PgSqlRaw!F:F,"") = "", _xlfn.XLOOKUP(G331,PgSqlRaw!B:B,PgSqlRaw!F:F,""), _xlfn.XLOOKUP(F331,PgSqlRaw!B:B,PgSqlRaw!F:F,""))</f>
        <v>BARE_LABEL</v>
      </c>
      <c r="K331" t="str">
        <f t="shared" si="31"/>
        <v>BARE_LABEL</v>
      </c>
      <c r="L331" t="str">
        <f>IF(_xlfn.XLOOKUP(F331,PhpReserved!A:A,PhpReserved!B:B,"") = "", _xlfn.XLOOKUP(G331,PhpReserved!A:A,PhpReserved!B:B,""),_xlfn.XLOOKUP(F331,PhpReserved!A:A,PhpReserved!B:B,""))</f>
        <v/>
      </c>
      <c r="M331" t="str">
        <f>IF(_xlfn.XLOOKUP(F331,PhpFunctions!A:A,PhpFunctions!B:B,"") =  "", _xlfn.XLOOKUP(G331,PhpFunctions!A:A,PhpFunctions!B:B,""), _xlfn.XLOOKUP(F331,PhpFunctions!A:A,PhpFunctions!B:B,""))</f>
        <v/>
      </c>
      <c r="N331" t="str">
        <f>IF(_xlfn.XLOOKUP(F331,PhpParamFunc!A:A,PhpParamFunc!B:B,"") = "", _xlfn.XLOOKUP(G331,PhpParamFunc!A:A,PhpParamFunc!B:B,""), _xlfn.XLOOKUP(F331,PhpParamFunc!A:A,PhpParamFunc!B:B,""))</f>
        <v/>
      </c>
      <c r="O331" t="str">
        <f>IF(_xlfn.XLOOKUP(F331,PhpAggrFunc!A:A,PhpAggrFunc!B:B,"") = "", _xlfn.XLOOKUP(G331,PhpAggrFunc!A:A,PhpAggrFunc!B:B,""), _xlfn.XLOOKUP(F331,PhpAggrFunc!A:A,PhpAggrFunc!B:B,""))</f>
        <v/>
      </c>
      <c r="P331" t="str">
        <f t="shared" si="32"/>
        <v>UNRESERVED</v>
      </c>
      <c r="Q331" t="str">
        <f t="shared" si="33"/>
        <v>static const String^ TOK_PARAMETER = "PARAMETER";</v>
      </c>
      <c r="R331" t="str">
        <f t="shared" si="34"/>
        <v>static const int TOK_PARAMETER = 379;</v>
      </c>
      <c r="S331" t="str">
        <f t="shared" si="35"/>
        <v>// _Tokens-&gt;Add((String^)GramVals::TOK_PARAMETER, gcnew Token(GramKeys::TOK_PARAMETER, EnumTokenCategory::UNRESERVED,BARE_LABEL, i++));</v>
      </c>
    </row>
    <row r="332" spans="1:19" x14ac:dyDescent="0.25">
      <c r="A332" s="3" t="s">
        <v>1696</v>
      </c>
      <c r="B332" s="5">
        <v>718</v>
      </c>
      <c r="C332" s="3" t="s">
        <v>2223</v>
      </c>
      <c r="D332" s="3" t="s">
        <v>881</v>
      </c>
      <c r="E332" s="3" t="s">
        <v>3647</v>
      </c>
      <c r="F332" t="str">
        <f t="shared" si="30"/>
        <v>PAREN_CLOSE</v>
      </c>
      <c r="G332" t="s">
        <v>3765</v>
      </c>
      <c r="I332" s="3" t="str">
        <f>IF(_xlfn.XLOOKUP(F332,PgSqlRaw!B:B,PgSqlRaw!E:E,"") = "",_xlfn.XLOOKUP(G332,PgSqlRaw!B:B,PgSqlRaw!E:E,""),_xlfn.XLOOKUP(F332,PgSqlRaw!B:B,PgSqlRaw!E:E,""))</f>
        <v/>
      </c>
      <c r="J332" t="str">
        <f>IF(_xlfn.XLOOKUP(F332,PgSqlRaw!B:B,PgSqlRaw!F:F,"") = "", _xlfn.XLOOKUP(G332,PgSqlRaw!B:B,PgSqlRaw!F:F,""), _xlfn.XLOOKUP(F332,PgSqlRaw!B:B,PgSqlRaw!F:F,""))</f>
        <v/>
      </c>
      <c r="K332" t="str">
        <f t="shared" si="31"/>
        <v>BARE_LABEL</v>
      </c>
      <c r="L332" t="str">
        <f>IF(_xlfn.XLOOKUP(F332,PhpReserved!A:A,PhpReserved!B:B,"") = "", _xlfn.XLOOKUP(G332,PhpReserved!A:A,PhpReserved!B:B,""),_xlfn.XLOOKUP(F332,PhpReserved!A:A,PhpReserved!B:B,""))</f>
        <v/>
      </c>
      <c r="M332" t="str">
        <f>IF(_xlfn.XLOOKUP(F332,PhpFunctions!A:A,PhpFunctions!B:B,"") =  "", _xlfn.XLOOKUP(G332,PhpFunctions!A:A,PhpFunctions!B:B,""), _xlfn.XLOOKUP(F332,PhpFunctions!A:A,PhpFunctions!B:B,""))</f>
        <v/>
      </c>
      <c r="N332" t="str">
        <f>IF(_xlfn.XLOOKUP(F332,PhpParamFunc!A:A,PhpParamFunc!B:B,"") = "", _xlfn.XLOOKUP(G332,PhpParamFunc!A:A,PhpParamFunc!B:B,""), _xlfn.XLOOKUP(F332,PhpParamFunc!A:A,PhpParamFunc!B:B,""))</f>
        <v/>
      </c>
      <c r="O332" t="str">
        <f>IF(_xlfn.XLOOKUP(F332,PhpAggrFunc!A:A,PhpAggrFunc!B:B,"") = "", _xlfn.XLOOKUP(G332,PhpAggrFunc!A:A,PhpAggrFunc!B:B,""), _xlfn.XLOOKUP(F332,PhpAggrFunc!A:A,PhpAggrFunc!B:B,""))</f>
        <v/>
      </c>
      <c r="P332" t="str">
        <f t="shared" si="32"/>
        <v>BLOCK</v>
      </c>
      <c r="Q332" t="str">
        <f t="shared" si="33"/>
        <v>static const String^ TOK_PAREN_CLOSE = ")";</v>
      </c>
      <c r="R332" t="str">
        <f t="shared" si="34"/>
        <v>static const int TOK_PAREN_CLOSE = 718;</v>
      </c>
      <c r="S332" t="str">
        <f t="shared" si="35"/>
        <v>_Tokens-&gt;Add((String^)GramVals::TOK_PAREN_CLOSE, gcnew Token(GramKeys::TOK_PAREN_CLOSE, EnumTokenCategory::BLOCK,BARE_LABEL, i++));</v>
      </c>
    </row>
    <row r="333" spans="1:19" x14ac:dyDescent="0.25">
      <c r="A333" s="3" t="s">
        <v>1697</v>
      </c>
      <c r="B333" s="5">
        <v>719</v>
      </c>
      <c r="C333" s="3" t="s">
        <v>2224</v>
      </c>
      <c r="D333" s="3" t="s">
        <v>881</v>
      </c>
      <c r="E333" s="3" t="s">
        <v>3647</v>
      </c>
      <c r="F333" t="str">
        <f t="shared" si="30"/>
        <v>PAREN_OPEN</v>
      </c>
      <c r="G333" t="s">
        <v>3766</v>
      </c>
      <c r="I333" s="3" t="str">
        <f>IF(_xlfn.XLOOKUP(F333,PgSqlRaw!B:B,PgSqlRaw!E:E,"") = "",_xlfn.XLOOKUP(G333,PgSqlRaw!B:B,PgSqlRaw!E:E,""),_xlfn.XLOOKUP(F333,PgSqlRaw!B:B,PgSqlRaw!E:E,""))</f>
        <v/>
      </c>
      <c r="J333" t="str">
        <f>IF(_xlfn.XLOOKUP(F333,PgSqlRaw!B:B,PgSqlRaw!F:F,"") = "", _xlfn.XLOOKUP(G333,PgSqlRaw!B:B,PgSqlRaw!F:F,""), _xlfn.XLOOKUP(F333,PgSqlRaw!B:B,PgSqlRaw!F:F,""))</f>
        <v/>
      </c>
      <c r="K333" t="str">
        <f t="shared" si="31"/>
        <v>BARE_LABEL</v>
      </c>
      <c r="L333" t="str">
        <f>IF(_xlfn.XLOOKUP(F333,PhpReserved!A:A,PhpReserved!B:B,"") = "", _xlfn.XLOOKUP(G333,PhpReserved!A:A,PhpReserved!B:B,""),_xlfn.XLOOKUP(F333,PhpReserved!A:A,PhpReserved!B:B,""))</f>
        <v/>
      </c>
      <c r="M333" t="str">
        <f>IF(_xlfn.XLOOKUP(F333,PhpFunctions!A:A,PhpFunctions!B:B,"") =  "", _xlfn.XLOOKUP(G333,PhpFunctions!A:A,PhpFunctions!B:B,""), _xlfn.XLOOKUP(F333,PhpFunctions!A:A,PhpFunctions!B:B,""))</f>
        <v/>
      </c>
      <c r="N333" t="str">
        <f>IF(_xlfn.XLOOKUP(F333,PhpParamFunc!A:A,PhpParamFunc!B:B,"") = "", _xlfn.XLOOKUP(G333,PhpParamFunc!A:A,PhpParamFunc!B:B,""), _xlfn.XLOOKUP(F333,PhpParamFunc!A:A,PhpParamFunc!B:B,""))</f>
        <v/>
      </c>
      <c r="O333" t="str">
        <f>IF(_xlfn.XLOOKUP(F333,PhpAggrFunc!A:A,PhpAggrFunc!B:B,"") = "", _xlfn.XLOOKUP(G333,PhpAggrFunc!A:A,PhpAggrFunc!B:B,""), _xlfn.XLOOKUP(F333,PhpAggrFunc!A:A,PhpAggrFunc!B:B,""))</f>
        <v/>
      </c>
      <c r="P333" t="str">
        <f t="shared" si="32"/>
        <v>BLOCK</v>
      </c>
      <c r="Q333" t="str">
        <f t="shared" si="33"/>
        <v>static const String^ TOK_PAREN_OPEN = "(";</v>
      </c>
      <c r="R333" t="str">
        <f t="shared" si="34"/>
        <v>static const int TOK_PAREN_OPEN = 719;</v>
      </c>
      <c r="S333" t="str">
        <f t="shared" si="35"/>
        <v>_Tokens-&gt;Add((String^)GramVals::TOK_PAREN_OPEN, gcnew Token(GramKeys::TOK_PAREN_OPEN, EnumTokenCategory::BLOCK,BARE_LABEL, i++));</v>
      </c>
    </row>
    <row r="334" spans="1:19" x14ac:dyDescent="0.25">
      <c r="A334" s="3" t="s">
        <v>1698</v>
      </c>
      <c r="B334" s="5" t="s">
        <v>1246</v>
      </c>
      <c r="C334" s="3" t="s">
        <v>2225</v>
      </c>
      <c r="D334" s="3" t="s">
        <v>2423</v>
      </c>
      <c r="F334" t="str">
        <f t="shared" si="30"/>
        <v>PARTITION</v>
      </c>
      <c r="G334" t="s">
        <v>3498</v>
      </c>
      <c r="I334" s="3" t="str">
        <f>IF(_xlfn.XLOOKUP(F334,PgSqlRaw!B:B,PgSqlRaw!E:E,"") = "",_xlfn.XLOOKUP(G334,PgSqlRaw!B:B,PgSqlRaw!E:E,""),_xlfn.XLOOKUP(F334,PgSqlRaw!B:B,PgSqlRaw!E:E,""))</f>
        <v/>
      </c>
      <c r="J334" t="str">
        <f>IF(_xlfn.XLOOKUP(F334,PgSqlRaw!B:B,PgSqlRaw!F:F,"") = "", _xlfn.XLOOKUP(G334,PgSqlRaw!B:B,PgSqlRaw!F:F,""), _xlfn.XLOOKUP(F334,PgSqlRaw!B:B,PgSqlRaw!F:F,""))</f>
        <v>BARE_LABEL</v>
      </c>
      <c r="K334" t="str">
        <f t="shared" si="31"/>
        <v>BARE_LABEL</v>
      </c>
      <c r="L334" t="str">
        <f>IF(_xlfn.XLOOKUP(F334,PhpReserved!A:A,PhpReserved!B:B,"") = "", _xlfn.XLOOKUP(G334,PhpReserved!A:A,PhpReserved!B:B,""),_xlfn.XLOOKUP(F334,PhpReserved!A:A,PhpReserved!B:B,""))</f>
        <v/>
      </c>
      <c r="M334" t="str">
        <f>IF(_xlfn.XLOOKUP(F334,PhpFunctions!A:A,PhpFunctions!B:B,"") =  "", _xlfn.XLOOKUP(G334,PhpFunctions!A:A,PhpFunctions!B:B,""), _xlfn.XLOOKUP(F334,PhpFunctions!A:A,PhpFunctions!B:B,""))</f>
        <v/>
      </c>
      <c r="N334" t="str">
        <f>IF(_xlfn.XLOOKUP(F334,PhpParamFunc!A:A,PhpParamFunc!B:B,"") = "", _xlfn.XLOOKUP(G334,PhpParamFunc!A:A,PhpParamFunc!B:B,""), _xlfn.XLOOKUP(F334,PhpParamFunc!A:A,PhpParamFunc!B:B,""))</f>
        <v/>
      </c>
      <c r="O334" t="str">
        <f>IF(_xlfn.XLOOKUP(F334,PhpAggrFunc!A:A,PhpAggrFunc!B:B,"") = "", _xlfn.XLOOKUP(G334,PhpAggrFunc!A:A,PhpAggrFunc!B:B,""), _xlfn.XLOOKUP(F334,PhpAggrFunc!A:A,PhpAggrFunc!B:B,""))</f>
        <v/>
      </c>
      <c r="P334" t="str">
        <f t="shared" si="32"/>
        <v>UNRESERVED</v>
      </c>
      <c r="Q334" t="str">
        <f t="shared" si="33"/>
        <v>static const String^ TOK_PARTITION = "PARTITION";</v>
      </c>
      <c r="R334" t="str">
        <f t="shared" si="34"/>
        <v>static const int TOK_PARTITION = 616;</v>
      </c>
      <c r="S334" t="str">
        <f t="shared" si="35"/>
        <v>// _Tokens-&gt;Add((String^)GramVals::TOK_PARTITION, gcnew Token(GramKeys::TOK_PARTITION, EnumTokenCategory::UNRESERVED,BARE_LABEL, i++));</v>
      </c>
    </row>
    <row r="335" spans="1:19" x14ac:dyDescent="0.25">
      <c r="A335" s="3" t="s">
        <v>1699</v>
      </c>
      <c r="B335" s="5" t="s">
        <v>1247</v>
      </c>
      <c r="C335" s="3" t="s">
        <v>2226</v>
      </c>
      <c r="D335" s="3" t="s">
        <v>2423</v>
      </c>
      <c r="F335" t="str">
        <f t="shared" si="30"/>
        <v>PASSWORD</v>
      </c>
      <c r="G335" t="s">
        <v>3010</v>
      </c>
      <c r="I335" s="3" t="str">
        <f>IF(_xlfn.XLOOKUP(F335,PgSqlRaw!B:B,PgSqlRaw!E:E,"") = "",_xlfn.XLOOKUP(G335,PgSqlRaw!B:B,PgSqlRaw!E:E,""),_xlfn.XLOOKUP(F335,PgSqlRaw!B:B,PgSqlRaw!E:E,""))</f>
        <v/>
      </c>
      <c r="J335" t="str">
        <f>IF(_xlfn.XLOOKUP(F335,PgSqlRaw!B:B,PgSqlRaw!F:F,"") = "", _xlfn.XLOOKUP(G335,PgSqlRaw!B:B,PgSqlRaw!F:F,""), _xlfn.XLOOKUP(F335,PgSqlRaw!B:B,PgSqlRaw!F:F,""))</f>
        <v>BARE_LABEL</v>
      </c>
      <c r="K335" t="str">
        <f t="shared" si="31"/>
        <v>BARE_LABEL</v>
      </c>
      <c r="L335" t="str">
        <f>IF(_xlfn.XLOOKUP(F335,PhpReserved!A:A,PhpReserved!B:B,"") = "", _xlfn.XLOOKUP(G335,PhpReserved!A:A,PhpReserved!B:B,""),_xlfn.XLOOKUP(F335,PhpReserved!A:A,PhpReserved!B:B,""))</f>
        <v>RESERVED</v>
      </c>
      <c r="M335" t="str">
        <f>IF(_xlfn.XLOOKUP(F335,PhpFunctions!A:A,PhpFunctions!B:B,"") =  "", _xlfn.XLOOKUP(G335,PhpFunctions!A:A,PhpFunctions!B:B,""), _xlfn.XLOOKUP(F335,PhpFunctions!A:A,PhpFunctions!B:B,""))</f>
        <v>FUNCTION</v>
      </c>
      <c r="N335" t="str">
        <f>IF(_xlfn.XLOOKUP(F335,PhpParamFunc!A:A,PhpParamFunc!B:B,"") = "", _xlfn.XLOOKUP(G335,PhpParamFunc!A:A,PhpParamFunc!B:B,""), _xlfn.XLOOKUP(F335,PhpParamFunc!A:A,PhpParamFunc!B:B,""))</f>
        <v>PARAM_FUNCTION</v>
      </c>
      <c r="O335" t="str">
        <f>IF(_xlfn.XLOOKUP(F335,PhpAggrFunc!A:A,PhpAggrFunc!B:B,"") = "", _xlfn.XLOOKUP(G335,PhpAggrFunc!A:A,PhpAggrFunc!B:B,""), _xlfn.XLOOKUP(F335,PhpAggrFunc!A:A,PhpAggrFunc!B:B,""))</f>
        <v/>
      </c>
      <c r="P335" t="str">
        <f t="shared" si="32"/>
        <v>PARAM_FUNCTION</v>
      </c>
      <c r="Q335" t="str">
        <f t="shared" si="33"/>
        <v>static const String^ TOK_PASSWORD = "PASSWORD";</v>
      </c>
      <c r="R335" t="str">
        <f t="shared" si="34"/>
        <v>static const int TOK_PASSWORD = 380;</v>
      </c>
      <c r="S335" t="str">
        <f t="shared" si="35"/>
        <v>_Tokens-&gt;Add((String^)GramVals::TOK_PASSWORD, gcnew Token(GramKeys::TOK_PASSWORD, EnumTokenCategory::PARAM_FUNCTION,BARE_LABEL, i++));</v>
      </c>
    </row>
    <row r="336" spans="1:19" x14ac:dyDescent="0.25">
      <c r="A336" s="3" t="s">
        <v>1700</v>
      </c>
      <c r="B336" s="5">
        <v>720</v>
      </c>
      <c r="C336" s="3" t="s">
        <v>2227</v>
      </c>
      <c r="D336" s="3" t="s">
        <v>2423</v>
      </c>
      <c r="F336" t="str">
        <f t="shared" si="30"/>
        <v>PERCENT_RANK</v>
      </c>
      <c r="G336" t="s">
        <v>3767</v>
      </c>
      <c r="I336" s="3" t="str">
        <f>IF(_xlfn.XLOOKUP(F336,PgSqlRaw!B:B,PgSqlRaw!E:E,"") = "",_xlfn.XLOOKUP(G336,PgSqlRaw!B:B,PgSqlRaw!E:E,""),_xlfn.XLOOKUP(F336,PgSqlRaw!B:B,PgSqlRaw!E:E,""))</f>
        <v/>
      </c>
      <c r="J336" t="str">
        <f>IF(_xlfn.XLOOKUP(F336,PgSqlRaw!B:B,PgSqlRaw!F:F,"") = "", _xlfn.XLOOKUP(G336,PgSqlRaw!B:B,PgSqlRaw!F:F,""), _xlfn.XLOOKUP(F336,PgSqlRaw!B:B,PgSqlRaw!F:F,""))</f>
        <v/>
      </c>
      <c r="K336" t="str">
        <f t="shared" si="31"/>
        <v>BARE_LABEL</v>
      </c>
      <c r="L336" t="str">
        <f>IF(_xlfn.XLOOKUP(F336,PhpReserved!A:A,PhpReserved!B:B,"") = "", _xlfn.XLOOKUP(G336,PhpReserved!A:A,PhpReserved!B:B,""),_xlfn.XLOOKUP(F336,PhpReserved!A:A,PhpReserved!B:B,""))</f>
        <v/>
      </c>
      <c r="M336" t="str">
        <f>IF(_xlfn.XLOOKUP(F336,PhpFunctions!A:A,PhpFunctions!B:B,"") =  "", _xlfn.XLOOKUP(G336,PhpFunctions!A:A,PhpFunctions!B:B,""), _xlfn.XLOOKUP(F336,PhpFunctions!A:A,PhpFunctions!B:B,""))</f>
        <v/>
      </c>
      <c r="N336" t="str">
        <f>IF(_xlfn.XLOOKUP(F336,PhpParamFunc!A:A,PhpParamFunc!B:B,"") = "", _xlfn.XLOOKUP(G336,PhpParamFunc!A:A,PhpParamFunc!B:B,""), _xlfn.XLOOKUP(F336,PhpParamFunc!A:A,PhpParamFunc!B:B,""))</f>
        <v/>
      </c>
      <c r="O336" t="str">
        <f>IF(_xlfn.XLOOKUP(F336,PhpAggrFunc!A:A,PhpAggrFunc!B:B,"") = "", _xlfn.XLOOKUP(G336,PhpAggrFunc!A:A,PhpAggrFunc!B:B,""), _xlfn.XLOOKUP(F336,PhpAggrFunc!A:A,PhpAggrFunc!B:B,""))</f>
        <v/>
      </c>
      <c r="P336" t="str">
        <f t="shared" si="32"/>
        <v>UNRESERVED</v>
      </c>
      <c r="Q336" t="str">
        <f t="shared" si="33"/>
        <v>static const String^ TOK_PERCENT_RANK = "PERCENT_RANK";</v>
      </c>
      <c r="R336" t="str">
        <f t="shared" si="34"/>
        <v>static const int TOK_PERCENT_RANK = 720;</v>
      </c>
      <c r="S336" t="str">
        <f t="shared" si="35"/>
        <v>// _Tokens-&gt;Add((String^)GramVals::TOK_PERCENT_RANK, gcnew Token(GramKeys::TOK_PERCENT_RANK, EnumTokenCategory::UNRESERVED,BARE_LABEL, i++));</v>
      </c>
    </row>
    <row r="337" spans="1:19" x14ac:dyDescent="0.25">
      <c r="A337" s="3" t="s">
        <v>1701</v>
      </c>
      <c r="B337" s="5" t="s">
        <v>1248</v>
      </c>
      <c r="C337" s="3" t="s">
        <v>2228</v>
      </c>
      <c r="D337" s="3" t="s">
        <v>2423</v>
      </c>
      <c r="F337" t="str">
        <f t="shared" si="30"/>
        <v>PI</v>
      </c>
      <c r="G337" t="s">
        <v>3013</v>
      </c>
      <c r="I337" s="3" t="str">
        <f>IF(_xlfn.XLOOKUP(F337,PgSqlRaw!B:B,PgSqlRaw!E:E,"") = "",_xlfn.XLOOKUP(G337,PgSqlRaw!B:B,PgSqlRaw!E:E,""),_xlfn.XLOOKUP(F337,PgSqlRaw!B:B,PgSqlRaw!E:E,""))</f>
        <v/>
      </c>
      <c r="J337" t="str">
        <f>IF(_xlfn.XLOOKUP(F337,PgSqlRaw!B:B,PgSqlRaw!F:F,"") = "", _xlfn.XLOOKUP(G337,PgSqlRaw!B:B,PgSqlRaw!F:F,""), _xlfn.XLOOKUP(F337,PgSqlRaw!B:B,PgSqlRaw!F:F,""))</f>
        <v/>
      </c>
      <c r="K337" t="str">
        <f t="shared" si="31"/>
        <v>BARE_LABEL</v>
      </c>
      <c r="L337" t="str">
        <f>IF(_xlfn.XLOOKUP(F337,PhpReserved!A:A,PhpReserved!B:B,"") = "", _xlfn.XLOOKUP(G337,PhpReserved!A:A,PhpReserved!B:B,""),_xlfn.XLOOKUP(F337,PhpReserved!A:A,PhpReserved!B:B,""))</f>
        <v>RESERVED</v>
      </c>
      <c r="M337" t="str">
        <f>IF(_xlfn.XLOOKUP(F337,PhpFunctions!A:A,PhpFunctions!B:B,"") =  "", _xlfn.XLOOKUP(G337,PhpFunctions!A:A,PhpFunctions!B:B,""), _xlfn.XLOOKUP(F337,PhpFunctions!A:A,PhpFunctions!B:B,""))</f>
        <v>FUNCTION</v>
      </c>
      <c r="N337" t="str">
        <f>IF(_xlfn.XLOOKUP(F337,PhpParamFunc!A:A,PhpParamFunc!B:B,"") = "", _xlfn.XLOOKUP(G337,PhpParamFunc!A:A,PhpParamFunc!B:B,""), _xlfn.XLOOKUP(F337,PhpParamFunc!A:A,PhpParamFunc!B:B,""))</f>
        <v>PARAM_FUNCTION</v>
      </c>
      <c r="O337" t="str">
        <f>IF(_xlfn.XLOOKUP(F337,PhpAggrFunc!A:A,PhpAggrFunc!B:B,"") = "", _xlfn.XLOOKUP(G337,PhpAggrFunc!A:A,PhpAggrFunc!B:B,""), _xlfn.XLOOKUP(F337,PhpAggrFunc!A:A,PhpAggrFunc!B:B,""))</f>
        <v/>
      </c>
      <c r="P337" t="str">
        <f t="shared" si="32"/>
        <v>PARAM_FUNCTION</v>
      </c>
      <c r="Q337" t="str">
        <f t="shared" si="33"/>
        <v>static const String^ TOK_PI = "PI";</v>
      </c>
      <c r="R337" t="str">
        <f t="shared" si="34"/>
        <v>static const int TOK_PI = 568;</v>
      </c>
      <c r="S337" t="str">
        <f t="shared" si="35"/>
        <v>_Tokens-&gt;Add((String^)GramVals::TOK_PI, gcnew Token(GramKeys::TOK_PI, EnumTokenCategory::PARAM_FUNCTION,BARE_LABEL, i++));</v>
      </c>
    </row>
    <row r="338" spans="1:19" x14ac:dyDescent="0.25">
      <c r="A338" s="3" t="s">
        <v>1702</v>
      </c>
      <c r="B338" s="5">
        <v>721</v>
      </c>
      <c r="C338" s="3" t="s">
        <v>2229</v>
      </c>
      <c r="D338" s="3" t="s">
        <v>2423</v>
      </c>
      <c r="F338" t="str">
        <f t="shared" si="30"/>
        <v>PKCS_1_5</v>
      </c>
      <c r="G338" t="s">
        <v>3768</v>
      </c>
      <c r="I338" s="3" t="str">
        <f>IF(_xlfn.XLOOKUP(F338,PgSqlRaw!B:B,PgSqlRaw!E:E,"") = "",_xlfn.XLOOKUP(G338,PgSqlRaw!B:B,PgSqlRaw!E:E,""),_xlfn.XLOOKUP(F338,PgSqlRaw!B:B,PgSqlRaw!E:E,""))</f>
        <v/>
      </c>
      <c r="J338" t="str">
        <f>IF(_xlfn.XLOOKUP(F338,PgSqlRaw!B:B,PgSqlRaw!F:F,"") = "", _xlfn.XLOOKUP(G338,PgSqlRaw!B:B,PgSqlRaw!F:F,""), _xlfn.XLOOKUP(F338,PgSqlRaw!B:B,PgSqlRaw!F:F,""))</f>
        <v/>
      </c>
      <c r="K338" t="str">
        <f t="shared" si="31"/>
        <v>BARE_LABEL</v>
      </c>
      <c r="L338" t="str">
        <f>IF(_xlfn.XLOOKUP(F338,PhpReserved!A:A,PhpReserved!B:B,"") = "", _xlfn.XLOOKUP(G338,PhpReserved!A:A,PhpReserved!B:B,""),_xlfn.XLOOKUP(F338,PhpReserved!A:A,PhpReserved!B:B,""))</f>
        <v/>
      </c>
      <c r="M338" t="str">
        <f>IF(_xlfn.XLOOKUP(F338,PhpFunctions!A:A,PhpFunctions!B:B,"") =  "", _xlfn.XLOOKUP(G338,PhpFunctions!A:A,PhpFunctions!B:B,""), _xlfn.XLOOKUP(F338,PhpFunctions!A:A,PhpFunctions!B:B,""))</f>
        <v/>
      </c>
      <c r="N338" t="str">
        <f>IF(_xlfn.XLOOKUP(F338,PhpParamFunc!A:A,PhpParamFunc!B:B,"") = "", _xlfn.XLOOKUP(G338,PhpParamFunc!A:A,PhpParamFunc!B:B,""), _xlfn.XLOOKUP(F338,PhpParamFunc!A:A,PhpParamFunc!B:B,""))</f>
        <v/>
      </c>
      <c r="O338" t="str">
        <f>IF(_xlfn.XLOOKUP(F338,PhpAggrFunc!A:A,PhpAggrFunc!B:B,"") = "", _xlfn.XLOOKUP(G338,PhpAggrFunc!A:A,PhpAggrFunc!B:B,""), _xlfn.XLOOKUP(F338,PhpAggrFunc!A:A,PhpAggrFunc!B:B,""))</f>
        <v/>
      </c>
      <c r="P338" t="str">
        <f t="shared" si="32"/>
        <v>UNRESERVED</v>
      </c>
      <c r="Q338" t="str">
        <f t="shared" si="33"/>
        <v>static const String^ TOK_PKCS_1_5 = "PKCS_1_5";</v>
      </c>
      <c r="R338" t="str">
        <f t="shared" si="34"/>
        <v>static const int TOK_PKCS_1_5 = 721;</v>
      </c>
      <c r="S338" t="str">
        <f t="shared" si="35"/>
        <v>// _Tokens-&gt;Add((String^)GramVals::TOK_PKCS_1_5, gcnew Token(GramKeys::TOK_PKCS_1_5, EnumTokenCategory::UNRESERVED,BARE_LABEL, i++));</v>
      </c>
    </row>
    <row r="339" spans="1:19" x14ac:dyDescent="0.25">
      <c r="A339" s="3" t="s">
        <v>1703</v>
      </c>
      <c r="B339" s="5" t="s">
        <v>1249</v>
      </c>
      <c r="C339" s="3" t="s">
        <v>2230</v>
      </c>
      <c r="D339" s="3" t="s">
        <v>2423</v>
      </c>
      <c r="F339" t="str">
        <f t="shared" si="30"/>
        <v>PLACING</v>
      </c>
      <c r="G339" t="s">
        <v>3500</v>
      </c>
      <c r="I339" s="3" t="str">
        <f>IF(_xlfn.XLOOKUP(F339,PgSqlRaw!B:B,PgSqlRaw!E:E,"") = "",_xlfn.XLOOKUP(G339,PgSqlRaw!B:B,PgSqlRaw!E:E,""),_xlfn.XLOOKUP(F339,PgSqlRaw!B:B,PgSqlRaw!E:E,""))</f>
        <v>RESERVED</v>
      </c>
      <c r="J339" t="str">
        <f>IF(_xlfn.XLOOKUP(F339,PgSqlRaw!B:B,PgSqlRaw!F:F,"") = "", _xlfn.XLOOKUP(G339,PgSqlRaw!B:B,PgSqlRaw!F:F,""), _xlfn.XLOOKUP(F339,PgSqlRaw!B:B,PgSqlRaw!F:F,""))</f>
        <v>BARE_LABEL</v>
      </c>
      <c r="K339" t="str">
        <f t="shared" si="31"/>
        <v>BARE_LABEL</v>
      </c>
      <c r="L339" t="str">
        <f>IF(_xlfn.XLOOKUP(F339,PhpReserved!A:A,PhpReserved!B:B,"") = "", _xlfn.XLOOKUP(G339,PhpReserved!A:A,PhpReserved!B:B,""),_xlfn.XLOOKUP(F339,PhpReserved!A:A,PhpReserved!B:B,""))</f>
        <v/>
      </c>
      <c r="M339" t="str">
        <f>IF(_xlfn.XLOOKUP(F339,PhpFunctions!A:A,PhpFunctions!B:B,"") =  "", _xlfn.XLOOKUP(G339,PhpFunctions!A:A,PhpFunctions!B:B,""), _xlfn.XLOOKUP(F339,PhpFunctions!A:A,PhpFunctions!B:B,""))</f>
        <v/>
      </c>
      <c r="N339" t="str">
        <f>IF(_xlfn.XLOOKUP(F339,PhpParamFunc!A:A,PhpParamFunc!B:B,"") = "", _xlfn.XLOOKUP(G339,PhpParamFunc!A:A,PhpParamFunc!B:B,""), _xlfn.XLOOKUP(F339,PhpParamFunc!A:A,PhpParamFunc!B:B,""))</f>
        <v/>
      </c>
      <c r="O339" t="str">
        <f>IF(_xlfn.XLOOKUP(F339,PhpAggrFunc!A:A,PhpAggrFunc!B:B,"") = "", _xlfn.XLOOKUP(G339,PhpAggrFunc!A:A,PhpAggrFunc!B:B,""), _xlfn.XLOOKUP(F339,PhpAggrFunc!A:A,PhpAggrFunc!B:B,""))</f>
        <v/>
      </c>
      <c r="P339" t="str">
        <f t="shared" si="32"/>
        <v>RESERVED</v>
      </c>
      <c r="Q339" t="str">
        <f t="shared" si="33"/>
        <v>static const String^ TOK_PLACING = "PLACING";</v>
      </c>
      <c r="R339" t="str">
        <f t="shared" si="34"/>
        <v>static const int TOK_PLACING = 569;</v>
      </c>
      <c r="S339" t="str">
        <f t="shared" si="35"/>
        <v>_Tokens-&gt;Add((String^)GramVals::TOK_PLACING, gcnew Token(GramKeys::TOK_PLACING, EnumTokenCategory::RESERVED,BARE_LABEL, i++));</v>
      </c>
    </row>
    <row r="340" spans="1:19" x14ac:dyDescent="0.25">
      <c r="A340" s="3" t="s">
        <v>1704</v>
      </c>
      <c r="B340" s="5" t="s">
        <v>1250</v>
      </c>
      <c r="C340" s="3" t="s">
        <v>2231</v>
      </c>
      <c r="D340" s="3" t="s">
        <v>881</v>
      </c>
      <c r="F340" t="str">
        <f t="shared" si="30"/>
        <v>PLAN</v>
      </c>
      <c r="G340" t="s">
        <v>3769</v>
      </c>
      <c r="I340" s="3" t="str">
        <f>IF(_xlfn.XLOOKUP(F340,PgSqlRaw!B:B,PgSqlRaw!E:E,"") = "",_xlfn.XLOOKUP(G340,PgSqlRaw!B:B,PgSqlRaw!E:E,""),_xlfn.XLOOKUP(F340,PgSqlRaw!B:B,PgSqlRaw!E:E,""))</f>
        <v/>
      </c>
      <c r="J340" t="str">
        <f>IF(_xlfn.XLOOKUP(F340,PgSqlRaw!B:B,PgSqlRaw!F:F,"") = "", _xlfn.XLOOKUP(G340,PgSqlRaw!B:B,PgSqlRaw!F:F,""), _xlfn.XLOOKUP(F340,PgSqlRaw!B:B,PgSqlRaw!F:F,""))</f>
        <v/>
      </c>
      <c r="K340" t="str">
        <f t="shared" si="31"/>
        <v>BARE_LABEL</v>
      </c>
      <c r="L340" t="str">
        <f>IF(_xlfn.XLOOKUP(F340,PhpReserved!A:A,PhpReserved!B:B,"") = "", _xlfn.XLOOKUP(G340,PhpReserved!A:A,PhpReserved!B:B,""),_xlfn.XLOOKUP(F340,PhpReserved!A:A,PhpReserved!B:B,""))</f>
        <v/>
      </c>
      <c r="M340" t="str">
        <f>IF(_xlfn.XLOOKUP(F340,PhpFunctions!A:A,PhpFunctions!B:B,"") =  "", _xlfn.XLOOKUP(G340,PhpFunctions!A:A,PhpFunctions!B:B,""), _xlfn.XLOOKUP(F340,PhpFunctions!A:A,PhpFunctions!B:B,""))</f>
        <v/>
      </c>
      <c r="N340" t="str">
        <f>IF(_xlfn.XLOOKUP(F340,PhpParamFunc!A:A,PhpParamFunc!B:B,"") = "", _xlfn.XLOOKUP(G340,PhpParamFunc!A:A,PhpParamFunc!B:B,""), _xlfn.XLOOKUP(F340,PhpParamFunc!A:A,PhpParamFunc!B:B,""))</f>
        <v/>
      </c>
      <c r="O340" t="str">
        <f>IF(_xlfn.XLOOKUP(F340,PhpAggrFunc!A:A,PhpAggrFunc!B:B,"") = "", _xlfn.XLOOKUP(G340,PhpAggrFunc!A:A,PhpAggrFunc!B:B,""), _xlfn.XLOOKUP(F340,PhpAggrFunc!A:A,PhpAggrFunc!B:B,""))</f>
        <v/>
      </c>
      <c r="P340" t="str">
        <f t="shared" si="32"/>
        <v>UNRESERVED</v>
      </c>
      <c r="Q340" t="str">
        <f t="shared" si="33"/>
        <v>static const String^ TOK_PLAN = "PLAN";</v>
      </c>
      <c r="R340" t="str">
        <f t="shared" si="34"/>
        <v>static const int TOK_PLAN = 381;</v>
      </c>
      <c r="S340" t="str">
        <f t="shared" si="35"/>
        <v>// _Tokens-&gt;Add((String^)GramVals::TOK_PLAN, gcnew Token(GramKeys::TOK_PLAN, EnumTokenCategory::UNRESERVED,BARE_LABEL, i++));</v>
      </c>
    </row>
    <row r="341" spans="1:19" x14ac:dyDescent="0.25">
      <c r="A341" s="3" t="s">
        <v>1705</v>
      </c>
      <c r="B341" s="5">
        <v>722</v>
      </c>
      <c r="C341" s="3" t="s">
        <v>2232</v>
      </c>
      <c r="D341" s="3" t="s">
        <v>2423</v>
      </c>
      <c r="F341" t="str">
        <f t="shared" si="30"/>
        <v>PLUGIN</v>
      </c>
      <c r="G341" t="s">
        <v>3770</v>
      </c>
      <c r="I341" s="3" t="str">
        <f>IF(_xlfn.XLOOKUP(F341,PgSqlRaw!B:B,PgSqlRaw!E:E,"") = "",_xlfn.XLOOKUP(G341,PgSqlRaw!B:B,PgSqlRaw!E:E,""),_xlfn.XLOOKUP(F341,PgSqlRaw!B:B,PgSqlRaw!E:E,""))</f>
        <v/>
      </c>
      <c r="J341" t="str">
        <f>IF(_xlfn.XLOOKUP(F341,PgSqlRaw!B:B,PgSqlRaw!F:F,"") = "", _xlfn.XLOOKUP(G341,PgSqlRaw!B:B,PgSqlRaw!F:F,""), _xlfn.XLOOKUP(F341,PgSqlRaw!B:B,PgSqlRaw!F:F,""))</f>
        <v/>
      </c>
      <c r="K341" t="str">
        <f t="shared" si="31"/>
        <v>BARE_LABEL</v>
      </c>
      <c r="L341" t="str">
        <f>IF(_xlfn.XLOOKUP(F341,PhpReserved!A:A,PhpReserved!B:B,"") = "", _xlfn.XLOOKUP(G341,PhpReserved!A:A,PhpReserved!B:B,""),_xlfn.XLOOKUP(F341,PhpReserved!A:A,PhpReserved!B:B,""))</f>
        <v/>
      </c>
      <c r="M341" t="str">
        <f>IF(_xlfn.XLOOKUP(F341,PhpFunctions!A:A,PhpFunctions!B:B,"") =  "", _xlfn.XLOOKUP(G341,PhpFunctions!A:A,PhpFunctions!B:B,""), _xlfn.XLOOKUP(F341,PhpFunctions!A:A,PhpFunctions!B:B,""))</f>
        <v/>
      </c>
      <c r="N341" t="str">
        <f>IF(_xlfn.XLOOKUP(F341,PhpParamFunc!A:A,PhpParamFunc!B:B,"") = "", _xlfn.XLOOKUP(G341,PhpParamFunc!A:A,PhpParamFunc!B:B,""), _xlfn.XLOOKUP(F341,PhpParamFunc!A:A,PhpParamFunc!B:B,""))</f>
        <v/>
      </c>
      <c r="O341" t="str">
        <f>IF(_xlfn.XLOOKUP(F341,PhpAggrFunc!A:A,PhpAggrFunc!B:B,"") = "", _xlfn.XLOOKUP(G341,PhpAggrFunc!A:A,PhpAggrFunc!B:B,""), _xlfn.XLOOKUP(F341,PhpAggrFunc!A:A,PhpAggrFunc!B:B,""))</f>
        <v/>
      </c>
      <c r="P341" t="str">
        <f t="shared" si="32"/>
        <v>UNRESERVED</v>
      </c>
      <c r="Q341" t="str">
        <f t="shared" si="33"/>
        <v>static const String^ TOK_PLUGIN = "PLUGIN";</v>
      </c>
      <c r="R341" t="str">
        <f t="shared" si="34"/>
        <v>static const int TOK_PLUGIN = 722;</v>
      </c>
      <c r="S341" t="str">
        <f t="shared" si="35"/>
        <v>// _Tokens-&gt;Add((String^)GramVals::TOK_PLUGIN, gcnew Token(GramKeys::TOK_PLUGIN, EnumTokenCategory::UNRESERVED,BARE_LABEL, i++));</v>
      </c>
    </row>
    <row r="342" spans="1:19" x14ac:dyDescent="0.25">
      <c r="A342" s="3" t="s">
        <v>1706</v>
      </c>
      <c r="B342" s="5">
        <v>723</v>
      </c>
      <c r="C342" s="3" t="s">
        <v>2233</v>
      </c>
      <c r="D342" s="3" t="s">
        <v>2423</v>
      </c>
      <c r="F342" t="str">
        <f t="shared" si="30"/>
        <v>POOL</v>
      </c>
      <c r="G342" t="s">
        <v>3771</v>
      </c>
      <c r="I342" s="3" t="str">
        <f>IF(_xlfn.XLOOKUP(F342,PgSqlRaw!B:B,PgSqlRaw!E:E,"") = "",_xlfn.XLOOKUP(G342,PgSqlRaw!B:B,PgSqlRaw!E:E,""),_xlfn.XLOOKUP(F342,PgSqlRaw!B:B,PgSqlRaw!E:E,""))</f>
        <v/>
      </c>
      <c r="J342" t="str">
        <f>IF(_xlfn.XLOOKUP(F342,PgSqlRaw!B:B,PgSqlRaw!F:F,"") = "", _xlfn.XLOOKUP(G342,PgSqlRaw!B:B,PgSqlRaw!F:F,""), _xlfn.XLOOKUP(F342,PgSqlRaw!B:B,PgSqlRaw!F:F,""))</f>
        <v/>
      </c>
      <c r="K342" t="str">
        <f t="shared" si="31"/>
        <v>BARE_LABEL</v>
      </c>
      <c r="L342" t="str">
        <f>IF(_xlfn.XLOOKUP(F342,PhpReserved!A:A,PhpReserved!B:B,"") = "", _xlfn.XLOOKUP(G342,PhpReserved!A:A,PhpReserved!B:B,""),_xlfn.XLOOKUP(F342,PhpReserved!A:A,PhpReserved!B:B,""))</f>
        <v/>
      </c>
      <c r="M342" t="str">
        <f>IF(_xlfn.XLOOKUP(F342,PhpFunctions!A:A,PhpFunctions!B:B,"") =  "", _xlfn.XLOOKUP(G342,PhpFunctions!A:A,PhpFunctions!B:B,""), _xlfn.XLOOKUP(F342,PhpFunctions!A:A,PhpFunctions!B:B,""))</f>
        <v/>
      </c>
      <c r="N342" t="str">
        <f>IF(_xlfn.XLOOKUP(F342,PhpParamFunc!A:A,PhpParamFunc!B:B,"") = "", _xlfn.XLOOKUP(G342,PhpParamFunc!A:A,PhpParamFunc!B:B,""), _xlfn.XLOOKUP(F342,PhpParamFunc!A:A,PhpParamFunc!B:B,""))</f>
        <v/>
      </c>
      <c r="O342" t="str">
        <f>IF(_xlfn.XLOOKUP(F342,PhpAggrFunc!A:A,PhpAggrFunc!B:B,"") = "", _xlfn.XLOOKUP(G342,PhpAggrFunc!A:A,PhpAggrFunc!B:B,""), _xlfn.XLOOKUP(F342,PhpAggrFunc!A:A,PhpAggrFunc!B:B,""))</f>
        <v/>
      </c>
      <c r="P342" t="str">
        <f t="shared" si="32"/>
        <v>UNRESERVED</v>
      </c>
      <c r="Q342" t="str">
        <f t="shared" si="33"/>
        <v>static const String^ TOK_POOL = "POOL";</v>
      </c>
      <c r="R342" t="str">
        <f t="shared" si="34"/>
        <v>static const int TOK_POOL = 723;</v>
      </c>
      <c r="S342" t="str">
        <f t="shared" si="35"/>
        <v>// _Tokens-&gt;Add((String^)GramVals::TOK_POOL, gcnew Token(GramKeys::TOK_POOL, EnumTokenCategory::UNRESERVED,BARE_LABEL, i++));</v>
      </c>
    </row>
    <row r="343" spans="1:19" x14ac:dyDescent="0.25">
      <c r="A343" s="3" t="s">
        <v>1707</v>
      </c>
      <c r="B343" s="5" t="s">
        <v>1251</v>
      </c>
      <c r="C343" s="3" t="s">
        <v>2234</v>
      </c>
      <c r="D343" s="3" t="s">
        <v>881</v>
      </c>
      <c r="F343" t="str">
        <f t="shared" si="30"/>
        <v>POSITION</v>
      </c>
      <c r="G343" t="s">
        <v>3014</v>
      </c>
      <c r="I343" s="3" t="str">
        <f>IF(_xlfn.XLOOKUP(F343,PgSqlRaw!B:B,PgSqlRaw!E:E,"") = "",_xlfn.XLOOKUP(G343,PgSqlRaw!B:B,PgSqlRaw!E:E,""),_xlfn.XLOOKUP(F343,PgSqlRaw!B:B,PgSqlRaw!E:E,""))</f>
        <v>COLNAME_KEYWORD</v>
      </c>
      <c r="J343" t="str">
        <f>IF(_xlfn.XLOOKUP(F343,PgSqlRaw!B:B,PgSqlRaw!F:F,"") = "", _xlfn.XLOOKUP(G343,PgSqlRaw!B:B,PgSqlRaw!F:F,""), _xlfn.XLOOKUP(F343,PgSqlRaw!B:B,PgSqlRaw!F:F,""))</f>
        <v>BARE_LABEL</v>
      </c>
      <c r="K343" t="str">
        <f t="shared" si="31"/>
        <v>BARE_LABEL</v>
      </c>
      <c r="L343" t="str">
        <f>IF(_xlfn.XLOOKUP(F343,PhpReserved!A:A,PhpReserved!B:B,"") = "", _xlfn.XLOOKUP(G343,PhpReserved!A:A,PhpReserved!B:B,""),_xlfn.XLOOKUP(F343,PhpReserved!A:A,PhpReserved!B:B,""))</f>
        <v>RESERVED</v>
      </c>
      <c r="M343" t="str">
        <f>IF(_xlfn.XLOOKUP(F343,PhpFunctions!A:A,PhpFunctions!B:B,"") =  "", _xlfn.XLOOKUP(G343,PhpFunctions!A:A,PhpFunctions!B:B,""), _xlfn.XLOOKUP(F343,PhpFunctions!A:A,PhpFunctions!B:B,""))</f>
        <v>FUNCTION</v>
      </c>
      <c r="N343" t="str">
        <f>IF(_xlfn.XLOOKUP(F343,PhpParamFunc!A:A,PhpParamFunc!B:B,"") = "", _xlfn.XLOOKUP(G343,PhpParamFunc!A:A,PhpParamFunc!B:B,""), _xlfn.XLOOKUP(F343,PhpParamFunc!A:A,PhpParamFunc!B:B,""))</f>
        <v>PARAM_FUNCTION</v>
      </c>
      <c r="O343" t="str">
        <f>IF(_xlfn.XLOOKUP(F343,PhpAggrFunc!A:A,PhpAggrFunc!B:B,"") = "", _xlfn.XLOOKUP(G343,PhpAggrFunc!A:A,PhpAggrFunc!B:B,""), _xlfn.XLOOKUP(F343,PhpAggrFunc!A:A,PhpAggrFunc!B:B,""))</f>
        <v/>
      </c>
      <c r="P343" t="str">
        <f t="shared" si="32"/>
        <v>PARAM_FUNCTION</v>
      </c>
      <c r="Q343" t="str">
        <f t="shared" si="33"/>
        <v>static const String^ TOK_POSITION = "POSITION";</v>
      </c>
      <c r="R343" t="str">
        <f t="shared" si="34"/>
        <v>static const int TOK_POSITION = 382;</v>
      </c>
      <c r="S343" t="str">
        <f t="shared" si="35"/>
        <v>_Tokens-&gt;Add((String^)GramVals::TOK_POSITION, gcnew Token(GramKeys::TOK_POSITION, EnumTokenCategory::PARAM_FUNCTION,BARE_LABEL, i++));</v>
      </c>
    </row>
    <row r="344" spans="1:19" x14ac:dyDescent="0.25">
      <c r="A344" s="3" t="s">
        <v>1708</v>
      </c>
      <c r="B344" s="5" t="s">
        <v>1252</v>
      </c>
      <c r="C344" s="3" t="s">
        <v>2235</v>
      </c>
      <c r="D344" s="3" t="s">
        <v>881</v>
      </c>
      <c r="F344" t="str">
        <f t="shared" si="30"/>
        <v>POST_EVENT</v>
      </c>
      <c r="G344" t="s">
        <v>3772</v>
      </c>
      <c r="I344" s="3" t="str">
        <f>IF(_xlfn.XLOOKUP(F344,PgSqlRaw!B:B,PgSqlRaw!E:E,"") = "",_xlfn.XLOOKUP(G344,PgSqlRaw!B:B,PgSqlRaw!E:E,""),_xlfn.XLOOKUP(F344,PgSqlRaw!B:B,PgSqlRaw!E:E,""))</f>
        <v/>
      </c>
      <c r="J344" t="str">
        <f>IF(_xlfn.XLOOKUP(F344,PgSqlRaw!B:B,PgSqlRaw!F:F,"") = "", _xlfn.XLOOKUP(G344,PgSqlRaw!B:B,PgSqlRaw!F:F,""), _xlfn.XLOOKUP(F344,PgSqlRaw!B:B,PgSqlRaw!F:F,""))</f>
        <v/>
      </c>
      <c r="K344" t="str">
        <f t="shared" si="31"/>
        <v>BARE_LABEL</v>
      </c>
      <c r="L344" t="str">
        <f>IF(_xlfn.XLOOKUP(F344,PhpReserved!A:A,PhpReserved!B:B,"") = "", _xlfn.XLOOKUP(G344,PhpReserved!A:A,PhpReserved!B:B,""),_xlfn.XLOOKUP(F344,PhpReserved!A:A,PhpReserved!B:B,""))</f>
        <v/>
      </c>
      <c r="M344" t="str">
        <f>IF(_xlfn.XLOOKUP(F344,PhpFunctions!A:A,PhpFunctions!B:B,"") =  "", _xlfn.XLOOKUP(G344,PhpFunctions!A:A,PhpFunctions!B:B,""), _xlfn.XLOOKUP(F344,PhpFunctions!A:A,PhpFunctions!B:B,""))</f>
        <v/>
      </c>
      <c r="N344" t="str">
        <f>IF(_xlfn.XLOOKUP(F344,PhpParamFunc!A:A,PhpParamFunc!B:B,"") = "", _xlfn.XLOOKUP(G344,PhpParamFunc!A:A,PhpParamFunc!B:B,""), _xlfn.XLOOKUP(F344,PhpParamFunc!A:A,PhpParamFunc!B:B,""))</f>
        <v/>
      </c>
      <c r="O344" t="str">
        <f>IF(_xlfn.XLOOKUP(F344,PhpAggrFunc!A:A,PhpAggrFunc!B:B,"") = "", _xlfn.XLOOKUP(G344,PhpAggrFunc!A:A,PhpAggrFunc!B:B,""), _xlfn.XLOOKUP(F344,PhpAggrFunc!A:A,PhpAggrFunc!B:B,""))</f>
        <v/>
      </c>
      <c r="P344" t="str">
        <f t="shared" si="32"/>
        <v>UNRESERVED</v>
      </c>
      <c r="Q344" t="str">
        <f t="shared" si="33"/>
        <v>static const String^ TOK_POST_EVENT = "POST_EVENT";</v>
      </c>
      <c r="R344" t="str">
        <f t="shared" si="34"/>
        <v>static const int TOK_POST_EVENT = 383;</v>
      </c>
      <c r="S344" t="str">
        <f t="shared" si="35"/>
        <v>// _Tokens-&gt;Add((String^)GramVals::TOK_POST_EVENT, gcnew Token(GramKeys::TOK_POST_EVENT, EnumTokenCategory::UNRESERVED,BARE_LABEL, i++));</v>
      </c>
    </row>
    <row r="345" spans="1:19" x14ac:dyDescent="0.25">
      <c r="A345" s="3" t="s">
        <v>1709</v>
      </c>
      <c r="B345" s="5" t="s">
        <v>1253</v>
      </c>
      <c r="C345" s="3" t="s">
        <v>2236</v>
      </c>
      <c r="D345" s="3" t="s">
        <v>2423</v>
      </c>
      <c r="F345" t="str">
        <f t="shared" si="30"/>
        <v>POWER</v>
      </c>
      <c r="G345" t="s">
        <v>3016</v>
      </c>
      <c r="I345" s="3" t="str">
        <f>IF(_xlfn.XLOOKUP(F345,PgSqlRaw!B:B,PgSqlRaw!E:E,"") = "",_xlfn.XLOOKUP(G345,PgSqlRaw!B:B,PgSqlRaw!E:E,""),_xlfn.XLOOKUP(F345,PgSqlRaw!B:B,PgSqlRaw!E:E,""))</f>
        <v/>
      </c>
      <c r="J345" t="str">
        <f>IF(_xlfn.XLOOKUP(F345,PgSqlRaw!B:B,PgSqlRaw!F:F,"") = "", _xlfn.XLOOKUP(G345,PgSqlRaw!B:B,PgSqlRaw!F:F,""), _xlfn.XLOOKUP(F345,PgSqlRaw!B:B,PgSqlRaw!F:F,""))</f>
        <v/>
      </c>
      <c r="K345" t="str">
        <f t="shared" si="31"/>
        <v>BARE_LABEL</v>
      </c>
      <c r="L345" t="str">
        <f>IF(_xlfn.XLOOKUP(F345,PhpReserved!A:A,PhpReserved!B:B,"") = "", _xlfn.XLOOKUP(G345,PhpReserved!A:A,PhpReserved!B:B,""),_xlfn.XLOOKUP(F345,PhpReserved!A:A,PhpReserved!B:B,""))</f>
        <v>RESERVED</v>
      </c>
      <c r="M345" t="str">
        <f>IF(_xlfn.XLOOKUP(F345,PhpFunctions!A:A,PhpFunctions!B:B,"") =  "", _xlfn.XLOOKUP(G345,PhpFunctions!A:A,PhpFunctions!B:B,""), _xlfn.XLOOKUP(F345,PhpFunctions!A:A,PhpFunctions!B:B,""))</f>
        <v>FUNCTION</v>
      </c>
      <c r="N345" t="str">
        <f>IF(_xlfn.XLOOKUP(F345,PhpParamFunc!A:A,PhpParamFunc!B:B,"") = "", _xlfn.XLOOKUP(G345,PhpParamFunc!A:A,PhpParamFunc!B:B,""), _xlfn.XLOOKUP(F345,PhpParamFunc!A:A,PhpParamFunc!B:B,""))</f>
        <v>PARAM_FUNCTION</v>
      </c>
      <c r="O345" t="str">
        <f>IF(_xlfn.XLOOKUP(F345,PhpAggrFunc!A:A,PhpAggrFunc!B:B,"") = "", _xlfn.XLOOKUP(G345,PhpAggrFunc!A:A,PhpAggrFunc!B:B,""), _xlfn.XLOOKUP(F345,PhpAggrFunc!A:A,PhpAggrFunc!B:B,""))</f>
        <v/>
      </c>
      <c r="P345" t="str">
        <f t="shared" si="32"/>
        <v>PARAM_FUNCTION</v>
      </c>
      <c r="Q345" t="str">
        <f t="shared" si="33"/>
        <v>static const String^ TOK_POWER = "POWER";</v>
      </c>
      <c r="R345" t="str">
        <f t="shared" si="34"/>
        <v>static const int TOK_POWER = 570;</v>
      </c>
      <c r="S345" t="str">
        <f t="shared" si="35"/>
        <v>_Tokens-&gt;Add((String^)GramVals::TOK_POWER, gcnew Token(GramKeys::TOK_POWER, EnumTokenCategory::PARAM_FUNCTION,BARE_LABEL, i++));</v>
      </c>
    </row>
    <row r="346" spans="1:19" x14ac:dyDescent="0.25">
      <c r="A346" s="3" t="s">
        <v>1710</v>
      </c>
      <c r="B346" s="5">
        <v>724</v>
      </c>
      <c r="C346" s="3" t="s">
        <v>2237</v>
      </c>
      <c r="D346" s="3" t="s">
        <v>2423</v>
      </c>
      <c r="F346" t="str">
        <f t="shared" si="30"/>
        <v>PRECEDING</v>
      </c>
      <c r="G346" t="s">
        <v>3503</v>
      </c>
      <c r="I346" s="3" t="str">
        <f>IF(_xlfn.XLOOKUP(F346,PgSqlRaw!B:B,PgSqlRaw!E:E,"") = "",_xlfn.XLOOKUP(G346,PgSqlRaw!B:B,PgSqlRaw!E:E,""),_xlfn.XLOOKUP(F346,PgSqlRaw!B:B,PgSqlRaw!E:E,""))</f>
        <v/>
      </c>
      <c r="J346" t="str">
        <f>IF(_xlfn.XLOOKUP(F346,PgSqlRaw!B:B,PgSqlRaw!F:F,"") = "", _xlfn.XLOOKUP(G346,PgSqlRaw!B:B,PgSqlRaw!F:F,""), _xlfn.XLOOKUP(F346,PgSqlRaw!B:B,PgSqlRaw!F:F,""))</f>
        <v>BARE_LABEL</v>
      </c>
      <c r="K346" t="str">
        <f t="shared" si="31"/>
        <v>BARE_LABEL</v>
      </c>
      <c r="L346" t="str">
        <f>IF(_xlfn.XLOOKUP(F346,PhpReserved!A:A,PhpReserved!B:B,"") = "", _xlfn.XLOOKUP(G346,PhpReserved!A:A,PhpReserved!B:B,""),_xlfn.XLOOKUP(F346,PhpReserved!A:A,PhpReserved!B:B,""))</f>
        <v/>
      </c>
      <c r="M346" t="str">
        <f>IF(_xlfn.XLOOKUP(F346,PhpFunctions!A:A,PhpFunctions!B:B,"") =  "", _xlfn.XLOOKUP(G346,PhpFunctions!A:A,PhpFunctions!B:B,""), _xlfn.XLOOKUP(F346,PhpFunctions!A:A,PhpFunctions!B:B,""))</f>
        <v/>
      </c>
      <c r="N346" t="str">
        <f>IF(_xlfn.XLOOKUP(F346,PhpParamFunc!A:A,PhpParamFunc!B:B,"") = "", _xlfn.XLOOKUP(G346,PhpParamFunc!A:A,PhpParamFunc!B:B,""), _xlfn.XLOOKUP(F346,PhpParamFunc!A:A,PhpParamFunc!B:B,""))</f>
        <v/>
      </c>
      <c r="O346" t="str">
        <f>IF(_xlfn.XLOOKUP(F346,PhpAggrFunc!A:A,PhpAggrFunc!B:B,"") = "", _xlfn.XLOOKUP(G346,PhpAggrFunc!A:A,PhpAggrFunc!B:B,""), _xlfn.XLOOKUP(F346,PhpAggrFunc!A:A,PhpAggrFunc!B:B,""))</f>
        <v/>
      </c>
      <c r="P346" t="str">
        <f t="shared" si="32"/>
        <v>UNRESERVED</v>
      </c>
      <c r="Q346" t="str">
        <f t="shared" si="33"/>
        <v>static const String^ TOK_PRECEDING = "PRECEDING";</v>
      </c>
      <c r="R346" t="str">
        <f t="shared" si="34"/>
        <v>static const int TOK_PRECEDING = 724;</v>
      </c>
      <c r="S346" t="str">
        <f t="shared" si="35"/>
        <v>// _Tokens-&gt;Add((String^)GramVals::TOK_PRECEDING, gcnew Token(GramKeys::TOK_PRECEDING, EnumTokenCategory::UNRESERVED,BARE_LABEL, i++));</v>
      </c>
    </row>
    <row r="347" spans="1:19" x14ac:dyDescent="0.25">
      <c r="A347" s="3" t="s">
        <v>1711</v>
      </c>
      <c r="B347" s="5" t="s">
        <v>1254</v>
      </c>
      <c r="C347" s="3" t="s">
        <v>2238</v>
      </c>
      <c r="D347" s="3" t="s">
        <v>881</v>
      </c>
      <c r="F347" t="str">
        <f t="shared" si="30"/>
        <v>PRECISION</v>
      </c>
      <c r="G347" t="s">
        <v>3212</v>
      </c>
      <c r="I347" s="3" t="str">
        <f>IF(_xlfn.XLOOKUP(F347,PgSqlRaw!B:B,PgSqlRaw!E:E,"") = "",_xlfn.XLOOKUP(G347,PgSqlRaw!B:B,PgSqlRaw!E:E,""),_xlfn.XLOOKUP(F347,PgSqlRaw!B:B,PgSqlRaw!E:E,""))</f>
        <v>COLNAME_KEYWORD</v>
      </c>
      <c r="J347" t="str">
        <f>IF(_xlfn.XLOOKUP(F347,PgSqlRaw!B:B,PgSqlRaw!F:F,"") = "", _xlfn.XLOOKUP(G347,PgSqlRaw!B:B,PgSqlRaw!F:F,""), _xlfn.XLOOKUP(F347,PgSqlRaw!B:B,PgSqlRaw!F:F,""))</f>
        <v>AS_LABEL</v>
      </c>
      <c r="K347" t="str">
        <f t="shared" si="31"/>
        <v>AS_LABEL</v>
      </c>
      <c r="L347" t="str">
        <f>IF(_xlfn.XLOOKUP(F347,PhpReserved!A:A,PhpReserved!B:B,"") = "", _xlfn.XLOOKUP(G347,PhpReserved!A:A,PhpReserved!B:B,""),_xlfn.XLOOKUP(F347,PhpReserved!A:A,PhpReserved!B:B,""))</f>
        <v>RESERVED</v>
      </c>
      <c r="M347" t="str">
        <f>IF(_xlfn.XLOOKUP(F347,PhpFunctions!A:A,PhpFunctions!B:B,"") =  "", _xlfn.XLOOKUP(G347,PhpFunctions!A:A,PhpFunctions!B:B,""), _xlfn.XLOOKUP(F347,PhpFunctions!A:A,PhpFunctions!B:B,""))</f>
        <v/>
      </c>
      <c r="N347" t="str">
        <f>IF(_xlfn.XLOOKUP(F347,PhpParamFunc!A:A,PhpParamFunc!B:B,"") = "", _xlfn.XLOOKUP(G347,PhpParamFunc!A:A,PhpParamFunc!B:B,""), _xlfn.XLOOKUP(F347,PhpParamFunc!A:A,PhpParamFunc!B:B,""))</f>
        <v/>
      </c>
      <c r="O347" t="str">
        <f>IF(_xlfn.XLOOKUP(F347,PhpAggrFunc!A:A,PhpAggrFunc!B:B,"") = "", _xlfn.XLOOKUP(G347,PhpAggrFunc!A:A,PhpAggrFunc!B:B,""), _xlfn.XLOOKUP(F347,PhpAggrFunc!A:A,PhpAggrFunc!B:B,""))</f>
        <v/>
      </c>
      <c r="P347" t="str">
        <f t="shared" si="32"/>
        <v>RESERVED</v>
      </c>
      <c r="Q347" t="str">
        <f t="shared" si="33"/>
        <v>static const String^ TOK_PRECISION = "PRECISION";</v>
      </c>
      <c r="R347" t="str">
        <f t="shared" si="34"/>
        <v>static const int TOK_PRECISION = 384;</v>
      </c>
      <c r="S347" t="str">
        <f t="shared" si="35"/>
        <v>_Tokens-&gt;Add((String^)GramVals::TOK_PRECISION, gcnew Token(GramKeys::TOK_PRECISION, EnumTokenCategory::RESERVED,AS_LABEL, i++));</v>
      </c>
    </row>
    <row r="348" spans="1:19" x14ac:dyDescent="0.25">
      <c r="A348" s="3" t="s">
        <v>1712</v>
      </c>
      <c r="B348" s="5" t="s">
        <v>1255</v>
      </c>
      <c r="C348" s="3" t="s">
        <v>2239</v>
      </c>
      <c r="D348" s="3" t="s">
        <v>2423</v>
      </c>
      <c r="F348" t="str">
        <f t="shared" si="30"/>
        <v>PRESERVE</v>
      </c>
      <c r="G348" t="s">
        <v>3506</v>
      </c>
      <c r="I348" s="3" t="str">
        <f>IF(_xlfn.XLOOKUP(F348,PgSqlRaw!B:B,PgSqlRaw!E:E,"") = "",_xlfn.XLOOKUP(G348,PgSqlRaw!B:B,PgSqlRaw!E:E,""),_xlfn.XLOOKUP(F348,PgSqlRaw!B:B,PgSqlRaw!E:E,""))</f>
        <v/>
      </c>
      <c r="J348" t="str">
        <f>IF(_xlfn.XLOOKUP(F348,PgSqlRaw!B:B,PgSqlRaw!F:F,"") = "", _xlfn.XLOOKUP(G348,PgSqlRaw!B:B,PgSqlRaw!F:F,""), _xlfn.XLOOKUP(F348,PgSqlRaw!B:B,PgSqlRaw!F:F,""))</f>
        <v>BARE_LABEL</v>
      </c>
      <c r="K348" t="str">
        <f t="shared" si="31"/>
        <v>BARE_LABEL</v>
      </c>
      <c r="L348" t="str">
        <f>IF(_xlfn.XLOOKUP(F348,PhpReserved!A:A,PhpReserved!B:B,"") = "", _xlfn.XLOOKUP(G348,PhpReserved!A:A,PhpReserved!B:B,""),_xlfn.XLOOKUP(F348,PhpReserved!A:A,PhpReserved!B:B,""))</f>
        <v/>
      </c>
      <c r="M348" t="str">
        <f>IF(_xlfn.XLOOKUP(F348,PhpFunctions!A:A,PhpFunctions!B:B,"") =  "", _xlfn.XLOOKUP(G348,PhpFunctions!A:A,PhpFunctions!B:B,""), _xlfn.XLOOKUP(F348,PhpFunctions!A:A,PhpFunctions!B:B,""))</f>
        <v/>
      </c>
      <c r="N348" t="str">
        <f>IF(_xlfn.XLOOKUP(F348,PhpParamFunc!A:A,PhpParamFunc!B:B,"") = "", _xlfn.XLOOKUP(G348,PhpParamFunc!A:A,PhpParamFunc!B:B,""), _xlfn.XLOOKUP(F348,PhpParamFunc!A:A,PhpParamFunc!B:B,""))</f>
        <v/>
      </c>
      <c r="O348" t="str">
        <f>IF(_xlfn.XLOOKUP(F348,PhpAggrFunc!A:A,PhpAggrFunc!B:B,"") = "", _xlfn.XLOOKUP(G348,PhpAggrFunc!A:A,PhpAggrFunc!B:B,""), _xlfn.XLOOKUP(F348,PhpAggrFunc!A:A,PhpAggrFunc!B:B,""))</f>
        <v/>
      </c>
      <c r="P348" t="str">
        <f t="shared" si="32"/>
        <v>UNRESERVED</v>
      </c>
      <c r="Q348" t="str">
        <f t="shared" si="33"/>
        <v>static const String^ TOK_PRESERVE = "PRESERVE";</v>
      </c>
      <c r="R348" t="str">
        <f t="shared" si="34"/>
        <v>static const int TOK_PRESERVE = 571;</v>
      </c>
      <c r="S348" t="str">
        <f t="shared" si="35"/>
        <v>// _Tokens-&gt;Add((String^)GramVals::TOK_PRESERVE, gcnew Token(GramKeys::TOK_PRESERVE, EnumTokenCategory::UNRESERVED,BARE_LABEL, i++));</v>
      </c>
    </row>
    <row r="349" spans="1:19" x14ac:dyDescent="0.25">
      <c r="A349" s="3" t="s">
        <v>1713</v>
      </c>
      <c r="B349" s="5" t="s">
        <v>1256</v>
      </c>
      <c r="C349" s="3" t="s">
        <v>2240</v>
      </c>
      <c r="D349" s="3" t="s">
        <v>881</v>
      </c>
      <c r="F349" t="str">
        <f t="shared" si="30"/>
        <v>PRIMARY</v>
      </c>
      <c r="G349" t="s">
        <v>3213</v>
      </c>
      <c r="I349" s="3" t="str">
        <f>IF(_xlfn.XLOOKUP(F349,PgSqlRaw!B:B,PgSqlRaw!E:E,"") = "",_xlfn.XLOOKUP(G349,PgSqlRaw!B:B,PgSqlRaw!E:E,""),_xlfn.XLOOKUP(F349,PgSqlRaw!B:B,PgSqlRaw!E:E,""))</f>
        <v>RESERVED</v>
      </c>
      <c r="J349" t="str">
        <f>IF(_xlfn.XLOOKUP(F349,PgSqlRaw!B:B,PgSqlRaw!F:F,"") = "", _xlfn.XLOOKUP(G349,PgSqlRaw!B:B,PgSqlRaw!F:F,""), _xlfn.XLOOKUP(F349,PgSqlRaw!B:B,PgSqlRaw!F:F,""))</f>
        <v>BARE_LABEL</v>
      </c>
      <c r="K349" t="str">
        <f t="shared" si="31"/>
        <v>BARE_LABEL</v>
      </c>
      <c r="L349" t="str">
        <f>IF(_xlfn.XLOOKUP(F349,PhpReserved!A:A,PhpReserved!B:B,"") = "", _xlfn.XLOOKUP(G349,PhpReserved!A:A,PhpReserved!B:B,""),_xlfn.XLOOKUP(F349,PhpReserved!A:A,PhpReserved!B:B,""))</f>
        <v>RESERVED</v>
      </c>
      <c r="M349" t="str">
        <f>IF(_xlfn.XLOOKUP(F349,PhpFunctions!A:A,PhpFunctions!B:B,"") =  "", _xlfn.XLOOKUP(G349,PhpFunctions!A:A,PhpFunctions!B:B,""), _xlfn.XLOOKUP(F349,PhpFunctions!A:A,PhpFunctions!B:B,""))</f>
        <v/>
      </c>
      <c r="N349" t="str">
        <f>IF(_xlfn.XLOOKUP(F349,PhpParamFunc!A:A,PhpParamFunc!B:B,"") = "", _xlfn.XLOOKUP(G349,PhpParamFunc!A:A,PhpParamFunc!B:B,""), _xlfn.XLOOKUP(F349,PhpParamFunc!A:A,PhpParamFunc!B:B,""))</f>
        <v/>
      </c>
      <c r="O349" t="str">
        <f>IF(_xlfn.XLOOKUP(F349,PhpAggrFunc!A:A,PhpAggrFunc!B:B,"") = "", _xlfn.XLOOKUP(G349,PhpAggrFunc!A:A,PhpAggrFunc!B:B,""), _xlfn.XLOOKUP(F349,PhpAggrFunc!A:A,PhpAggrFunc!B:B,""))</f>
        <v/>
      </c>
      <c r="P349" t="str">
        <f t="shared" si="32"/>
        <v>RESERVED</v>
      </c>
      <c r="Q349" t="str">
        <f t="shared" si="33"/>
        <v>static const String^ TOK_PRIMARY = "PRIMARY";</v>
      </c>
      <c r="R349" t="str">
        <f t="shared" si="34"/>
        <v>static const int TOK_PRIMARY = 385;</v>
      </c>
      <c r="S349" t="str">
        <f t="shared" si="35"/>
        <v>_Tokens-&gt;Add((String^)GramVals::TOK_PRIMARY, gcnew Token(GramKeys::TOK_PRIMARY, EnumTokenCategory::RESERVED,BARE_LABEL, i++));</v>
      </c>
    </row>
    <row r="350" spans="1:19" x14ac:dyDescent="0.25">
      <c r="A350" s="3" t="s">
        <v>1714</v>
      </c>
      <c r="B350" s="5" t="s">
        <v>1257</v>
      </c>
      <c r="C350" s="3" t="s">
        <v>2241</v>
      </c>
      <c r="D350" s="3" t="s">
        <v>2423</v>
      </c>
      <c r="F350" t="str">
        <f t="shared" si="30"/>
        <v>PRIOR</v>
      </c>
      <c r="G350" t="s">
        <v>3507</v>
      </c>
      <c r="I350" s="3" t="str">
        <f>IF(_xlfn.XLOOKUP(F350,PgSqlRaw!B:B,PgSqlRaw!E:E,"") = "",_xlfn.XLOOKUP(G350,PgSqlRaw!B:B,PgSqlRaw!E:E,""),_xlfn.XLOOKUP(F350,PgSqlRaw!B:B,PgSqlRaw!E:E,""))</f>
        <v/>
      </c>
      <c r="J350" t="str">
        <f>IF(_xlfn.XLOOKUP(F350,PgSqlRaw!B:B,PgSqlRaw!F:F,"") = "", _xlfn.XLOOKUP(G350,PgSqlRaw!B:B,PgSqlRaw!F:F,""), _xlfn.XLOOKUP(F350,PgSqlRaw!B:B,PgSqlRaw!F:F,""))</f>
        <v>BARE_LABEL</v>
      </c>
      <c r="K350" t="str">
        <f t="shared" si="31"/>
        <v>BARE_LABEL</v>
      </c>
      <c r="L350" t="str">
        <f>IF(_xlfn.XLOOKUP(F350,PhpReserved!A:A,PhpReserved!B:B,"") = "", _xlfn.XLOOKUP(G350,PhpReserved!A:A,PhpReserved!B:B,""),_xlfn.XLOOKUP(F350,PhpReserved!A:A,PhpReserved!B:B,""))</f>
        <v/>
      </c>
      <c r="M350" t="str">
        <f>IF(_xlfn.XLOOKUP(F350,PhpFunctions!A:A,PhpFunctions!B:B,"") =  "", _xlfn.XLOOKUP(G350,PhpFunctions!A:A,PhpFunctions!B:B,""), _xlfn.XLOOKUP(F350,PhpFunctions!A:A,PhpFunctions!B:B,""))</f>
        <v/>
      </c>
      <c r="N350" t="str">
        <f>IF(_xlfn.XLOOKUP(F350,PhpParamFunc!A:A,PhpParamFunc!B:B,"") = "", _xlfn.XLOOKUP(G350,PhpParamFunc!A:A,PhpParamFunc!B:B,""), _xlfn.XLOOKUP(F350,PhpParamFunc!A:A,PhpParamFunc!B:B,""))</f>
        <v/>
      </c>
      <c r="O350" t="str">
        <f>IF(_xlfn.XLOOKUP(F350,PhpAggrFunc!A:A,PhpAggrFunc!B:B,"") = "", _xlfn.XLOOKUP(G350,PhpAggrFunc!A:A,PhpAggrFunc!B:B,""), _xlfn.XLOOKUP(F350,PhpAggrFunc!A:A,PhpAggrFunc!B:B,""))</f>
        <v/>
      </c>
      <c r="P350" t="str">
        <f t="shared" si="32"/>
        <v>UNRESERVED</v>
      </c>
      <c r="Q350" t="str">
        <f t="shared" si="33"/>
        <v>static const String^ TOK_PRIOR = "PRIOR";</v>
      </c>
      <c r="R350" t="str">
        <f t="shared" si="34"/>
        <v>static const int TOK_PRIOR = 620;</v>
      </c>
      <c r="S350" t="str">
        <f t="shared" si="35"/>
        <v>// _Tokens-&gt;Add((String^)GramVals::TOK_PRIOR, gcnew Token(GramKeys::TOK_PRIOR, EnumTokenCategory::UNRESERVED,BARE_LABEL, i++));</v>
      </c>
    </row>
    <row r="351" spans="1:19" x14ac:dyDescent="0.25">
      <c r="A351" s="3" t="s">
        <v>1715</v>
      </c>
      <c r="B351" s="5">
        <v>725</v>
      </c>
      <c r="C351" s="3" t="s">
        <v>2242</v>
      </c>
      <c r="D351" s="3" t="s">
        <v>2423</v>
      </c>
      <c r="F351" t="str">
        <f t="shared" si="30"/>
        <v>PRIVILEGE</v>
      </c>
      <c r="G351" t="s">
        <v>3773</v>
      </c>
      <c r="I351" s="3" t="str">
        <f>IF(_xlfn.XLOOKUP(F351,PgSqlRaw!B:B,PgSqlRaw!E:E,"") = "",_xlfn.XLOOKUP(G351,PgSqlRaw!B:B,PgSqlRaw!E:E,""),_xlfn.XLOOKUP(F351,PgSqlRaw!B:B,PgSqlRaw!E:E,""))</f>
        <v/>
      </c>
      <c r="J351" t="str">
        <f>IF(_xlfn.XLOOKUP(F351,PgSqlRaw!B:B,PgSqlRaw!F:F,"") = "", _xlfn.XLOOKUP(G351,PgSqlRaw!B:B,PgSqlRaw!F:F,""), _xlfn.XLOOKUP(F351,PgSqlRaw!B:B,PgSqlRaw!F:F,""))</f>
        <v/>
      </c>
      <c r="K351" t="str">
        <f t="shared" si="31"/>
        <v>BARE_LABEL</v>
      </c>
      <c r="L351" t="str">
        <f>IF(_xlfn.XLOOKUP(F351,PhpReserved!A:A,PhpReserved!B:B,"") = "", _xlfn.XLOOKUP(G351,PhpReserved!A:A,PhpReserved!B:B,""),_xlfn.XLOOKUP(F351,PhpReserved!A:A,PhpReserved!B:B,""))</f>
        <v/>
      </c>
      <c r="M351" t="str">
        <f>IF(_xlfn.XLOOKUP(F351,PhpFunctions!A:A,PhpFunctions!B:B,"") =  "", _xlfn.XLOOKUP(G351,PhpFunctions!A:A,PhpFunctions!B:B,""), _xlfn.XLOOKUP(F351,PhpFunctions!A:A,PhpFunctions!B:B,""))</f>
        <v/>
      </c>
      <c r="N351" t="str">
        <f>IF(_xlfn.XLOOKUP(F351,PhpParamFunc!A:A,PhpParamFunc!B:B,"") = "", _xlfn.XLOOKUP(G351,PhpParamFunc!A:A,PhpParamFunc!B:B,""), _xlfn.XLOOKUP(F351,PhpParamFunc!A:A,PhpParamFunc!B:B,""))</f>
        <v/>
      </c>
      <c r="O351" t="str">
        <f>IF(_xlfn.XLOOKUP(F351,PhpAggrFunc!A:A,PhpAggrFunc!B:B,"") = "", _xlfn.XLOOKUP(G351,PhpAggrFunc!A:A,PhpAggrFunc!B:B,""), _xlfn.XLOOKUP(F351,PhpAggrFunc!A:A,PhpAggrFunc!B:B,""))</f>
        <v/>
      </c>
      <c r="P351" t="str">
        <f t="shared" si="32"/>
        <v>UNRESERVED</v>
      </c>
      <c r="Q351" t="str">
        <f t="shared" si="33"/>
        <v>static const String^ TOK_PRIVILEGE = "PRIVILEGE";</v>
      </c>
      <c r="R351" t="str">
        <f t="shared" si="34"/>
        <v>static const int TOK_PRIVILEGE = 725;</v>
      </c>
      <c r="S351" t="str">
        <f t="shared" si="35"/>
        <v>// _Tokens-&gt;Add((String^)GramVals::TOK_PRIVILEGE, gcnew Token(GramKeys::TOK_PRIVILEGE, EnumTokenCategory::UNRESERVED,BARE_LABEL, i++));</v>
      </c>
    </row>
    <row r="352" spans="1:19" x14ac:dyDescent="0.25">
      <c r="A352" s="3" t="s">
        <v>1716</v>
      </c>
      <c r="B352" s="5" t="s">
        <v>1258</v>
      </c>
      <c r="C352" s="3" t="s">
        <v>2243</v>
      </c>
      <c r="D352" s="3" t="s">
        <v>2423</v>
      </c>
      <c r="F352" t="str">
        <f t="shared" si="30"/>
        <v>PRIVILEGES</v>
      </c>
      <c r="G352" t="s">
        <v>3214</v>
      </c>
      <c r="I352" s="3" t="str">
        <f>IF(_xlfn.XLOOKUP(F352,PgSqlRaw!B:B,PgSqlRaw!E:E,"") = "",_xlfn.XLOOKUP(G352,PgSqlRaw!B:B,PgSqlRaw!E:E,""),_xlfn.XLOOKUP(F352,PgSqlRaw!B:B,PgSqlRaw!E:E,""))</f>
        <v/>
      </c>
      <c r="J352" t="str">
        <f>IF(_xlfn.XLOOKUP(F352,PgSqlRaw!B:B,PgSqlRaw!F:F,"") = "", _xlfn.XLOOKUP(G352,PgSqlRaw!B:B,PgSqlRaw!F:F,""), _xlfn.XLOOKUP(F352,PgSqlRaw!B:B,PgSqlRaw!F:F,""))</f>
        <v>BARE_LABEL</v>
      </c>
      <c r="K352" t="str">
        <f t="shared" si="31"/>
        <v>BARE_LABEL</v>
      </c>
      <c r="L352" t="str">
        <f>IF(_xlfn.XLOOKUP(F352,PhpReserved!A:A,PhpReserved!B:B,"") = "", _xlfn.XLOOKUP(G352,PhpReserved!A:A,PhpReserved!B:B,""),_xlfn.XLOOKUP(F352,PhpReserved!A:A,PhpReserved!B:B,""))</f>
        <v>RESERVED</v>
      </c>
      <c r="M352" t="str">
        <f>IF(_xlfn.XLOOKUP(F352,PhpFunctions!A:A,PhpFunctions!B:B,"") =  "", _xlfn.XLOOKUP(G352,PhpFunctions!A:A,PhpFunctions!B:B,""), _xlfn.XLOOKUP(F352,PhpFunctions!A:A,PhpFunctions!B:B,""))</f>
        <v/>
      </c>
      <c r="N352" t="str">
        <f>IF(_xlfn.XLOOKUP(F352,PhpParamFunc!A:A,PhpParamFunc!B:B,"") = "", _xlfn.XLOOKUP(G352,PhpParamFunc!A:A,PhpParamFunc!B:B,""), _xlfn.XLOOKUP(F352,PhpParamFunc!A:A,PhpParamFunc!B:B,""))</f>
        <v/>
      </c>
      <c r="O352" t="str">
        <f>IF(_xlfn.XLOOKUP(F352,PhpAggrFunc!A:A,PhpAggrFunc!B:B,"") = "", _xlfn.XLOOKUP(G352,PhpAggrFunc!A:A,PhpAggrFunc!B:B,""), _xlfn.XLOOKUP(F352,PhpAggrFunc!A:A,PhpAggrFunc!B:B,""))</f>
        <v/>
      </c>
      <c r="P352" t="str">
        <f t="shared" si="32"/>
        <v>RESERVED</v>
      </c>
      <c r="Q352" t="str">
        <f t="shared" si="33"/>
        <v>static const String^ TOK_PRIVILEGES = "PRIVILEGES";</v>
      </c>
      <c r="R352" t="str">
        <f t="shared" si="34"/>
        <v>static const int TOK_PRIVILEGES = 386;</v>
      </c>
      <c r="S352" t="str">
        <f t="shared" si="35"/>
        <v>_Tokens-&gt;Add((String^)GramVals::TOK_PRIVILEGES, gcnew Token(GramKeys::TOK_PRIVILEGES, EnumTokenCategory::RESERVED,BARE_LABEL, i++));</v>
      </c>
    </row>
    <row r="353" spans="1:19" x14ac:dyDescent="0.25">
      <c r="A353" s="3" t="s">
        <v>1717</v>
      </c>
      <c r="B353" s="5" t="s">
        <v>1259</v>
      </c>
      <c r="C353" s="3" t="s">
        <v>2244</v>
      </c>
      <c r="D353" s="3" t="s">
        <v>881</v>
      </c>
      <c r="F353" t="str">
        <f t="shared" si="30"/>
        <v>PROCEDURE</v>
      </c>
      <c r="G353" t="s">
        <v>3215</v>
      </c>
      <c r="I353" s="3" t="str">
        <f>IF(_xlfn.XLOOKUP(F353,PgSqlRaw!B:B,PgSqlRaw!E:E,"") = "",_xlfn.XLOOKUP(G353,PgSqlRaw!B:B,PgSqlRaw!E:E,""),_xlfn.XLOOKUP(F353,PgSqlRaw!B:B,PgSqlRaw!E:E,""))</f>
        <v/>
      </c>
      <c r="J353" t="str">
        <f>IF(_xlfn.XLOOKUP(F353,PgSqlRaw!B:B,PgSqlRaw!F:F,"") = "", _xlfn.XLOOKUP(G353,PgSqlRaw!B:B,PgSqlRaw!F:F,""), _xlfn.XLOOKUP(F353,PgSqlRaw!B:B,PgSqlRaw!F:F,""))</f>
        <v>BARE_LABEL</v>
      </c>
      <c r="K353" t="str">
        <f t="shared" si="31"/>
        <v>BARE_LABEL</v>
      </c>
      <c r="L353" t="str">
        <f>IF(_xlfn.XLOOKUP(F353,PhpReserved!A:A,PhpReserved!B:B,"") = "", _xlfn.XLOOKUP(G353,PhpReserved!A:A,PhpReserved!B:B,""),_xlfn.XLOOKUP(F353,PhpReserved!A:A,PhpReserved!B:B,""))</f>
        <v>RESERVED</v>
      </c>
      <c r="M353" t="str">
        <f>IF(_xlfn.XLOOKUP(F353,PhpFunctions!A:A,PhpFunctions!B:B,"") =  "", _xlfn.XLOOKUP(G353,PhpFunctions!A:A,PhpFunctions!B:B,""), _xlfn.XLOOKUP(F353,PhpFunctions!A:A,PhpFunctions!B:B,""))</f>
        <v/>
      </c>
      <c r="N353" t="str">
        <f>IF(_xlfn.XLOOKUP(F353,PhpParamFunc!A:A,PhpParamFunc!B:B,"") = "", _xlfn.XLOOKUP(G353,PhpParamFunc!A:A,PhpParamFunc!B:B,""), _xlfn.XLOOKUP(F353,PhpParamFunc!A:A,PhpParamFunc!B:B,""))</f>
        <v/>
      </c>
      <c r="O353" t="str">
        <f>IF(_xlfn.XLOOKUP(F353,PhpAggrFunc!A:A,PhpAggrFunc!B:B,"") = "", _xlfn.XLOOKUP(G353,PhpAggrFunc!A:A,PhpAggrFunc!B:B,""), _xlfn.XLOOKUP(F353,PhpAggrFunc!A:A,PhpAggrFunc!B:B,""))</f>
        <v/>
      </c>
      <c r="P353" t="str">
        <f t="shared" si="32"/>
        <v>RESERVED</v>
      </c>
      <c r="Q353" t="str">
        <f t="shared" si="33"/>
        <v>static const String^ TOK_PROCEDURE = "PROCEDURE";</v>
      </c>
      <c r="R353" t="str">
        <f t="shared" si="34"/>
        <v>static const int TOK_PROCEDURE = 387;</v>
      </c>
      <c r="S353" t="str">
        <f t="shared" si="35"/>
        <v>_Tokens-&gt;Add((String^)GramVals::TOK_PROCEDURE, gcnew Token(GramKeys::TOK_PROCEDURE, EnumTokenCategory::RESERVED,BARE_LABEL, i++));</v>
      </c>
    </row>
    <row r="354" spans="1:19" x14ac:dyDescent="0.25">
      <c r="A354" s="3" t="s">
        <v>1718</v>
      </c>
      <c r="B354" s="5" t="s">
        <v>1260</v>
      </c>
      <c r="C354" s="3" t="s">
        <v>2245</v>
      </c>
      <c r="D354" s="3" t="s">
        <v>2423</v>
      </c>
      <c r="F354" t="str">
        <f t="shared" si="30"/>
        <v>PROTECTED</v>
      </c>
      <c r="G354" t="s">
        <v>3774</v>
      </c>
      <c r="I354" s="3" t="str">
        <f>IF(_xlfn.XLOOKUP(F354,PgSqlRaw!B:B,PgSqlRaw!E:E,"") = "",_xlfn.XLOOKUP(G354,PgSqlRaw!B:B,PgSqlRaw!E:E,""),_xlfn.XLOOKUP(F354,PgSqlRaw!B:B,PgSqlRaw!E:E,""))</f>
        <v/>
      </c>
      <c r="J354" t="str">
        <f>IF(_xlfn.XLOOKUP(F354,PgSqlRaw!B:B,PgSqlRaw!F:F,"") = "", _xlfn.XLOOKUP(G354,PgSqlRaw!B:B,PgSqlRaw!F:F,""), _xlfn.XLOOKUP(F354,PgSqlRaw!B:B,PgSqlRaw!F:F,""))</f>
        <v/>
      </c>
      <c r="K354" t="str">
        <f t="shared" si="31"/>
        <v>BARE_LABEL</v>
      </c>
      <c r="L354" t="str">
        <f>IF(_xlfn.XLOOKUP(F354,PhpReserved!A:A,PhpReserved!B:B,"") = "", _xlfn.XLOOKUP(G354,PhpReserved!A:A,PhpReserved!B:B,""),_xlfn.XLOOKUP(F354,PhpReserved!A:A,PhpReserved!B:B,""))</f>
        <v/>
      </c>
      <c r="M354" t="str">
        <f>IF(_xlfn.XLOOKUP(F354,PhpFunctions!A:A,PhpFunctions!B:B,"") =  "", _xlfn.XLOOKUP(G354,PhpFunctions!A:A,PhpFunctions!B:B,""), _xlfn.XLOOKUP(F354,PhpFunctions!A:A,PhpFunctions!B:B,""))</f>
        <v/>
      </c>
      <c r="N354" t="str">
        <f>IF(_xlfn.XLOOKUP(F354,PhpParamFunc!A:A,PhpParamFunc!B:B,"") = "", _xlfn.XLOOKUP(G354,PhpParamFunc!A:A,PhpParamFunc!B:B,""), _xlfn.XLOOKUP(F354,PhpParamFunc!A:A,PhpParamFunc!B:B,""))</f>
        <v/>
      </c>
      <c r="O354" t="str">
        <f>IF(_xlfn.XLOOKUP(F354,PhpAggrFunc!A:A,PhpAggrFunc!B:B,"") = "", _xlfn.XLOOKUP(G354,PhpAggrFunc!A:A,PhpAggrFunc!B:B,""), _xlfn.XLOOKUP(F354,PhpAggrFunc!A:A,PhpAggrFunc!B:B,""))</f>
        <v/>
      </c>
      <c r="P354" t="str">
        <f t="shared" si="32"/>
        <v>UNRESERVED</v>
      </c>
      <c r="Q354" t="str">
        <f t="shared" si="33"/>
        <v>static const String^ TOK_PROTECTED = "PROTECTED";</v>
      </c>
      <c r="R354" t="str">
        <f t="shared" si="34"/>
        <v>static const int TOK_PROTECTED = 388;</v>
      </c>
      <c r="S354" t="str">
        <f t="shared" si="35"/>
        <v>// _Tokens-&gt;Add((String^)GramVals::TOK_PROTECTED, gcnew Token(GramKeys::TOK_PROTECTED, EnumTokenCategory::UNRESERVED,BARE_LABEL, i++));</v>
      </c>
    </row>
    <row r="355" spans="1:19" x14ac:dyDescent="0.25">
      <c r="A355" s="3" t="s">
        <v>1719</v>
      </c>
      <c r="B355" s="5">
        <v>726</v>
      </c>
      <c r="C355" s="3" t="s">
        <v>2246</v>
      </c>
      <c r="D355" s="3" t="s">
        <v>881</v>
      </c>
      <c r="F355" t="str">
        <f t="shared" si="30"/>
        <v>PUBLICATION</v>
      </c>
      <c r="G355" t="s">
        <v>3511</v>
      </c>
      <c r="I355" s="3" t="str">
        <f>IF(_xlfn.XLOOKUP(F355,PgSqlRaw!B:B,PgSqlRaw!E:E,"") = "",_xlfn.XLOOKUP(G355,PgSqlRaw!B:B,PgSqlRaw!E:E,""),_xlfn.XLOOKUP(F355,PgSqlRaw!B:B,PgSqlRaw!E:E,""))</f>
        <v/>
      </c>
      <c r="J355" t="str">
        <f>IF(_xlfn.XLOOKUP(F355,PgSqlRaw!B:B,PgSqlRaw!F:F,"") = "", _xlfn.XLOOKUP(G355,PgSqlRaw!B:B,PgSqlRaw!F:F,""), _xlfn.XLOOKUP(F355,PgSqlRaw!B:B,PgSqlRaw!F:F,""))</f>
        <v>BARE_LABEL</v>
      </c>
      <c r="K355" t="str">
        <f t="shared" si="31"/>
        <v>BARE_LABEL</v>
      </c>
      <c r="L355" t="str">
        <f>IF(_xlfn.XLOOKUP(F355,PhpReserved!A:A,PhpReserved!B:B,"") = "", _xlfn.XLOOKUP(G355,PhpReserved!A:A,PhpReserved!B:B,""),_xlfn.XLOOKUP(F355,PhpReserved!A:A,PhpReserved!B:B,""))</f>
        <v/>
      </c>
      <c r="M355" t="str">
        <f>IF(_xlfn.XLOOKUP(F355,PhpFunctions!A:A,PhpFunctions!B:B,"") =  "", _xlfn.XLOOKUP(G355,PhpFunctions!A:A,PhpFunctions!B:B,""), _xlfn.XLOOKUP(F355,PhpFunctions!A:A,PhpFunctions!B:B,""))</f>
        <v/>
      </c>
      <c r="N355" t="str">
        <f>IF(_xlfn.XLOOKUP(F355,PhpParamFunc!A:A,PhpParamFunc!B:B,"") = "", _xlfn.XLOOKUP(G355,PhpParamFunc!A:A,PhpParamFunc!B:B,""), _xlfn.XLOOKUP(F355,PhpParamFunc!A:A,PhpParamFunc!B:B,""))</f>
        <v/>
      </c>
      <c r="O355" t="str">
        <f>IF(_xlfn.XLOOKUP(F355,PhpAggrFunc!A:A,PhpAggrFunc!B:B,"") = "", _xlfn.XLOOKUP(G355,PhpAggrFunc!A:A,PhpAggrFunc!B:B,""), _xlfn.XLOOKUP(F355,PhpAggrFunc!A:A,PhpAggrFunc!B:B,""))</f>
        <v/>
      </c>
      <c r="P355" t="str">
        <f t="shared" si="32"/>
        <v>UNRESERVED</v>
      </c>
      <c r="Q355" t="str">
        <f t="shared" si="33"/>
        <v>static const String^ TOK_PUBLICATION = "PUBLICATION";</v>
      </c>
      <c r="R355" t="str">
        <f t="shared" si="34"/>
        <v>static const int TOK_PUBLICATION = 726;</v>
      </c>
      <c r="S355" t="str">
        <f t="shared" si="35"/>
        <v>// _Tokens-&gt;Add((String^)GramVals::TOK_PUBLICATION, gcnew Token(GramKeys::TOK_PUBLICATION, EnumTokenCategory::UNRESERVED,BARE_LABEL, i++));</v>
      </c>
    </row>
    <row r="356" spans="1:19" x14ac:dyDescent="0.25">
      <c r="A356" s="3" t="s">
        <v>1720</v>
      </c>
      <c r="B356" s="5">
        <v>727</v>
      </c>
      <c r="C356" s="3" t="s">
        <v>2247</v>
      </c>
      <c r="D356" s="3" t="s">
        <v>2423</v>
      </c>
      <c r="F356" t="str">
        <f t="shared" si="30"/>
        <v>QUANTIZE</v>
      </c>
      <c r="G356" t="s">
        <v>3775</v>
      </c>
      <c r="I356" s="3" t="str">
        <f>IF(_xlfn.XLOOKUP(F356,PgSqlRaw!B:B,PgSqlRaw!E:E,"") = "",_xlfn.XLOOKUP(G356,PgSqlRaw!B:B,PgSqlRaw!E:E,""),_xlfn.XLOOKUP(F356,PgSqlRaw!B:B,PgSqlRaw!E:E,""))</f>
        <v/>
      </c>
      <c r="J356" t="str">
        <f>IF(_xlfn.XLOOKUP(F356,PgSqlRaw!B:B,PgSqlRaw!F:F,"") = "", _xlfn.XLOOKUP(G356,PgSqlRaw!B:B,PgSqlRaw!F:F,""), _xlfn.XLOOKUP(F356,PgSqlRaw!B:B,PgSqlRaw!F:F,""))</f>
        <v/>
      </c>
      <c r="K356" t="str">
        <f t="shared" si="31"/>
        <v>BARE_LABEL</v>
      </c>
      <c r="L356" t="str">
        <f>IF(_xlfn.XLOOKUP(F356,PhpReserved!A:A,PhpReserved!B:B,"") = "", _xlfn.XLOOKUP(G356,PhpReserved!A:A,PhpReserved!B:B,""),_xlfn.XLOOKUP(F356,PhpReserved!A:A,PhpReserved!B:B,""))</f>
        <v/>
      </c>
      <c r="M356" t="str">
        <f>IF(_xlfn.XLOOKUP(F356,PhpFunctions!A:A,PhpFunctions!B:B,"") =  "", _xlfn.XLOOKUP(G356,PhpFunctions!A:A,PhpFunctions!B:B,""), _xlfn.XLOOKUP(F356,PhpFunctions!A:A,PhpFunctions!B:B,""))</f>
        <v/>
      </c>
      <c r="N356" t="str">
        <f>IF(_xlfn.XLOOKUP(F356,PhpParamFunc!A:A,PhpParamFunc!B:B,"") = "", _xlfn.XLOOKUP(G356,PhpParamFunc!A:A,PhpParamFunc!B:B,""), _xlfn.XLOOKUP(F356,PhpParamFunc!A:A,PhpParamFunc!B:B,""))</f>
        <v/>
      </c>
      <c r="O356" t="str">
        <f>IF(_xlfn.XLOOKUP(F356,PhpAggrFunc!A:A,PhpAggrFunc!B:B,"") = "", _xlfn.XLOOKUP(G356,PhpAggrFunc!A:A,PhpAggrFunc!B:B,""), _xlfn.XLOOKUP(F356,PhpAggrFunc!A:A,PhpAggrFunc!B:B,""))</f>
        <v/>
      </c>
      <c r="P356" t="str">
        <f t="shared" si="32"/>
        <v>UNRESERVED</v>
      </c>
      <c r="Q356" t="str">
        <f t="shared" si="33"/>
        <v>static const String^ TOK_QUANTIZE = "QUANTIZE";</v>
      </c>
      <c r="R356" t="str">
        <f t="shared" si="34"/>
        <v>static const int TOK_QUANTIZE = 727;</v>
      </c>
      <c r="S356" t="str">
        <f t="shared" si="35"/>
        <v>// _Tokens-&gt;Add((String^)GramVals::TOK_QUANTIZE, gcnew Token(GramKeys::TOK_QUANTIZE, EnumTokenCategory::UNRESERVED,BARE_LABEL, i++));</v>
      </c>
    </row>
    <row r="357" spans="1:19" x14ac:dyDescent="0.25">
      <c r="A357" s="3" t="s">
        <v>1721</v>
      </c>
      <c r="B357" s="5" t="s">
        <v>1261</v>
      </c>
      <c r="C357" s="3" t="s">
        <v>2248</v>
      </c>
      <c r="D357" s="3" t="s">
        <v>2423</v>
      </c>
      <c r="F357" t="str">
        <f t="shared" si="30"/>
        <v>RAND</v>
      </c>
      <c r="G357" t="s">
        <v>3020</v>
      </c>
      <c r="I357" s="3" t="str">
        <f>IF(_xlfn.XLOOKUP(F357,PgSqlRaw!B:B,PgSqlRaw!E:E,"") = "",_xlfn.XLOOKUP(G357,PgSqlRaw!B:B,PgSqlRaw!E:E,""),_xlfn.XLOOKUP(F357,PgSqlRaw!B:B,PgSqlRaw!E:E,""))</f>
        <v/>
      </c>
      <c r="J357" t="str">
        <f>IF(_xlfn.XLOOKUP(F357,PgSqlRaw!B:B,PgSqlRaw!F:F,"") = "", _xlfn.XLOOKUP(G357,PgSqlRaw!B:B,PgSqlRaw!F:F,""), _xlfn.XLOOKUP(F357,PgSqlRaw!B:B,PgSqlRaw!F:F,""))</f>
        <v/>
      </c>
      <c r="K357" t="str">
        <f t="shared" si="31"/>
        <v>BARE_LABEL</v>
      </c>
      <c r="L357" t="str">
        <f>IF(_xlfn.XLOOKUP(F357,PhpReserved!A:A,PhpReserved!B:B,"") = "", _xlfn.XLOOKUP(G357,PhpReserved!A:A,PhpReserved!B:B,""),_xlfn.XLOOKUP(F357,PhpReserved!A:A,PhpReserved!B:B,""))</f>
        <v>RESERVED</v>
      </c>
      <c r="M357" t="str">
        <f>IF(_xlfn.XLOOKUP(F357,PhpFunctions!A:A,PhpFunctions!B:B,"") =  "", _xlfn.XLOOKUP(G357,PhpFunctions!A:A,PhpFunctions!B:B,""), _xlfn.XLOOKUP(F357,PhpFunctions!A:A,PhpFunctions!B:B,""))</f>
        <v>FUNCTION</v>
      </c>
      <c r="N357" t="str">
        <f>IF(_xlfn.XLOOKUP(F357,PhpParamFunc!A:A,PhpParamFunc!B:B,"") = "", _xlfn.XLOOKUP(G357,PhpParamFunc!A:A,PhpParamFunc!B:B,""), _xlfn.XLOOKUP(F357,PhpParamFunc!A:A,PhpParamFunc!B:B,""))</f>
        <v/>
      </c>
      <c r="O357" t="str">
        <f>IF(_xlfn.XLOOKUP(F357,PhpAggrFunc!A:A,PhpAggrFunc!B:B,"") = "", _xlfn.XLOOKUP(G357,PhpAggrFunc!A:A,PhpAggrFunc!B:B,""), _xlfn.XLOOKUP(F357,PhpAggrFunc!A:A,PhpAggrFunc!B:B,""))</f>
        <v/>
      </c>
      <c r="P357" t="str">
        <f t="shared" si="32"/>
        <v>FUNCTION</v>
      </c>
      <c r="Q357" t="str">
        <f t="shared" si="33"/>
        <v>static const String^ TOK_RAND = "RAND";</v>
      </c>
      <c r="R357" t="str">
        <f t="shared" si="34"/>
        <v>static const int TOK_RAND = 572;</v>
      </c>
      <c r="S357" t="str">
        <f t="shared" si="35"/>
        <v>_Tokens-&gt;Add((String^)GramVals::TOK_RAND, gcnew Token(GramKeys::TOK_RAND, EnumTokenCategory::FUNCTION,BARE_LABEL, i++));</v>
      </c>
    </row>
    <row r="358" spans="1:19" x14ac:dyDescent="0.25">
      <c r="A358" s="3" t="s">
        <v>1722</v>
      </c>
      <c r="B358" s="5">
        <v>728</v>
      </c>
      <c r="C358" s="3" t="s">
        <v>2249</v>
      </c>
      <c r="D358" s="3" t="s">
        <v>2423</v>
      </c>
      <c r="F358" t="str">
        <f t="shared" si="30"/>
        <v>RANGE</v>
      </c>
      <c r="G358" t="s">
        <v>3512</v>
      </c>
      <c r="I358" s="3" t="str">
        <f>IF(_xlfn.XLOOKUP(F358,PgSqlRaw!B:B,PgSqlRaw!E:E,"") = "",_xlfn.XLOOKUP(G358,PgSqlRaw!B:B,PgSqlRaw!E:E,""),_xlfn.XLOOKUP(F358,PgSqlRaw!B:B,PgSqlRaw!E:E,""))</f>
        <v/>
      </c>
      <c r="J358" t="str">
        <f>IF(_xlfn.XLOOKUP(F358,PgSqlRaw!B:B,PgSqlRaw!F:F,"") = "", _xlfn.XLOOKUP(G358,PgSqlRaw!B:B,PgSqlRaw!F:F,""), _xlfn.XLOOKUP(F358,PgSqlRaw!B:B,PgSqlRaw!F:F,""))</f>
        <v>BARE_LABEL</v>
      </c>
      <c r="K358" t="str">
        <f t="shared" si="31"/>
        <v>BARE_LABEL</v>
      </c>
      <c r="L358" t="str">
        <f>IF(_xlfn.XLOOKUP(F358,PhpReserved!A:A,PhpReserved!B:B,"") = "", _xlfn.XLOOKUP(G358,PhpReserved!A:A,PhpReserved!B:B,""),_xlfn.XLOOKUP(F358,PhpReserved!A:A,PhpReserved!B:B,""))</f>
        <v/>
      </c>
      <c r="M358" t="str">
        <f>IF(_xlfn.XLOOKUP(F358,PhpFunctions!A:A,PhpFunctions!B:B,"") =  "", _xlfn.XLOOKUP(G358,PhpFunctions!A:A,PhpFunctions!B:B,""), _xlfn.XLOOKUP(F358,PhpFunctions!A:A,PhpFunctions!B:B,""))</f>
        <v/>
      </c>
      <c r="N358" t="str">
        <f>IF(_xlfn.XLOOKUP(F358,PhpParamFunc!A:A,PhpParamFunc!B:B,"") = "", _xlfn.XLOOKUP(G358,PhpParamFunc!A:A,PhpParamFunc!B:B,""), _xlfn.XLOOKUP(F358,PhpParamFunc!A:A,PhpParamFunc!B:B,""))</f>
        <v/>
      </c>
      <c r="O358" t="str">
        <f>IF(_xlfn.XLOOKUP(F358,PhpAggrFunc!A:A,PhpAggrFunc!B:B,"") = "", _xlfn.XLOOKUP(G358,PhpAggrFunc!A:A,PhpAggrFunc!B:B,""), _xlfn.XLOOKUP(F358,PhpAggrFunc!A:A,PhpAggrFunc!B:B,""))</f>
        <v/>
      </c>
      <c r="P358" t="str">
        <f t="shared" si="32"/>
        <v>UNRESERVED</v>
      </c>
      <c r="Q358" t="str">
        <f t="shared" si="33"/>
        <v>static const String^ TOK_RANGE = "RANGE";</v>
      </c>
      <c r="R358" t="str">
        <f t="shared" si="34"/>
        <v>static const int TOK_RANGE = 728;</v>
      </c>
      <c r="S358" t="str">
        <f t="shared" si="35"/>
        <v>// _Tokens-&gt;Add((String^)GramVals::TOK_RANGE, gcnew Token(GramKeys::TOK_RANGE, EnumTokenCategory::UNRESERVED,BARE_LABEL, i++));</v>
      </c>
    </row>
    <row r="359" spans="1:19" x14ac:dyDescent="0.25">
      <c r="A359" s="3" t="s">
        <v>1723</v>
      </c>
      <c r="B359" s="5" t="s">
        <v>1262</v>
      </c>
      <c r="C359" s="3" t="s">
        <v>2250</v>
      </c>
      <c r="D359" s="3" t="s">
        <v>2423</v>
      </c>
      <c r="F359" t="str">
        <f t="shared" si="30"/>
        <v>RANK</v>
      </c>
      <c r="G359" t="s">
        <v>3776</v>
      </c>
      <c r="I359" s="3" t="str">
        <f>IF(_xlfn.XLOOKUP(F359,PgSqlRaw!B:B,PgSqlRaw!E:E,"") = "",_xlfn.XLOOKUP(G359,PgSqlRaw!B:B,PgSqlRaw!E:E,""),_xlfn.XLOOKUP(F359,PgSqlRaw!B:B,PgSqlRaw!E:E,""))</f>
        <v/>
      </c>
      <c r="J359" t="str">
        <f>IF(_xlfn.XLOOKUP(F359,PgSqlRaw!B:B,PgSqlRaw!F:F,"") = "", _xlfn.XLOOKUP(G359,PgSqlRaw!B:B,PgSqlRaw!F:F,""), _xlfn.XLOOKUP(F359,PgSqlRaw!B:B,PgSqlRaw!F:F,""))</f>
        <v/>
      </c>
      <c r="K359" t="str">
        <f t="shared" si="31"/>
        <v>BARE_LABEL</v>
      </c>
      <c r="L359" t="str">
        <f>IF(_xlfn.XLOOKUP(F359,PhpReserved!A:A,PhpReserved!B:B,"") = "", _xlfn.XLOOKUP(G359,PhpReserved!A:A,PhpReserved!B:B,""),_xlfn.XLOOKUP(F359,PhpReserved!A:A,PhpReserved!B:B,""))</f>
        <v/>
      </c>
      <c r="M359" t="str">
        <f>IF(_xlfn.XLOOKUP(F359,PhpFunctions!A:A,PhpFunctions!B:B,"") =  "", _xlfn.XLOOKUP(G359,PhpFunctions!A:A,PhpFunctions!B:B,""), _xlfn.XLOOKUP(F359,PhpFunctions!A:A,PhpFunctions!B:B,""))</f>
        <v/>
      </c>
      <c r="N359" t="str">
        <f>IF(_xlfn.XLOOKUP(F359,PhpParamFunc!A:A,PhpParamFunc!B:B,"") = "", _xlfn.XLOOKUP(G359,PhpParamFunc!A:A,PhpParamFunc!B:B,""), _xlfn.XLOOKUP(F359,PhpParamFunc!A:A,PhpParamFunc!B:B,""))</f>
        <v/>
      </c>
      <c r="O359" t="str">
        <f>IF(_xlfn.XLOOKUP(F359,PhpAggrFunc!A:A,PhpAggrFunc!B:B,"") = "", _xlfn.XLOOKUP(G359,PhpAggrFunc!A:A,PhpAggrFunc!B:B,""), _xlfn.XLOOKUP(F359,PhpAggrFunc!A:A,PhpAggrFunc!B:B,""))</f>
        <v/>
      </c>
      <c r="P359" t="str">
        <f t="shared" si="32"/>
        <v>UNRESERVED</v>
      </c>
      <c r="Q359" t="str">
        <f t="shared" si="33"/>
        <v>static const String^ TOK_RANK = "RANK";</v>
      </c>
      <c r="R359" t="str">
        <f t="shared" si="34"/>
        <v>static const int TOK_RANK = 635;</v>
      </c>
      <c r="S359" t="str">
        <f t="shared" si="35"/>
        <v>// _Tokens-&gt;Add((String^)GramVals::TOK_RANK, gcnew Token(GramKeys::TOK_RANK, EnumTokenCategory::UNRESERVED,BARE_LABEL, i++));</v>
      </c>
    </row>
    <row r="360" spans="1:19" x14ac:dyDescent="0.25">
      <c r="A360" s="3" t="s">
        <v>1724</v>
      </c>
      <c r="B360" s="5">
        <v>729</v>
      </c>
      <c r="C360" s="3" t="s">
        <v>2251</v>
      </c>
      <c r="D360" s="3" t="s">
        <v>881</v>
      </c>
      <c r="F360" t="str">
        <f t="shared" si="30"/>
        <v>RDB_ERROR</v>
      </c>
      <c r="G360" t="s">
        <v>3777</v>
      </c>
      <c r="I360" s="3" t="str">
        <f>IF(_xlfn.XLOOKUP(F360,PgSqlRaw!B:B,PgSqlRaw!E:E,"") = "",_xlfn.XLOOKUP(G360,PgSqlRaw!B:B,PgSqlRaw!E:E,""),_xlfn.XLOOKUP(F360,PgSqlRaw!B:B,PgSqlRaw!E:E,""))</f>
        <v/>
      </c>
      <c r="J360" t="str">
        <f>IF(_xlfn.XLOOKUP(F360,PgSqlRaw!B:B,PgSqlRaw!F:F,"") = "", _xlfn.XLOOKUP(G360,PgSqlRaw!B:B,PgSqlRaw!F:F,""), _xlfn.XLOOKUP(F360,PgSqlRaw!B:B,PgSqlRaw!F:F,""))</f>
        <v/>
      </c>
      <c r="K360" t="str">
        <f t="shared" si="31"/>
        <v>BARE_LABEL</v>
      </c>
      <c r="L360" t="str">
        <f>IF(_xlfn.XLOOKUP(F360,PhpReserved!A:A,PhpReserved!B:B,"") = "", _xlfn.XLOOKUP(G360,PhpReserved!A:A,PhpReserved!B:B,""),_xlfn.XLOOKUP(F360,PhpReserved!A:A,PhpReserved!B:B,""))</f>
        <v/>
      </c>
      <c r="M360" t="str">
        <f>IF(_xlfn.XLOOKUP(F360,PhpFunctions!A:A,PhpFunctions!B:B,"") =  "", _xlfn.XLOOKUP(G360,PhpFunctions!A:A,PhpFunctions!B:B,""), _xlfn.XLOOKUP(F360,PhpFunctions!A:A,PhpFunctions!B:B,""))</f>
        <v/>
      </c>
      <c r="N360" t="str">
        <f>IF(_xlfn.XLOOKUP(F360,PhpParamFunc!A:A,PhpParamFunc!B:B,"") = "", _xlfn.XLOOKUP(G360,PhpParamFunc!A:A,PhpParamFunc!B:B,""), _xlfn.XLOOKUP(F360,PhpParamFunc!A:A,PhpParamFunc!B:B,""))</f>
        <v/>
      </c>
      <c r="O360" t="str">
        <f>IF(_xlfn.XLOOKUP(F360,PhpAggrFunc!A:A,PhpAggrFunc!B:B,"") = "", _xlfn.XLOOKUP(G360,PhpAggrFunc!A:A,PhpAggrFunc!B:B,""), _xlfn.XLOOKUP(F360,PhpAggrFunc!A:A,PhpAggrFunc!B:B,""))</f>
        <v/>
      </c>
      <c r="P360" t="str">
        <f t="shared" si="32"/>
        <v>UNRESERVED</v>
      </c>
      <c r="Q360" t="str">
        <f t="shared" si="33"/>
        <v>static const String^ TOK_RDB_ERROR = "RDB$ERROR";</v>
      </c>
      <c r="R360" t="str">
        <f t="shared" si="34"/>
        <v>static const int TOK_RDB_ERROR = 729;</v>
      </c>
      <c r="S360" t="str">
        <f t="shared" si="35"/>
        <v>// _Tokens-&gt;Add((String^)GramVals::TOK_RDB_ERROR, gcnew Token(GramKeys::TOK_RDB_ERROR, EnumTokenCategory::UNRESERVED,BARE_LABEL, i++));</v>
      </c>
    </row>
    <row r="361" spans="1:19" x14ac:dyDescent="0.25">
      <c r="A361" s="3" t="s">
        <v>1725</v>
      </c>
      <c r="B361" s="5" t="s">
        <v>1263</v>
      </c>
      <c r="C361" s="3" t="s">
        <v>2252</v>
      </c>
      <c r="D361" s="3" t="s">
        <v>881</v>
      </c>
      <c r="F361" t="str">
        <f t="shared" si="30"/>
        <v>RDB_GET_CONTEXT</v>
      </c>
      <c r="G361" t="s">
        <v>3778</v>
      </c>
      <c r="I361" s="3" t="str">
        <f>IF(_xlfn.XLOOKUP(F361,PgSqlRaw!B:B,PgSqlRaw!E:E,"") = "",_xlfn.XLOOKUP(G361,PgSqlRaw!B:B,PgSqlRaw!E:E,""),_xlfn.XLOOKUP(F361,PgSqlRaw!B:B,PgSqlRaw!E:E,""))</f>
        <v/>
      </c>
      <c r="J361" t="str">
        <f>IF(_xlfn.XLOOKUP(F361,PgSqlRaw!B:B,PgSqlRaw!F:F,"") = "", _xlfn.XLOOKUP(G361,PgSqlRaw!B:B,PgSqlRaw!F:F,""), _xlfn.XLOOKUP(F361,PgSqlRaw!B:B,PgSqlRaw!F:F,""))</f>
        <v/>
      </c>
      <c r="K361" t="str">
        <f t="shared" si="31"/>
        <v>BARE_LABEL</v>
      </c>
      <c r="L361" t="str">
        <f>IF(_xlfn.XLOOKUP(F361,PhpReserved!A:A,PhpReserved!B:B,"") = "", _xlfn.XLOOKUP(G361,PhpReserved!A:A,PhpReserved!B:B,""),_xlfn.XLOOKUP(F361,PhpReserved!A:A,PhpReserved!B:B,""))</f>
        <v/>
      </c>
      <c r="M361" t="str">
        <f>IF(_xlfn.XLOOKUP(F361,PhpFunctions!A:A,PhpFunctions!B:B,"") =  "", _xlfn.XLOOKUP(G361,PhpFunctions!A:A,PhpFunctions!B:B,""), _xlfn.XLOOKUP(F361,PhpFunctions!A:A,PhpFunctions!B:B,""))</f>
        <v/>
      </c>
      <c r="N361" t="str">
        <f>IF(_xlfn.XLOOKUP(F361,PhpParamFunc!A:A,PhpParamFunc!B:B,"") = "", _xlfn.XLOOKUP(G361,PhpParamFunc!A:A,PhpParamFunc!B:B,""), _xlfn.XLOOKUP(F361,PhpParamFunc!A:A,PhpParamFunc!B:B,""))</f>
        <v/>
      </c>
      <c r="O361" t="str">
        <f>IF(_xlfn.XLOOKUP(F361,PhpAggrFunc!A:A,PhpAggrFunc!B:B,"") = "", _xlfn.XLOOKUP(G361,PhpAggrFunc!A:A,PhpAggrFunc!B:B,""), _xlfn.XLOOKUP(F361,PhpAggrFunc!A:A,PhpAggrFunc!B:B,""))</f>
        <v/>
      </c>
      <c r="P361" t="str">
        <f t="shared" si="32"/>
        <v>UNRESERVED</v>
      </c>
      <c r="Q361" t="str">
        <f t="shared" si="33"/>
        <v>static const String^ TOK_RDB_GET_CONTEXT = "RDB$GET_CONTEXT";</v>
      </c>
      <c r="R361" t="str">
        <f t="shared" si="34"/>
        <v>static const int TOK_RDB_GET_CONTEXT = 617;</v>
      </c>
      <c r="S361" t="str">
        <f t="shared" si="35"/>
        <v>// _Tokens-&gt;Add((String^)GramVals::TOK_RDB_GET_CONTEXT, gcnew Token(GramKeys::TOK_RDB_GET_CONTEXT, EnumTokenCategory::UNRESERVED,BARE_LABEL, i++));</v>
      </c>
    </row>
    <row r="362" spans="1:19" x14ac:dyDescent="0.25">
      <c r="A362" s="3" t="s">
        <v>1726</v>
      </c>
      <c r="B362" s="5">
        <v>730</v>
      </c>
      <c r="C362" s="3" t="s">
        <v>2253</v>
      </c>
      <c r="D362" s="3" t="s">
        <v>881</v>
      </c>
      <c r="F362" t="str">
        <f t="shared" si="30"/>
        <v>RDB_GET_TRANSACTION_CN</v>
      </c>
      <c r="G362" t="s">
        <v>3779</v>
      </c>
      <c r="I362" s="3" t="str">
        <f>IF(_xlfn.XLOOKUP(F362,PgSqlRaw!B:B,PgSqlRaw!E:E,"") = "",_xlfn.XLOOKUP(G362,PgSqlRaw!B:B,PgSqlRaw!E:E,""),_xlfn.XLOOKUP(F362,PgSqlRaw!B:B,PgSqlRaw!E:E,""))</f>
        <v/>
      </c>
      <c r="J362" t="str">
        <f>IF(_xlfn.XLOOKUP(F362,PgSqlRaw!B:B,PgSqlRaw!F:F,"") = "", _xlfn.XLOOKUP(G362,PgSqlRaw!B:B,PgSqlRaw!F:F,""), _xlfn.XLOOKUP(F362,PgSqlRaw!B:B,PgSqlRaw!F:F,""))</f>
        <v/>
      </c>
      <c r="K362" t="str">
        <f t="shared" si="31"/>
        <v>BARE_LABEL</v>
      </c>
      <c r="L362" t="str">
        <f>IF(_xlfn.XLOOKUP(F362,PhpReserved!A:A,PhpReserved!B:B,"") = "", _xlfn.XLOOKUP(G362,PhpReserved!A:A,PhpReserved!B:B,""),_xlfn.XLOOKUP(F362,PhpReserved!A:A,PhpReserved!B:B,""))</f>
        <v/>
      </c>
      <c r="M362" t="str">
        <f>IF(_xlfn.XLOOKUP(F362,PhpFunctions!A:A,PhpFunctions!B:B,"") =  "", _xlfn.XLOOKUP(G362,PhpFunctions!A:A,PhpFunctions!B:B,""), _xlfn.XLOOKUP(F362,PhpFunctions!A:A,PhpFunctions!B:B,""))</f>
        <v/>
      </c>
      <c r="N362" t="str">
        <f>IF(_xlfn.XLOOKUP(F362,PhpParamFunc!A:A,PhpParamFunc!B:B,"") = "", _xlfn.XLOOKUP(G362,PhpParamFunc!A:A,PhpParamFunc!B:B,""), _xlfn.XLOOKUP(F362,PhpParamFunc!A:A,PhpParamFunc!B:B,""))</f>
        <v/>
      </c>
      <c r="O362" t="str">
        <f>IF(_xlfn.XLOOKUP(F362,PhpAggrFunc!A:A,PhpAggrFunc!B:B,"") = "", _xlfn.XLOOKUP(G362,PhpAggrFunc!A:A,PhpAggrFunc!B:B,""), _xlfn.XLOOKUP(F362,PhpAggrFunc!A:A,PhpAggrFunc!B:B,""))</f>
        <v/>
      </c>
      <c r="P362" t="str">
        <f t="shared" si="32"/>
        <v>UNRESERVED</v>
      </c>
      <c r="Q362" t="str">
        <f t="shared" si="33"/>
        <v>static const String^ TOK_RDB_GET_TRANSACTION_CN = "RDB$GET_TRANSACTION_CN";</v>
      </c>
      <c r="R362" t="str">
        <f t="shared" si="34"/>
        <v>static const int TOK_RDB_GET_TRANSACTION_CN = 730;</v>
      </c>
      <c r="S362" t="str">
        <f t="shared" si="35"/>
        <v>// _Tokens-&gt;Add((String^)GramVals::TOK_RDB_GET_TRANSACTION_CN, gcnew Token(GramKeys::TOK_RDB_GET_TRANSACTION_CN, EnumTokenCategory::UNRESERVED,BARE_LABEL, i++));</v>
      </c>
    </row>
    <row r="363" spans="1:19" x14ac:dyDescent="0.25">
      <c r="A363" s="3" t="s">
        <v>1727</v>
      </c>
      <c r="B363" s="5" t="s">
        <v>1264</v>
      </c>
      <c r="C363" s="3" t="s">
        <v>2254</v>
      </c>
      <c r="D363" s="3" t="s">
        <v>881</v>
      </c>
      <c r="F363" t="str">
        <f t="shared" si="30"/>
        <v>RDB_RECORD_VERSION</v>
      </c>
      <c r="G363" t="s">
        <v>3780</v>
      </c>
      <c r="I363" s="3" t="str">
        <f>IF(_xlfn.XLOOKUP(F363,PgSqlRaw!B:B,PgSqlRaw!E:E,"") = "",_xlfn.XLOOKUP(G363,PgSqlRaw!B:B,PgSqlRaw!E:E,""),_xlfn.XLOOKUP(F363,PgSqlRaw!B:B,PgSqlRaw!E:E,""))</f>
        <v/>
      </c>
      <c r="J363" t="str">
        <f>IF(_xlfn.XLOOKUP(F363,PgSqlRaw!B:B,PgSqlRaw!F:F,"") = "", _xlfn.XLOOKUP(G363,PgSqlRaw!B:B,PgSqlRaw!F:F,""), _xlfn.XLOOKUP(F363,PgSqlRaw!B:B,PgSqlRaw!F:F,""))</f>
        <v/>
      </c>
      <c r="K363" t="str">
        <f t="shared" si="31"/>
        <v>BARE_LABEL</v>
      </c>
      <c r="L363" t="str">
        <f>IF(_xlfn.XLOOKUP(F363,PhpReserved!A:A,PhpReserved!B:B,"") = "", _xlfn.XLOOKUP(G363,PhpReserved!A:A,PhpReserved!B:B,""),_xlfn.XLOOKUP(F363,PhpReserved!A:A,PhpReserved!B:B,""))</f>
        <v/>
      </c>
      <c r="M363" t="str">
        <f>IF(_xlfn.XLOOKUP(F363,PhpFunctions!A:A,PhpFunctions!B:B,"") =  "", _xlfn.XLOOKUP(G363,PhpFunctions!A:A,PhpFunctions!B:B,""), _xlfn.XLOOKUP(F363,PhpFunctions!A:A,PhpFunctions!B:B,""))</f>
        <v/>
      </c>
      <c r="N363" t="str">
        <f>IF(_xlfn.XLOOKUP(F363,PhpParamFunc!A:A,PhpParamFunc!B:B,"") = "", _xlfn.XLOOKUP(G363,PhpParamFunc!A:A,PhpParamFunc!B:B,""), _xlfn.XLOOKUP(F363,PhpParamFunc!A:A,PhpParamFunc!B:B,""))</f>
        <v/>
      </c>
      <c r="O363" t="str">
        <f>IF(_xlfn.XLOOKUP(F363,PhpAggrFunc!A:A,PhpAggrFunc!B:B,"") = "", _xlfn.XLOOKUP(G363,PhpAggrFunc!A:A,PhpAggrFunc!B:B,""), _xlfn.XLOOKUP(F363,PhpAggrFunc!A:A,PhpAggrFunc!B:B,""))</f>
        <v/>
      </c>
      <c r="P363" t="str">
        <f t="shared" si="32"/>
        <v>UNRESERVED</v>
      </c>
      <c r="Q363" t="str">
        <f t="shared" si="33"/>
        <v>static const String^ TOK_RDB_RECORD_VERSION = "RDB$RECORD_VERSION";</v>
      </c>
      <c r="R363" t="str">
        <f t="shared" si="34"/>
        <v>static const int TOK_RDB_RECORD_VERSION = 643;</v>
      </c>
      <c r="S363" t="str">
        <f t="shared" si="35"/>
        <v>// _Tokens-&gt;Add((String^)GramVals::TOK_RDB_RECORD_VERSION, gcnew Token(GramKeys::TOK_RDB_RECORD_VERSION, EnumTokenCategory::UNRESERVED,BARE_LABEL, i++));</v>
      </c>
    </row>
    <row r="364" spans="1:19" x14ac:dyDescent="0.25">
      <c r="A364" s="3" t="s">
        <v>1728</v>
      </c>
      <c r="B364" s="5">
        <v>731</v>
      </c>
      <c r="C364" s="3" t="s">
        <v>2255</v>
      </c>
      <c r="D364" s="3" t="s">
        <v>881</v>
      </c>
      <c r="F364" t="str">
        <f t="shared" si="30"/>
        <v>RDB_ROLE_IN_USE</v>
      </c>
      <c r="G364" t="s">
        <v>3781</v>
      </c>
      <c r="I364" s="3" t="str">
        <f>IF(_xlfn.XLOOKUP(F364,PgSqlRaw!B:B,PgSqlRaw!E:E,"") = "",_xlfn.XLOOKUP(G364,PgSqlRaw!B:B,PgSqlRaw!E:E,""),_xlfn.XLOOKUP(F364,PgSqlRaw!B:B,PgSqlRaw!E:E,""))</f>
        <v/>
      </c>
      <c r="J364" t="str">
        <f>IF(_xlfn.XLOOKUP(F364,PgSqlRaw!B:B,PgSqlRaw!F:F,"") = "", _xlfn.XLOOKUP(G364,PgSqlRaw!B:B,PgSqlRaw!F:F,""), _xlfn.XLOOKUP(F364,PgSqlRaw!B:B,PgSqlRaw!F:F,""))</f>
        <v/>
      </c>
      <c r="K364" t="str">
        <f t="shared" si="31"/>
        <v>BARE_LABEL</v>
      </c>
      <c r="L364" t="str">
        <f>IF(_xlfn.XLOOKUP(F364,PhpReserved!A:A,PhpReserved!B:B,"") = "", _xlfn.XLOOKUP(G364,PhpReserved!A:A,PhpReserved!B:B,""),_xlfn.XLOOKUP(F364,PhpReserved!A:A,PhpReserved!B:B,""))</f>
        <v/>
      </c>
      <c r="M364" t="str">
        <f>IF(_xlfn.XLOOKUP(F364,PhpFunctions!A:A,PhpFunctions!B:B,"") =  "", _xlfn.XLOOKUP(G364,PhpFunctions!A:A,PhpFunctions!B:B,""), _xlfn.XLOOKUP(F364,PhpFunctions!A:A,PhpFunctions!B:B,""))</f>
        <v/>
      </c>
      <c r="N364" t="str">
        <f>IF(_xlfn.XLOOKUP(F364,PhpParamFunc!A:A,PhpParamFunc!B:B,"") = "", _xlfn.XLOOKUP(G364,PhpParamFunc!A:A,PhpParamFunc!B:B,""), _xlfn.XLOOKUP(F364,PhpParamFunc!A:A,PhpParamFunc!B:B,""))</f>
        <v/>
      </c>
      <c r="O364" t="str">
        <f>IF(_xlfn.XLOOKUP(F364,PhpAggrFunc!A:A,PhpAggrFunc!B:B,"") = "", _xlfn.XLOOKUP(G364,PhpAggrFunc!A:A,PhpAggrFunc!B:B,""), _xlfn.XLOOKUP(F364,PhpAggrFunc!A:A,PhpAggrFunc!B:B,""))</f>
        <v/>
      </c>
      <c r="P364" t="str">
        <f t="shared" si="32"/>
        <v>UNRESERVED</v>
      </c>
      <c r="Q364" t="str">
        <f t="shared" si="33"/>
        <v>static const String^ TOK_RDB_ROLE_IN_USE = "RDB$ROLE_IN_USE";</v>
      </c>
      <c r="R364" t="str">
        <f t="shared" si="34"/>
        <v>static const int TOK_RDB_ROLE_IN_USE = 731;</v>
      </c>
      <c r="S364" t="str">
        <f t="shared" si="35"/>
        <v>// _Tokens-&gt;Add((String^)GramVals::TOK_RDB_ROLE_IN_USE, gcnew Token(GramKeys::TOK_RDB_ROLE_IN_USE, EnumTokenCategory::UNRESERVED,BARE_LABEL, i++));</v>
      </c>
    </row>
    <row r="365" spans="1:19" x14ac:dyDescent="0.25">
      <c r="A365" s="3" t="s">
        <v>1729</v>
      </c>
      <c r="B365" s="5" t="s">
        <v>1265</v>
      </c>
      <c r="C365" s="3" t="s">
        <v>2256</v>
      </c>
      <c r="D365" s="3" t="s">
        <v>881</v>
      </c>
      <c r="F365" t="str">
        <f t="shared" si="30"/>
        <v>RDB_SET_CONTEXT</v>
      </c>
      <c r="G365" t="s">
        <v>3782</v>
      </c>
      <c r="I365" s="3" t="str">
        <f>IF(_xlfn.XLOOKUP(F365,PgSqlRaw!B:B,PgSqlRaw!E:E,"") = "",_xlfn.XLOOKUP(G365,PgSqlRaw!B:B,PgSqlRaw!E:E,""),_xlfn.XLOOKUP(F365,PgSqlRaw!B:B,PgSqlRaw!E:E,""))</f>
        <v/>
      </c>
      <c r="J365" t="str">
        <f>IF(_xlfn.XLOOKUP(F365,PgSqlRaw!B:B,PgSqlRaw!F:F,"") = "", _xlfn.XLOOKUP(G365,PgSqlRaw!B:B,PgSqlRaw!F:F,""), _xlfn.XLOOKUP(F365,PgSqlRaw!B:B,PgSqlRaw!F:F,""))</f>
        <v/>
      </c>
      <c r="K365" t="str">
        <f t="shared" si="31"/>
        <v>BARE_LABEL</v>
      </c>
      <c r="L365" t="str">
        <f>IF(_xlfn.XLOOKUP(F365,PhpReserved!A:A,PhpReserved!B:B,"") = "", _xlfn.XLOOKUP(G365,PhpReserved!A:A,PhpReserved!B:B,""),_xlfn.XLOOKUP(F365,PhpReserved!A:A,PhpReserved!B:B,""))</f>
        <v/>
      </c>
      <c r="M365" t="str">
        <f>IF(_xlfn.XLOOKUP(F365,PhpFunctions!A:A,PhpFunctions!B:B,"") =  "", _xlfn.XLOOKUP(G365,PhpFunctions!A:A,PhpFunctions!B:B,""), _xlfn.XLOOKUP(F365,PhpFunctions!A:A,PhpFunctions!B:B,""))</f>
        <v/>
      </c>
      <c r="N365" t="str">
        <f>IF(_xlfn.XLOOKUP(F365,PhpParamFunc!A:A,PhpParamFunc!B:B,"") = "", _xlfn.XLOOKUP(G365,PhpParamFunc!A:A,PhpParamFunc!B:B,""), _xlfn.XLOOKUP(F365,PhpParamFunc!A:A,PhpParamFunc!B:B,""))</f>
        <v/>
      </c>
      <c r="O365" t="str">
        <f>IF(_xlfn.XLOOKUP(F365,PhpAggrFunc!A:A,PhpAggrFunc!B:B,"") = "", _xlfn.XLOOKUP(G365,PhpAggrFunc!A:A,PhpAggrFunc!B:B,""), _xlfn.XLOOKUP(F365,PhpAggrFunc!A:A,PhpAggrFunc!B:B,""))</f>
        <v/>
      </c>
      <c r="P365" t="str">
        <f t="shared" si="32"/>
        <v>UNRESERVED</v>
      </c>
      <c r="Q365" t="str">
        <f t="shared" si="33"/>
        <v>static const String^ TOK_RDB_SET_CONTEXT = "RDB$SET_CONTEXT";</v>
      </c>
      <c r="R365" t="str">
        <f t="shared" si="34"/>
        <v>static const int TOK_RDB_SET_CONTEXT = 618;</v>
      </c>
      <c r="S365" t="str">
        <f t="shared" si="35"/>
        <v>// _Tokens-&gt;Add((String^)GramVals::TOK_RDB_SET_CONTEXT, gcnew Token(GramKeys::TOK_RDB_SET_CONTEXT, EnumTokenCategory::UNRESERVED,BARE_LABEL, i++));</v>
      </c>
    </row>
    <row r="366" spans="1:19" x14ac:dyDescent="0.25">
      <c r="A366" s="3" t="s">
        <v>1730</v>
      </c>
      <c r="B366" s="5">
        <v>732</v>
      </c>
      <c r="C366" s="3" t="s">
        <v>2257</v>
      </c>
      <c r="D366" s="3" t="s">
        <v>881</v>
      </c>
      <c r="F366" t="str">
        <f t="shared" si="30"/>
        <v>RDB_SYSTEM_PRIVILEGE</v>
      </c>
      <c r="G366" t="s">
        <v>3783</v>
      </c>
      <c r="I366" s="3" t="str">
        <f>IF(_xlfn.XLOOKUP(F366,PgSqlRaw!B:B,PgSqlRaw!E:E,"") = "",_xlfn.XLOOKUP(G366,PgSqlRaw!B:B,PgSqlRaw!E:E,""),_xlfn.XLOOKUP(F366,PgSqlRaw!B:B,PgSqlRaw!E:E,""))</f>
        <v/>
      </c>
      <c r="J366" t="str">
        <f>IF(_xlfn.XLOOKUP(F366,PgSqlRaw!B:B,PgSqlRaw!F:F,"") = "", _xlfn.XLOOKUP(G366,PgSqlRaw!B:B,PgSqlRaw!F:F,""), _xlfn.XLOOKUP(F366,PgSqlRaw!B:B,PgSqlRaw!F:F,""))</f>
        <v/>
      </c>
      <c r="K366" t="str">
        <f t="shared" si="31"/>
        <v>BARE_LABEL</v>
      </c>
      <c r="L366" t="str">
        <f>IF(_xlfn.XLOOKUP(F366,PhpReserved!A:A,PhpReserved!B:B,"") = "", _xlfn.XLOOKUP(G366,PhpReserved!A:A,PhpReserved!B:B,""),_xlfn.XLOOKUP(F366,PhpReserved!A:A,PhpReserved!B:B,""))</f>
        <v/>
      </c>
      <c r="M366" t="str">
        <f>IF(_xlfn.XLOOKUP(F366,PhpFunctions!A:A,PhpFunctions!B:B,"") =  "", _xlfn.XLOOKUP(G366,PhpFunctions!A:A,PhpFunctions!B:B,""), _xlfn.XLOOKUP(F366,PhpFunctions!A:A,PhpFunctions!B:B,""))</f>
        <v/>
      </c>
      <c r="N366" t="str">
        <f>IF(_xlfn.XLOOKUP(F366,PhpParamFunc!A:A,PhpParamFunc!B:B,"") = "", _xlfn.XLOOKUP(G366,PhpParamFunc!A:A,PhpParamFunc!B:B,""), _xlfn.XLOOKUP(F366,PhpParamFunc!A:A,PhpParamFunc!B:B,""))</f>
        <v/>
      </c>
      <c r="O366" t="str">
        <f>IF(_xlfn.XLOOKUP(F366,PhpAggrFunc!A:A,PhpAggrFunc!B:B,"") = "", _xlfn.XLOOKUP(G366,PhpAggrFunc!A:A,PhpAggrFunc!B:B,""), _xlfn.XLOOKUP(F366,PhpAggrFunc!A:A,PhpAggrFunc!B:B,""))</f>
        <v/>
      </c>
      <c r="P366" t="str">
        <f t="shared" si="32"/>
        <v>UNRESERVED</v>
      </c>
      <c r="Q366" t="str">
        <f t="shared" si="33"/>
        <v>static const String^ TOK_RDB_SYSTEM_PRIVILEGE = "RDB$SYSTEM_PRIVILEGE";</v>
      </c>
      <c r="R366" t="str">
        <f t="shared" si="34"/>
        <v>static const int TOK_RDB_SYSTEM_PRIVILEGE = 732;</v>
      </c>
      <c r="S366" t="str">
        <f t="shared" si="35"/>
        <v>// _Tokens-&gt;Add((String^)GramVals::TOK_RDB_SYSTEM_PRIVILEGE, gcnew Token(GramKeys::TOK_RDB_SYSTEM_PRIVILEGE, EnumTokenCategory::UNRESERVED,BARE_LABEL, i++));</v>
      </c>
    </row>
    <row r="367" spans="1:19" x14ac:dyDescent="0.25">
      <c r="A367" s="3" t="s">
        <v>1731</v>
      </c>
      <c r="B367" s="5" t="s">
        <v>1266</v>
      </c>
      <c r="C367" s="3" t="s">
        <v>2258</v>
      </c>
      <c r="D367" s="3" t="s">
        <v>2423</v>
      </c>
      <c r="F367" t="str">
        <f t="shared" si="30"/>
        <v>READ</v>
      </c>
      <c r="G367" t="s">
        <v>3217</v>
      </c>
      <c r="I367" s="3" t="str">
        <f>IF(_xlfn.XLOOKUP(F367,PgSqlRaw!B:B,PgSqlRaw!E:E,"") = "",_xlfn.XLOOKUP(G367,PgSqlRaw!B:B,PgSqlRaw!E:E,""),_xlfn.XLOOKUP(F367,PgSqlRaw!B:B,PgSqlRaw!E:E,""))</f>
        <v/>
      </c>
      <c r="J367" t="str">
        <f>IF(_xlfn.XLOOKUP(F367,PgSqlRaw!B:B,PgSqlRaw!F:F,"") = "", _xlfn.XLOOKUP(G367,PgSqlRaw!B:B,PgSqlRaw!F:F,""), _xlfn.XLOOKUP(F367,PgSqlRaw!B:B,PgSqlRaw!F:F,""))</f>
        <v>BARE_LABEL</v>
      </c>
      <c r="K367" t="str">
        <f t="shared" si="31"/>
        <v>BARE_LABEL</v>
      </c>
      <c r="L367" t="str">
        <f>IF(_xlfn.XLOOKUP(F367,PhpReserved!A:A,PhpReserved!B:B,"") = "", _xlfn.XLOOKUP(G367,PhpReserved!A:A,PhpReserved!B:B,""),_xlfn.XLOOKUP(F367,PhpReserved!A:A,PhpReserved!B:B,""))</f>
        <v>RESERVED</v>
      </c>
      <c r="M367" t="str">
        <f>IF(_xlfn.XLOOKUP(F367,PhpFunctions!A:A,PhpFunctions!B:B,"") =  "", _xlfn.XLOOKUP(G367,PhpFunctions!A:A,PhpFunctions!B:B,""), _xlfn.XLOOKUP(F367,PhpFunctions!A:A,PhpFunctions!B:B,""))</f>
        <v/>
      </c>
      <c r="N367" t="str">
        <f>IF(_xlfn.XLOOKUP(F367,PhpParamFunc!A:A,PhpParamFunc!B:B,"") = "", _xlfn.XLOOKUP(G367,PhpParamFunc!A:A,PhpParamFunc!B:B,""), _xlfn.XLOOKUP(F367,PhpParamFunc!A:A,PhpParamFunc!B:B,""))</f>
        <v/>
      </c>
      <c r="O367" t="str">
        <f>IF(_xlfn.XLOOKUP(F367,PhpAggrFunc!A:A,PhpAggrFunc!B:B,"") = "", _xlfn.XLOOKUP(G367,PhpAggrFunc!A:A,PhpAggrFunc!B:B,""), _xlfn.XLOOKUP(F367,PhpAggrFunc!A:A,PhpAggrFunc!B:B,""))</f>
        <v/>
      </c>
      <c r="P367" t="str">
        <f t="shared" si="32"/>
        <v>RESERVED</v>
      </c>
      <c r="Q367" t="str">
        <f t="shared" si="33"/>
        <v>static const String^ TOK_READ = "READ";</v>
      </c>
      <c r="R367" t="str">
        <f t="shared" si="34"/>
        <v>static const int TOK_READ = 389;</v>
      </c>
      <c r="S367" t="str">
        <f t="shared" si="35"/>
        <v>_Tokens-&gt;Add((String^)GramVals::TOK_READ, gcnew Token(GramKeys::TOK_READ, EnumTokenCategory::RESERVED,BARE_LABEL, i++));</v>
      </c>
    </row>
    <row r="368" spans="1:19" x14ac:dyDescent="0.25">
      <c r="A368" s="3" t="s">
        <v>1732</v>
      </c>
      <c r="B368" s="5" t="s">
        <v>1267</v>
      </c>
      <c r="C368" s="3" t="s">
        <v>2259</v>
      </c>
      <c r="D368" s="3" t="s">
        <v>881</v>
      </c>
      <c r="F368" t="str">
        <f t="shared" si="30"/>
        <v>REAL</v>
      </c>
      <c r="G368" t="s">
        <v>3218</v>
      </c>
      <c r="I368" s="3" t="str">
        <f>IF(_xlfn.XLOOKUP(F368,PgSqlRaw!B:B,PgSqlRaw!E:E,"") = "",_xlfn.XLOOKUP(G368,PgSqlRaw!B:B,PgSqlRaw!E:E,""),_xlfn.XLOOKUP(F368,PgSqlRaw!B:B,PgSqlRaw!E:E,""))</f>
        <v>COLNAME_KEYWORD</v>
      </c>
      <c r="J368" t="str">
        <f>IF(_xlfn.XLOOKUP(F368,PgSqlRaw!B:B,PgSqlRaw!F:F,"") = "", _xlfn.XLOOKUP(G368,PgSqlRaw!B:B,PgSqlRaw!F:F,""), _xlfn.XLOOKUP(F368,PgSqlRaw!B:B,PgSqlRaw!F:F,""))</f>
        <v>BARE_LABEL</v>
      </c>
      <c r="K368" t="str">
        <f t="shared" si="31"/>
        <v>BARE_LABEL</v>
      </c>
      <c r="L368" t="str">
        <f>IF(_xlfn.XLOOKUP(F368,PhpReserved!A:A,PhpReserved!B:B,"") = "", _xlfn.XLOOKUP(G368,PhpReserved!A:A,PhpReserved!B:B,""),_xlfn.XLOOKUP(F368,PhpReserved!A:A,PhpReserved!B:B,""))</f>
        <v>RESERVED</v>
      </c>
      <c r="M368" t="str">
        <f>IF(_xlfn.XLOOKUP(F368,PhpFunctions!A:A,PhpFunctions!B:B,"") =  "", _xlfn.XLOOKUP(G368,PhpFunctions!A:A,PhpFunctions!B:B,""), _xlfn.XLOOKUP(F368,PhpFunctions!A:A,PhpFunctions!B:B,""))</f>
        <v/>
      </c>
      <c r="N368" t="str">
        <f>IF(_xlfn.XLOOKUP(F368,PhpParamFunc!A:A,PhpParamFunc!B:B,"") = "", _xlfn.XLOOKUP(G368,PhpParamFunc!A:A,PhpParamFunc!B:B,""), _xlfn.XLOOKUP(F368,PhpParamFunc!A:A,PhpParamFunc!B:B,""))</f>
        <v/>
      </c>
      <c r="O368" t="str">
        <f>IF(_xlfn.XLOOKUP(F368,PhpAggrFunc!A:A,PhpAggrFunc!B:B,"") = "", _xlfn.XLOOKUP(G368,PhpAggrFunc!A:A,PhpAggrFunc!B:B,""), _xlfn.XLOOKUP(F368,PhpAggrFunc!A:A,PhpAggrFunc!B:B,""))</f>
        <v/>
      </c>
      <c r="P368" t="str">
        <f t="shared" si="32"/>
        <v>RESERVED</v>
      </c>
      <c r="Q368" t="str">
        <f t="shared" si="33"/>
        <v>static const String^ TOK_REAL = "REAL";</v>
      </c>
      <c r="R368" t="str">
        <f t="shared" si="34"/>
        <v>static const int TOK_REAL = 390;</v>
      </c>
      <c r="S368" t="str">
        <f t="shared" si="35"/>
        <v>_Tokens-&gt;Add((String^)GramVals::TOK_REAL, gcnew Token(GramKeys::TOK_REAL, EnumTokenCategory::RESERVED,BARE_LABEL, i++));</v>
      </c>
    </row>
    <row r="369" spans="1:19" x14ac:dyDescent="0.25">
      <c r="A369" s="3" t="s">
        <v>1733</v>
      </c>
      <c r="B369" s="5" t="s">
        <v>1268</v>
      </c>
      <c r="C369" s="3" t="s">
        <v>2260</v>
      </c>
      <c r="D369" s="3" t="s">
        <v>881</v>
      </c>
      <c r="F369" t="str">
        <f t="shared" si="30"/>
        <v>RECREATE</v>
      </c>
      <c r="G369" t="s">
        <v>3784</v>
      </c>
      <c r="I369" s="3" t="str">
        <f>IF(_xlfn.XLOOKUP(F369,PgSqlRaw!B:B,PgSqlRaw!E:E,"") = "",_xlfn.XLOOKUP(G369,PgSqlRaw!B:B,PgSqlRaw!E:E,""),_xlfn.XLOOKUP(F369,PgSqlRaw!B:B,PgSqlRaw!E:E,""))</f>
        <v/>
      </c>
      <c r="J369" t="str">
        <f>IF(_xlfn.XLOOKUP(F369,PgSqlRaw!B:B,PgSqlRaw!F:F,"") = "", _xlfn.XLOOKUP(G369,PgSqlRaw!B:B,PgSqlRaw!F:F,""), _xlfn.XLOOKUP(F369,PgSqlRaw!B:B,PgSqlRaw!F:F,""))</f>
        <v/>
      </c>
      <c r="K369" t="str">
        <f t="shared" si="31"/>
        <v>BARE_LABEL</v>
      </c>
      <c r="L369" t="str">
        <f>IF(_xlfn.XLOOKUP(F369,PhpReserved!A:A,PhpReserved!B:B,"") = "", _xlfn.XLOOKUP(G369,PhpReserved!A:A,PhpReserved!B:B,""),_xlfn.XLOOKUP(F369,PhpReserved!A:A,PhpReserved!B:B,""))</f>
        <v/>
      </c>
      <c r="M369" t="str">
        <f>IF(_xlfn.XLOOKUP(F369,PhpFunctions!A:A,PhpFunctions!B:B,"") =  "", _xlfn.XLOOKUP(G369,PhpFunctions!A:A,PhpFunctions!B:B,""), _xlfn.XLOOKUP(F369,PhpFunctions!A:A,PhpFunctions!B:B,""))</f>
        <v/>
      </c>
      <c r="N369" t="str">
        <f>IF(_xlfn.XLOOKUP(F369,PhpParamFunc!A:A,PhpParamFunc!B:B,"") = "", _xlfn.XLOOKUP(G369,PhpParamFunc!A:A,PhpParamFunc!B:B,""), _xlfn.XLOOKUP(F369,PhpParamFunc!A:A,PhpParamFunc!B:B,""))</f>
        <v/>
      </c>
      <c r="O369" t="str">
        <f>IF(_xlfn.XLOOKUP(F369,PhpAggrFunc!A:A,PhpAggrFunc!B:B,"") = "", _xlfn.XLOOKUP(G369,PhpAggrFunc!A:A,PhpAggrFunc!B:B,""), _xlfn.XLOOKUP(F369,PhpAggrFunc!A:A,PhpAggrFunc!B:B,""))</f>
        <v/>
      </c>
      <c r="P369" t="str">
        <f t="shared" si="32"/>
        <v>UNRESERVED</v>
      </c>
      <c r="Q369" t="str">
        <f t="shared" si="33"/>
        <v>static const String^ TOK_RECREATE = "RECREATE";</v>
      </c>
      <c r="R369" t="str">
        <f t="shared" si="34"/>
        <v>static const int TOK_RECREATE = 473;</v>
      </c>
      <c r="S369" t="str">
        <f t="shared" si="35"/>
        <v>// _Tokens-&gt;Add((String^)GramVals::TOK_RECREATE, gcnew Token(GramKeys::TOK_RECREATE, EnumTokenCategory::UNRESERVED,BARE_LABEL, i++));</v>
      </c>
    </row>
    <row r="370" spans="1:19" x14ac:dyDescent="0.25">
      <c r="A370" s="3" t="s">
        <v>1734</v>
      </c>
      <c r="B370" s="5" t="s">
        <v>1269</v>
      </c>
      <c r="C370" s="3" t="s">
        <v>2261</v>
      </c>
      <c r="D370" s="3" t="s">
        <v>881</v>
      </c>
      <c r="F370" t="str">
        <f t="shared" si="30"/>
        <v>RECURSIVE</v>
      </c>
      <c r="G370" t="s">
        <v>3515</v>
      </c>
      <c r="I370" s="3" t="str">
        <f>IF(_xlfn.XLOOKUP(F370,PgSqlRaw!B:B,PgSqlRaw!E:E,"") = "",_xlfn.XLOOKUP(G370,PgSqlRaw!B:B,PgSqlRaw!E:E,""),_xlfn.XLOOKUP(F370,PgSqlRaw!B:B,PgSqlRaw!E:E,""))</f>
        <v/>
      </c>
      <c r="J370" t="str">
        <f>IF(_xlfn.XLOOKUP(F370,PgSqlRaw!B:B,PgSqlRaw!F:F,"") = "", _xlfn.XLOOKUP(G370,PgSqlRaw!B:B,PgSqlRaw!F:F,""), _xlfn.XLOOKUP(F370,PgSqlRaw!B:B,PgSqlRaw!F:F,""))</f>
        <v>BARE_LABEL</v>
      </c>
      <c r="K370" t="str">
        <f t="shared" si="31"/>
        <v>BARE_LABEL</v>
      </c>
      <c r="L370" t="str">
        <f>IF(_xlfn.XLOOKUP(F370,PhpReserved!A:A,PhpReserved!B:B,"") = "", _xlfn.XLOOKUP(G370,PhpReserved!A:A,PhpReserved!B:B,""),_xlfn.XLOOKUP(F370,PhpReserved!A:A,PhpReserved!B:B,""))</f>
        <v/>
      </c>
      <c r="M370" t="str">
        <f>IF(_xlfn.XLOOKUP(F370,PhpFunctions!A:A,PhpFunctions!B:B,"") =  "", _xlfn.XLOOKUP(G370,PhpFunctions!A:A,PhpFunctions!B:B,""), _xlfn.XLOOKUP(F370,PhpFunctions!A:A,PhpFunctions!B:B,""))</f>
        <v/>
      </c>
      <c r="N370" t="str">
        <f>IF(_xlfn.XLOOKUP(F370,PhpParamFunc!A:A,PhpParamFunc!B:B,"") = "", _xlfn.XLOOKUP(G370,PhpParamFunc!A:A,PhpParamFunc!B:B,""), _xlfn.XLOOKUP(F370,PhpParamFunc!A:A,PhpParamFunc!B:B,""))</f>
        <v/>
      </c>
      <c r="O370" t="str">
        <f>IF(_xlfn.XLOOKUP(F370,PhpAggrFunc!A:A,PhpAggrFunc!B:B,"") = "", _xlfn.XLOOKUP(G370,PhpAggrFunc!A:A,PhpAggrFunc!B:B,""), _xlfn.XLOOKUP(F370,PhpAggrFunc!A:A,PhpAggrFunc!B:B,""))</f>
        <v/>
      </c>
      <c r="P370" t="str">
        <f t="shared" si="32"/>
        <v>UNRESERVED</v>
      </c>
      <c r="Q370" t="str">
        <f t="shared" si="33"/>
        <v>static const String^ TOK_RECURSIVE = "RECURSIVE";</v>
      </c>
      <c r="R370" t="str">
        <f t="shared" si="34"/>
        <v>static const int TOK_RECURSIVE = 573;</v>
      </c>
      <c r="S370" t="str">
        <f t="shared" si="35"/>
        <v>// _Tokens-&gt;Add((String^)GramVals::TOK_RECURSIVE, gcnew Token(GramKeys::TOK_RECURSIVE, EnumTokenCategory::UNRESERVED,BARE_LABEL, i++));</v>
      </c>
    </row>
    <row r="371" spans="1:19" x14ac:dyDescent="0.25">
      <c r="A371" s="3" t="s">
        <v>1735</v>
      </c>
      <c r="B371" s="5" t="s">
        <v>1270</v>
      </c>
      <c r="C371" s="3" t="s">
        <v>2262</v>
      </c>
      <c r="D371" s="3" t="s">
        <v>881</v>
      </c>
      <c r="F371" t="str">
        <f t="shared" si="30"/>
        <v>REFERENCES</v>
      </c>
      <c r="G371" t="s">
        <v>3219</v>
      </c>
      <c r="I371" s="3" t="str">
        <f>IF(_xlfn.XLOOKUP(F371,PgSqlRaw!B:B,PgSqlRaw!E:E,"") = "",_xlfn.XLOOKUP(G371,PgSqlRaw!B:B,PgSqlRaw!E:E,""),_xlfn.XLOOKUP(F371,PgSqlRaw!B:B,PgSqlRaw!E:E,""))</f>
        <v>RESERVED</v>
      </c>
      <c r="J371" t="str">
        <f>IF(_xlfn.XLOOKUP(F371,PgSqlRaw!B:B,PgSqlRaw!F:F,"") = "", _xlfn.XLOOKUP(G371,PgSqlRaw!B:B,PgSqlRaw!F:F,""), _xlfn.XLOOKUP(F371,PgSqlRaw!B:B,PgSqlRaw!F:F,""))</f>
        <v>BARE_LABEL</v>
      </c>
      <c r="K371" t="str">
        <f t="shared" si="31"/>
        <v>BARE_LABEL</v>
      </c>
      <c r="L371" t="str">
        <f>IF(_xlfn.XLOOKUP(F371,PhpReserved!A:A,PhpReserved!B:B,"") = "", _xlfn.XLOOKUP(G371,PhpReserved!A:A,PhpReserved!B:B,""),_xlfn.XLOOKUP(F371,PhpReserved!A:A,PhpReserved!B:B,""))</f>
        <v>RESERVED</v>
      </c>
      <c r="M371" t="str">
        <f>IF(_xlfn.XLOOKUP(F371,PhpFunctions!A:A,PhpFunctions!B:B,"") =  "", _xlfn.XLOOKUP(G371,PhpFunctions!A:A,PhpFunctions!B:B,""), _xlfn.XLOOKUP(F371,PhpFunctions!A:A,PhpFunctions!B:B,""))</f>
        <v/>
      </c>
      <c r="N371" t="str">
        <f>IF(_xlfn.XLOOKUP(F371,PhpParamFunc!A:A,PhpParamFunc!B:B,"") = "", _xlfn.XLOOKUP(G371,PhpParamFunc!A:A,PhpParamFunc!B:B,""), _xlfn.XLOOKUP(F371,PhpParamFunc!A:A,PhpParamFunc!B:B,""))</f>
        <v/>
      </c>
      <c r="O371" t="str">
        <f>IF(_xlfn.XLOOKUP(F371,PhpAggrFunc!A:A,PhpAggrFunc!B:B,"") = "", _xlfn.XLOOKUP(G371,PhpAggrFunc!A:A,PhpAggrFunc!B:B,""), _xlfn.XLOOKUP(F371,PhpAggrFunc!A:A,PhpAggrFunc!B:B,""))</f>
        <v/>
      </c>
      <c r="P371" t="str">
        <f t="shared" si="32"/>
        <v>RESERVED</v>
      </c>
      <c r="Q371" t="str">
        <f t="shared" si="33"/>
        <v>static const String^ TOK_REFERENCES = "REFERENCES";</v>
      </c>
      <c r="R371" t="str">
        <f t="shared" si="34"/>
        <v>static const int TOK_REFERENCES = 391;</v>
      </c>
      <c r="S371" t="str">
        <f t="shared" si="35"/>
        <v>_Tokens-&gt;Add((String^)GramVals::TOK_REFERENCES, gcnew Token(GramKeys::TOK_REFERENCES, EnumTokenCategory::RESERVED,BARE_LABEL, i++));</v>
      </c>
    </row>
    <row r="372" spans="1:19" x14ac:dyDescent="0.25">
      <c r="A372" s="3" t="s">
        <v>1736</v>
      </c>
      <c r="B372" s="5">
        <v>733</v>
      </c>
      <c r="C372" s="3" t="s">
        <v>2263</v>
      </c>
      <c r="D372" s="3" t="s">
        <v>881</v>
      </c>
      <c r="F372" t="str">
        <f t="shared" si="30"/>
        <v>REGR_AVGX</v>
      </c>
      <c r="G372" t="s">
        <v>3785</v>
      </c>
      <c r="I372" s="3" t="str">
        <f>IF(_xlfn.XLOOKUP(F372,PgSqlRaw!B:B,PgSqlRaw!E:E,"") = "",_xlfn.XLOOKUP(G372,PgSqlRaw!B:B,PgSqlRaw!E:E,""),_xlfn.XLOOKUP(F372,PgSqlRaw!B:B,PgSqlRaw!E:E,""))</f>
        <v/>
      </c>
      <c r="J372" t="str">
        <f>IF(_xlfn.XLOOKUP(F372,PgSqlRaw!B:B,PgSqlRaw!F:F,"") = "", _xlfn.XLOOKUP(G372,PgSqlRaw!B:B,PgSqlRaw!F:F,""), _xlfn.XLOOKUP(F372,PgSqlRaw!B:B,PgSqlRaw!F:F,""))</f>
        <v/>
      </c>
      <c r="K372" t="str">
        <f t="shared" si="31"/>
        <v>BARE_LABEL</v>
      </c>
      <c r="L372" t="str">
        <f>IF(_xlfn.XLOOKUP(F372,PhpReserved!A:A,PhpReserved!B:B,"") = "", _xlfn.XLOOKUP(G372,PhpReserved!A:A,PhpReserved!B:B,""),_xlfn.XLOOKUP(F372,PhpReserved!A:A,PhpReserved!B:B,""))</f>
        <v/>
      </c>
      <c r="M372" t="str">
        <f>IF(_xlfn.XLOOKUP(F372,PhpFunctions!A:A,PhpFunctions!B:B,"") =  "", _xlfn.XLOOKUP(G372,PhpFunctions!A:A,PhpFunctions!B:B,""), _xlfn.XLOOKUP(F372,PhpFunctions!A:A,PhpFunctions!B:B,""))</f>
        <v/>
      </c>
      <c r="N372" t="str">
        <f>IF(_xlfn.XLOOKUP(F372,PhpParamFunc!A:A,PhpParamFunc!B:B,"") = "", _xlfn.XLOOKUP(G372,PhpParamFunc!A:A,PhpParamFunc!B:B,""), _xlfn.XLOOKUP(F372,PhpParamFunc!A:A,PhpParamFunc!B:B,""))</f>
        <v/>
      </c>
      <c r="O372" t="str">
        <f>IF(_xlfn.XLOOKUP(F372,PhpAggrFunc!A:A,PhpAggrFunc!B:B,"") = "", _xlfn.XLOOKUP(G372,PhpAggrFunc!A:A,PhpAggrFunc!B:B,""), _xlfn.XLOOKUP(F372,PhpAggrFunc!A:A,PhpAggrFunc!B:B,""))</f>
        <v/>
      </c>
      <c r="P372" t="str">
        <f t="shared" si="32"/>
        <v>UNRESERVED</v>
      </c>
      <c r="Q372" t="str">
        <f t="shared" si="33"/>
        <v>static const String^ TOK_REGR_AVGX = "REGR_AVGX";</v>
      </c>
      <c r="R372" t="str">
        <f t="shared" si="34"/>
        <v>static const int TOK_REGR_AVGX = 733;</v>
      </c>
      <c r="S372" t="str">
        <f t="shared" si="35"/>
        <v>// _Tokens-&gt;Add((String^)GramVals::TOK_REGR_AVGX, gcnew Token(GramKeys::TOK_REGR_AVGX, EnumTokenCategory::UNRESERVED,BARE_LABEL, i++));</v>
      </c>
    </row>
    <row r="373" spans="1:19" x14ac:dyDescent="0.25">
      <c r="A373" s="3" t="s">
        <v>1737</v>
      </c>
      <c r="B373" s="5">
        <v>734</v>
      </c>
      <c r="C373" s="3" t="s">
        <v>2264</v>
      </c>
      <c r="D373" s="3" t="s">
        <v>881</v>
      </c>
      <c r="F373" t="str">
        <f t="shared" si="30"/>
        <v>REGR_AVGY</v>
      </c>
      <c r="G373" t="s">
        <v>3786</v>
      </c>
      <c r="I373" s="3" t="str">
        <f>IF(_xlfn.XLOOKUP(F373,PgSqlRaw!B:B,PgSqlRaw!E:E,"") = "",_xlfn.XLOOKUP(G373,PgSqlRaw!B:B,PgSqlRaw!E:E,""),_xlfn.XLOOKUP(F373,PgSqlRaw!B:B,PgSqlRaw!E:E,""))</f>
        <v/>
      </c>
      <c r="J373" t="str">
        <f>IF(_xlfn.XLOOKUP(F373,PgSqlRaw!B:B,PgSqlRaw!F:F,"") = "", _xlfn.XLOOKUP(G373,PgSqlRaw!B:B,PgSqlRaw!F:F,""), _xlfn.XLOOKUP(F373,PgSqlRaw!B:B,PgSqlRaw!F:F,""))</f>
        <v/>
      </c>
      <c r="K373" t="str">
        <f t="shared" si="31"/>
        <v>BARE_LABEL</v>
      </c>
      <c r="L373" t="str">
        <f>IF(_xlfn.XLOOKUP(F373,PhpReserved!A:A,PhpReserved!B:B,"") = "", _xlfn.XLOOKUP(G373,PhpReserved!A:A,PhpReserved!B:B,""),_xlfn.XLOOKUP(F373,PhpReserved!A:A,PhpReserved!B:B,""))</f>
        <v/>
      </c>
      <c r="M373" t="str">
        <f>IF(_xlfn.XLOOKUP(F373,PhpFunctions!A:A,PhpFunctions!B:B,"") =  "", _xlfn.XLOOKUP(G373,PhpFunctions!A:A,PhpFunctions!B:B,""), _xlfn.XLOOKUP(F373,PhpFunctions!A:A,PhpFunctions!B:B,""))</f>
        <v/>
      </c>
      <c r="N373" t="str">
        <f>IF(_xlfn.XLOOKUP(F373,PhpParamFunc!A:A,PhpParamFunc!B:B,"") = "", _xlfn.XLOOKUP(G373,PhpParamFunc!A:A,PhpParamFunc!B:B,""), _xlfn.XLOOKUP(F373,PhpParamFunc!A:A,PhpParamFunc!B:B,""))</f>
        <v/>
      </c>
      <c r="O373" t="str">
        <f>IF(_xlfn.XLOOKUP(F373,PhpAggrFunc!A:A,PhpAggrFunc!B:B,"") = "", _xlfn.XLOOKUP(G373,PhpAggrFunc!A:A,PhpAggrFunc!B:B,""), _xlfn.XLOOKUP(F373,PhpAggrFunc!A:A,PhpAggrFunc!B:B,""))</f>
        <v/>
      </c>
      <c r="P373" t="str">
        <f t="shared" si="32"/>
        <v>UNRESERVED</v>
      </c>
      <c r="Q373" t="str">
        <f t="shared" si="33"/>
        <v>static const String^ TOK_REGR_AVGY = "REGR_AVGY";</v>
      </c>
      <c r="R373" t="str">
        <f t="shared" si="34"/>
        <v>static const int TOK_REGR_AVGY = 734;</v>
      </c>
      <c r="S373" t="str">
        <f t="shared" si="35"/>
        <v>// _Tokens-&gt;Add((String^)GramVals::TOK_REGR_AVGY, gcnew Token(GramKeys::TOK_REGR_AVGY, EnumTokenCategory::UNRESERVED,BARE_LABEL, i++));</v>
      </c>
    </row>
    <row r="374" spans="1:19" x14ac:dyDescent="0.25">
      <c r="A374" s="3" t="s">
        <v>1738</v>
      </c>
      <c r="B374" s="5">
        <v>735</v>
      </c>
      <c r="C374" s="3" t="s">
        <v>2265</v>
      </c>
      <c r="D374" s="3" t="s">
        <v>881</v>
      </c>
      <c r="F374" t="str">
        <f t="shared" si="30"/>
        <v>REGR_COUNT</v>
      </c>
      <c r="G374" t="s">
        <v>3787</v>
      </c>
      <c r="I374" s="3" t="str">
        <f>IF(_xlfn.XLOOKUP(F374,PgSqlRaw!B:B,PgSqlRaw!E:E,"") = "",_xlfn.XLOOKUP(G374,PgSqlRaw!B:B,PgSqlRaw!E:E,""),_xlfn.XLOOKUP(F374,PgSqlRaw!B:B,PgSqlRaw!E:E,""))</f>
        <v/>
      </c>
      <c r="J374" t="str">
        <f>IF(_xlfn.XLOOKUP(F374,PgSqlRaw!B:B,PgSqlRaw!F:F,"") = "", _xlfn.XLOOKUP(G374,PgSqlRaw!B:B,PgSqlRaw!F:F,""), _xlfn.XLOOKUP(F374,PgSqlRaw!B:B,PgSqlRaw!F:F,""))</f>
        <v/>
      </c>
      <c r="K374" t="str">
        <f t="shared" si="31"/>
        <v>BARE_LABEL</v>
      </c>
      <c r="L374" t="str">
        <f>IF(_xlfn.XLOOKUP(F374,PhpReserved!A:A,PhpReserved!B:B,"") = "", _xlfn.XLOOKUP(G374,PhpReserved!A:A,PhpReserved!B:B,""),_xlfn.XLOOKUP(F374,PhpReserved!A:A,PhpReserved!B:B,""))</f>
        <v/>
      </c>
      <c r="M374" t="str">
        <f>IF(_xlfn.XLOOKUP(F374,PhpFunctions!A:A,PhpFunctions!B:B,"") =  "", _xlfn.XLOOKUP(G374,PhpFunctions!A:A,PhpFunctions!B:B,""), _xlfn.XLOOKUP(F374,PhpFunctions!A:A,PhpFunctions!B:B,""))</f>
        <v/>
      </c>
      <c r="N374" t="str">
        <f>IF(_xlfn.XLOOKUP(F374,PhpParamFunc!A:A,PhpParamFunc!B:B,"") = "", _xlfn.XLOOKUP(G374,PhpParamFunc!A:A,PhpParamFunc!B:B,""), _xlfn.XLOOKUP(F374,PhpParamFunc!A:A,PhpParamFunc!B:B,""))</f>
        <v/>
      </c>
      <c r="O374" t="str">
        <f>IF(_xlfn.XLOOKUP(F374,PhpAggrFunc!A:A,PhpAggrFunc!B:B,"") = "", _xlfn.XLOOKUP(G374,PhpAggrFunc!A:A,PhpAggrFunc!B:B,""), _xlfn.XLOOKUP(F374,PhpAggrFunc!A:A,PhpAggrFunc!B:B,""))</f>
        <v/>
      </c>
      <c r="P374" t="str">
        <f t="shared" si="32"/>
        <v>UNRESERVED</v>
      </c>
      <c r="Q374" t="str">
        <f t="shared" si="33"/>
        <v>static const String^ TOK_REGR_COUNT = "REGR_COUNT";</v>
      </c>
      <c r="R374" t="str">
        <f t="shared" si="34"/>
        <v>static const int TOK_REGR_COUNT = 735;</v>
      </c>
      <c r="S374" t="str">
        <f t="shared" si="35"/>
        <v>// _Tokens-&gt;Add((String^)GramVals::TOK_REGR_COUNT, gcnew Token(GramKeys::TOK_REGR_COUNT, EnumTokenCategory::UNRESERVED,BARE_LABEL, i++));</v>
      </c>
    </row>
    <row r="375" spans="1:19" x14ac:dyDescent="0.25">
      <c r="A375" s="3" t="s">
        <v>1739</v>
      </c>
      <c r="B375" s="5">
        <v>736</v>
      </c>
      <c r="C375" s="3" t="s">
        <v>2266</v>
      </c>
      <c r="D375" s="3" t="s">
        <v>881</v>
      </c>
      <c r="F375" t="str">
        <f t="shared" si="30"/>
        <v>REGR_INTERCEPT</v>
      </c>
      <c r="G375" t="s">
        <v>3788</v>
      </c>
      <c r="I375" s="3" t="str">
        <f>IF(_xlfn.XLOOKUP(F375,PgSqlRaw!B:B,PgSqlRaw!E:E,"") = "",_xlfn.XLOOKUP(G375,PgSqlRaw!B:B,PgSqlRaw!E:E,""),_xlfn.XLOOKUP(F375,PgSqlRaw!B:B,PgSqlRaw!E:E,""))</f>
        <v/>
      </c>
      <c r="J375" t="str">
        <f>IF(_xlfn.XLOOKUP(F375,PgSqlRaw!B:B,PgSqlRaw!F:F,"") = "", _xlfn.XLOOKUP(G375,PgSqlRaw!B:B,PgSqlRaw!F:F,""), _xlfn.XLOOKUP(F375,PgSqlRaw!B:B,PgSqlRaw!F:F,""))</f>
        <v/>
      </c>
      <c r="K375" t="str">
        <f t="shared" si="31"/>
        <v>BARE_LABEL</v>
      </c>
      <c r="L375" t="str">
        <f>IF(_xlfn.XLOOKUP(F375,PhpReserved!A:A,PhpReserved!B:B,"") = "", _xlfn.XLOOKUP(G375,PhpReserved!A:A,PhpReserved!B:B,""),_xlfn.XLOOKUP(F375,PhpReserved!A:A,PhpReserved!B:B,""))</f>
        <v/>
      </c>
      <c r="M375" t="str">
        <f>IF(_xlfn.XLOOKUP(F375,PhpFunctions!A:A,PhpFunctions!B:B,"") =  "", _xlfn.XLOOKUP(G375,PhpFunctions!A:A,PhpFunctions!B:B,""), _xlfn.XLOOKUP(F375,PhpFunctions!A:A,PhpFunctions!B:B,""))</f>
        <v/>
      </c>
      <c r="N375" t="str">
        <f>IF(_xlfn.XLOOKUP(F375,PhpParamFunc!A:A,PhpParamFunc!B:B,"") = "", _xlfn.XLOOKUP(G375,PhpParamFunc!A:A,PhpParamFunc!B:B,""), _xlfn.XLOOKUP(F375,PhpParamFunc!A:A,PhpParamFunc!B:B,""))</f>
        <v/>
      </c>
      <c r="O375" t="str">
        <f>IF(_xlfn.XLOOKUP(F375,PhpAggrFunc!A:A,PhpAggrFunc!B:B,"") = "", _xlfn.XLOOKUP(G375,PhpAggrFunc!A:A,PhpAggrFunc!B:B,""), _xlfn.XLOOKUP(F375,PhpAggrFunc!A:A,PhpAggrFunc!B:B,""))</f>
        <v/>
      </c>
      <c r="P375" t="str">
        <f t="shared" si="32"/>
        <v>UNRESERVED</v>
      </c>
      <c r="Q375" t="str">
        <f t="shared" si="33"/>
        <v>static const String^ TOK_REGR_INTERCEPT = "REGR_INTERCEPT";</v>
      </c>
      <c r="R375" t="str">
        <f t="shared" si="34"/>
        <v>static const int TOK_REGR_INTERCEPT = 736;</v>
      </c>
      <c r="S375" t="str">
        <f t="shared" si="35"/>
        <v>// _Tokens-&gt;Add((String^)GramVals::TOK_REGR_INTERCEPT, gcnew Token(GramKeys::TOK_REGR_INTERCEPT, EnumTokenCategory::UNRESERVED,BARE_LABEL, i++));</v>
      </c>
    </row>
    <row r="376" spans="1:19" x14ac:dyDescent="0.25">
      <c r="A376" s="3" t="s">
        <v>1740</v>
      </c>
      <c r="B376" s="5">
        <v>737</v>
      </c>
      <c r="C376" s="3" t="s">
        <v>2267</v>
      </c>
      <c r="D376" s="3" t="s">
        <v>881</v>
      </c>
      <c r="F376" t="str">
        <f t="shared" si="30"/>
        <v>REGR_R2</v>
      </c>
      <c r="G376" t="s">
        <v>3789</v>
      </c>
      <c r="I376" s="3" t="str">
        <f>IF(_xlfn.XLOOKUP(F376,PgSqlRaw!B:B,PgSqlRaw!E:E,"") = "",_xlfn.XLOOKUP(G376,PgSqlRaw!B:B,PgSqlRaw!E:E,""),_xlfn.XLOOKUP(F376,PgSqlRaw!B:B,PgSqlRaw!E:E,""))</f>
        <v/>
      </c>
      <c r="J376" t="str">
        <f>IF(_xlfn.XLOOKUP(F376,PgSqlRaw!B:B,PgSqlRaw!F:F,"") = "", _xlfn.XLOOKUP(G376,PgSqlRaw!B:B,PgSqlRaw!F:F,""), _xlfn.XLOOKUP(F376,PgSqlRaw!B:B,PgSqlRaw!F:F,""))</f>
        <v/>
      </c>
      <c r="K376" t="str">
        <f t="shared" si="31"/>
        <v>BARE_LABEL</v>
      </c>
      <c r="L376" t="str">
        <f>IF(_xlfn.XLOOKUP(F376,PhpReserved!A:A,PhpReserved!B:B,"") = "", _xlfn.XLOOKUP(G376,PhpReserved!A:A,PhpReserved!B:B,""),_xlfn.XLOOKUP(F376,PhpReserved!A:A,PhpReserved!B:B,""))</f>
        <v/>
      </c>
      <c r="M376" t="str">
        <f>IF(_xlfn.XLOOKUP(F376,PhpFunctions!A:A,PhpFunctions!B:B,"") =  "", _xlfn.XLOOKUP(G376,PhpFunctions!A:A,PhpFunctions!B:B,""), _xlfn.XLOOKUP(F376,PhpFunctions!A:A,PhpFunctions!B:B,""))</f>
        <v/>
      </c>
      <c r="N376" t="str">
        <f>IF(_xlfn.XLOOKUP(F376,PhpParamFunc!A:A,PhpParamFunc!B:B,"") = "", _xlfn.XLOOKUP(G376,PhpParamFunc!A:A,PhpParamFunc!B:B,""), _xlfn.XLOOKUP(F376,PhpParamFunc!A:A,PhpParamFunc!B:B,""))</f>
        <v/>
      </c>
      <c r="O376" t="str">
        <f>IF(_xlfn.XLOOKUP(F376,PhpAggrFunc!A:A,PhpAggrFunc!B:B,"") = "", _xlfn.XLOOKUP(G376,PhpAggrFunc!A:A,PhpAggrFunc!B:B,""), _xlfn.XLOOKUP(F376,PhpAggrFunc!A:A,PhpAggrFunc!B:B,""))</f>
        <v/>
      </c>
      <c r="P376" t="str">
        <f t="shared" si="32"/>
        <v>UNRESERVED</v>
      </c>
      <c r="Q376" t="str">
        <f t="shared" si="33"/>
        <v>static const String^ TOK_REGR_R2 = "REGR_R2";</v>
      </c>
      <c r="R376" t="str">
        <f t="shared" si="34"/>
        <v>static const int TOK_REGR_R2 = 737;</v>
      </c>
      <c r="S376" t="str">
        <f t="shared" si="35"/>
        <v>// _Tokens-&gt;Add((String^)GramVals::TOK_REGR_R2, gcnew Token(GramKeys::TOK_REGR_R2, EnumTokenCategory::UNRESERVED,BARE_LABEL, i++));</v>
      </c>
    </row>
    <row r="377" spans="1:19" x14ac:dyDescent="0.25">
      <c r="A377" s="3" t="s">
        <v>1741</v>
      </c>
      <c r="B377" s="5">
        <v>738</v>
      </c>
      <c r="C377" s="3" t="s">
        <v>2268</v>
      </c>
      <c r="D377" s="3" t="s">
        <v>881</v>
      </c>
      <c r="F377" t="str">
        <f t="shared" si="30"/>
        <v>REGR_SLOPE</v>
      </c>
      <c r="G377" t="s">
        <v>3790</v>
      </c>
      <c r="I377" s="3" t="str">
        <f>IF(_xlfn.XLOOKUP(F377,PgSqlRaw!B:B,PgSqlRaw!E:E,"") = "",_xlfn.XLOOKUP(G377,PgSqlRaw!B:B,PgSqlRaw!E:E,""),_xlfn.XLOOKUP(F377,PgSqlRaw!B:B,PgSqlRaw!E:E,""))</f>
        <v/>
      </c>
      <c r="J377" t="str">
        <f>IF(_xlfn.XLOOKUP(F377,PgSqlRaw!B:B,PgSqlRaw!F:F,"") = "", _xlfn.XLOOKUP(G377,PgSqlRaw!B:B,PgSqlRaw!F:F,""), _xlfn.XLOOKUP(F377,PgSqlRaw!B:B,PgSqlRaw!F:F,""))</f>
        <v/>
      </c>
      <c r="K377" t="str">
        <f t="shared" si="31"/>
        <v>BARE_LABEL</v>
      </c>
      <c r="L377" t="str">
        <f>IF(_xlfn.XLOOKUP(F377,PhpReserved!A:A,PhpReserved!B:B,"") = "", _xlfn.XLOOKUP(G377,PhpReserved!A:A,PhpReserved!B:B,""),_xlfn.XLOOKUP(F377,PhpReserved!A:A,PhpReserved!B:B,""))</f>
        <v/>
      </c>
      <c r="M377" t="str">
        <f>IF(_xlfn.XLOOKUP(F377,PhpFunctions!A:A,PhpFunctions!B:B,"") =  "", _xlfn.XLOOKUP(G377,PhpFunctions!A:A,PhpFunctions!B:B,""), _xlfn.XLOOKUP(F377,PhpFunctions!A:A,PhpFunctions!B:B,""))</f>
        <v/>
      </c>
      <c r="N377" t="str">
        <f>IF(_xlfn.XLOOKUP(F377,PhpParamFunc!A:A,PhpParamFunc!B:B,"") = "", _xlfn.XLOOKUP(G377,PhpParamFunc!A:A,PhpParamFunc!B:B,""), _xlfn.XLOOKUP(F377,PhpParamFunc!A:A,PhpParamFunc!B:B,""))</f>
        <v/>
      </c>
      <c r="O377" t="str">
        <f>IF(_xlfn.XLOOKUP(F377,PhpAggrFunc!A:A,PhpAggrFunc!B:B,"") = "", _xlfn.XLOOKUP(G377,PhpAggrFunc!A:A,PhpAggrFunc!B:B,""), _xlfn.XLOOKUP(F377,PhpAggrFunc!A:A,PhpAggrFunc!B:B,""))</f>
        <v/>
      </c>
      <c r="P377" t="str">
        <f t="shared" si="32"/>
        <v>UNRESERVED</v>
      </c>
      <c r="Q377" t="str">
        <f t="shared" si="33"/>
        <v>static const String^ TOK_REGR_SLOPE = "REGR_SLOPE";</v>
      </c>
      <c r="R377" t="str">
        <f t="shared" si="34"/>
        <v>static const int TOK_REGR_SLOPE = 738;</v>
      </c>
      <c r="S377" t="str">
        <f t="shared" si="35"/>
        <v>// _Tokens-&gt;Add((String^)GramVals::TOK_REGR_SLOPE, gcnew Token(GramKeys::TOK_REGR_SLOPE, EnumTokenCategory::UNRESERVED,BARE_LABEL, i++));</v>
      </c>
    </row>
    <row r="378" spans="1:19" x14ac:dyDescent="0.25">
      <c r="A378" s="3" t="s">
        <v>1742</v>
      </c>
      <c r="B378" s="5">
        <v>739</v>
      </c>
      <c r="C378" s="3" t="s">
        <v>2269</v>
      </c>
      <c r="D378" s="3" t="s">
        <v>881</v>
      </c>
      <c r="F378" t="str">
        <f t="shared" si="30"/>
        <v>REGR_SXX</v>
      </c>
      <c r="G378" t="s">
        <v>3791</v>
      </c>
      <c r="I378" s="3" t="str">
        <f>IF(_xlfn.XLOOKUP(F378,PgSqlRaw!B:B,PgSqlRaw!E:E,"") = "",_xlfn.XLOOKUP(G378,PgSqlRaw!B:B,PgSqlRaw!E:E,""),_xlfn.XLOOKUP(F378,PgSqlRaw!B:B,PgSqlRaw!E:E,""))</f>
        <v/>
      </c>
      <c r="J378" t="str">
        <f>IF(_xlfn.XLOOKUP(F378,PgSqlRaw!B:B,PgSqlRaw!F:F,"") = "", _xlfn.XLOOKUP(G378,PgSqlRaw!B:B,PgSqlRaw!F:F,""), _xlfn.XLOOKUP(F378,PgSqlRaw!B:B,PgSqlRaw!F:F,""))</f>
        <v/>
      </c>
      <c r="K378" t="str">
        <f t="shared" si="31"/>
        <v>BARE_LABEL</v>
      </c>
      <c r="L378" t="str">
        <f>IF(_xlfn.XLOOKUP(F378,PhpReserved!A:A,PhpReserved!B:B,"") = "", _xlfn.XLOOKUP(G378,PhpReserved!A:A,PhpReserved!B:B,""),_xlfn.XLOOKUP(F378,PhpReserved!A:A,PhpReserved!B:B,""))</f>
        <v/>
      </c>
      <c r="M378" t="str">
        <f>IF(_xlfn.XLOOKUP(F378,PhpFunctions!A:A,PhpFunctions!B:B,"") =  "", _xlfn.XLOOKUP(G378,PhpFunctions!A:A,PhpFunctions!B:B,""), _xlfn.XLOOKUP(F378,PhpFunctions!A:A,PhpFunctions!B:B,""))</f>
        <v/>
      </c>
      <c r="N378" t="str">
        <f>IF(_xlfn.XLOOKUP(F378,PhpParamFunc!A:A,PhpParamFunc!B:B,"") = "", _xlfn.XLOOKUP(G378,PhpParamFunc!A:A,PhpParamFunc!B:B,""), _xlfn.XLOOKUP(F378,PhpParamFunc!A:A,PhpParamFunc!B:B,""))</f>
        <v/>
      </c>
      <c r="O378" t="str">
        <f>IF(_xlfn.XLOOKUP(F378,PhpAggrFunc!A:A,PhpAggrFunc!B:B,"") = "", _xlfn.XLOOKUP(G378,PhpAggrFunc!A:A,PhpAggrFunc!B:B,""), _xlfn.XLOOKUP(F378,PhpAggrFunc!A:A,PhpAggrFunc!B:B,""))</f>
        <v/>
      </c>
      <c r="P378" t="str">
        <f t="shared" si="32"/>
        <v>UNRESERVED</v>
      </c>
      <c r="Q378" t="str">
        <f t="shared" si="33"/>
        <v>static const String^ TOK_REGR_SXX = "REGR_SXX";</v>
      </c>
      <c r="R378" t="str">
        <f t="shared" si="34"/>
        <v>static const int TOK_REGR_SXX = 739;</v>
      </c>
      <c r="S378" t="str">
        <f t="shared" si="35"/>
        <v>// _Tokens-&gt;Add((String^)GramVals::TOK_REGR_SXX, gcnew Token(GramKeys::TOK_REGR_SXX, EnumTokenCategory::UNRESERVED,BARE_LABEL, i++));</v>
      </c>
    </row>
    <row r="379" spans="1:19" x14ac:dyDescent="0.25">
      <c r="A379" s="3" t="s">
        <v>1743</v>
      </c>
      <c r="B379" s="5">
        <v>740</v>
      </c>
      <c r="C379" s="3" t="s">
        <v>2270</v>
      </c>
      <c r="D379" s="3" t="s">
        <v>881</v>
      </c>
      <c r="F379" t="str">
        <f t="shared" si="30"/>
        <v>REGR_SXY</v>
      </c>
      <c r="G379" t="s">
        <v>3792</v>
      </c>
      <c r="I379" s="3" t="str">
        <f>IF(_xlfn.XLOOKUP(F379,PgSqlRaw!B:B,PgSqlRaw!E:E,"") = "",_xlfn.XLOOKUP(G379,PgSqlRaw!B:B,PgSqlRaw!E:E,""),_xlfn.XLOOKUP(F379,PgSqlRaw!B:B,PgSqlRaw!E:E,""))</f>
        <v/>
      </c>
      <c r="J379" t="str">
        <f>IF(_xlfn.XLOOKUP(F379,PgSqlRaw!B:B,PgSqlRaw!F:F,"") = "", _xlfn.XLOOKUP(G379,PgSqlRaw!B:B,PgSqlRaw!F:F,""), _xlfn.XLOOKUP(F379,PgSqlRaw!B:B,PgSqlRaw!F:F,""))</f>
        <v/>
      </c>
      <c r="K379" t="str">
        <f t="shared" si="31"/>
        <v>BARE_LABEL</v>
      </c>
      <c r="L379" t="str">
        <f>IF(_xlfn.XLOOKUP(F379,PhpReserved!A:A,PhpReserved!B:B,"") = "", _xlfn.XLOOKUP(G379,PhpReserved!A:A,PhpReserved!B:B,""),_xlfn.XLOOKUP(F379,PhpReserved!A:A,PhpReserved!B:B,""))</f>
        <v/>
      </c>
      <c r="M379" t="str">
        <f>IF(_xlfn.XLOOKUP(F379,PhpFunctions!A:A,PhpFunctions!B:B,"") =  "", _xlfn.XLOOKUP(G379,PhpFunctions!A:A,PhpFunctions!B:B,""), _xlfn.XLOOKUP(F379,PhpFunctions!A:A,PhpFunctions!B:B,""))</f>
        <v/>
      </c>
      <c r="N379" t="str">
        <f>IF(_xlfn.XLOOKUP(F379,PhpParamFunc!A:A,PhpParamFunc!B:B,"") = "", _xlfn.XLOOKUP(G379,PhpParamFunc!A:A,PhpParamFunc!B:B,""), _xlfn.XLOOKUP(F379,PhpParamFunc!A:A,PhpParamFunc!B:B,""))</f>
        <v/>
      </c>
      <c r="O379" t="str">
        <f>IF(_xlfn.XLOOKUP(F379,PhpAggrFunc!A:A,PhpAggrFunc!B:B,"") = "", _xlfn.XLOOKUP(G379,PhpAggrFunc!A:A,PhpAggrFunc!B:B,""), _xlfn.XLOOKUP(F379,PhpAggrFunc!A:A,PhpAggrFunc!B:B,""))</f>
        <v/>
      </c>
      <c r="P379" t="str">
        <f t="shared" si="32"/>
        <v>UNRESERVED</v>
      </c>
      <c r="Q379" t="str">
        <f t="shared" si="33"/>
        <v>static const String^ TOK_REGR_SXY = "REGR_SXY";</v>
      </c>
      <c r="R379" t="str">
        <f t="shared" si="34"/>
        <v>static const int TOK_REGR_SXY = 740;</v>
      </c>
      <c r="S379" t="str">
        <f t="shared" si="35"/>
        <v>// _Tokens-&gt;Add((String^)GramVals::TOK_REGR_SXY, gcnew Token(GramKeys::TOK_REGR_SXY, EnumTokenCategory::UNRESERVED,BARE_LABEL, i++));</v>
      </c>
    </row>
    <row r="380" spans="1:19" x14ac:dyDescent="0.25">
      <c r="A380" s="3" t="s">
        <v>1744</v>
      </c>
      <c r="B380" s="5">
        <v>741</v>
      </c>
      <c r="C380" s="3" t="s">
        <v>2271</v>
      </c>
      <c r="D380" s="3" t="s">
        <v>881</v>
      </c>
      <c r="F380" t="str">
        <f t="shared" si="30"/>
        <v>REGR_SYY</v>
      </c>
      <c r="G380" t="s">
        <v>3793</v>
      </c>
      <c r="I380" s="3" t="str">
        <f>IF(_xlfn.XLOOKUP(F380,PgSqlRaw!B:B,PgSqlRaw!E:E,"") = "",_xlfn.XLOOKUP(G380,PgSqlRaw!B:B,PgSqlRaw!E:E,""),_xlfn.XLOOKUP(F380,PgSqlRaw!B:B,PgSqlRaw!E:E,""))</f>
        <v/>
      </c>
      <c r="J380" t="str">
        <f>IF(_xlfn.XLOOKUP(F380,PgSqlRaw!B:B,PgSqlRaw!F:F,"") = "", _xlfn.XLOOKUP(G380,PgSqlRaw!B:B,PgSqlRaw!F:F,""), _xlfn.XLOOKUP(F380,PgSqlRaw!B:B,PgSqlRaw!F:F,""))</f>
        <v/>
      </c>
      <c r="K380" t="str">
        <f t="shared" si="31"/>
        <v>BARE_LABEL</v>
      </c>
      <c r="L380" t="str">
        <f>IF(_xlfn.XLOOKUP(F380,PhpReserved!A:A,PhpReserved!B:B,"") = "", _xlfn.XLOOKUP(G380,PhpReserved!A:A,PhpReserved!B:B,""),_xlfn.XLOOKUP(F380,PhpReserved!A:A,PhpReserved!B:B,""))</f>
        <v/>
      </c>
      <c r="M380" t="str">
        <f>IF(_xlfn.XLOOKUP(F380,PhpFunctions!A:A,PhpFunctions!B:B,"") =  "", _xlfn.XLOOKUP(G380,PhpFunctions!A:A,PhpFunctions!B:B,""), _xlfn.XLOOKUP(F380,PhpFunctions!A:A,PhpFunctions!B:B,""))</f>
        <v/>
      </c>
      <c r="N380" t="str">
        <f>IF(_xlfn.XLOOKUP(F380,PhpParamFunc!A:A,PhpParamFunc!B:B,"") = "", _xlfn.XLOOKUP(G380,PhpParamFunc!A:A,PhpParamFunc!B:B,""), _xlfn.XLOOKUP(F380,PhpParamFunc!A:A,PhpParamFunc!B:B,""))</f>
        <v/>
      </c>
      <c r="O380" t="str">
        <f>IF(_xlfn.XLOOKUP(F380,PhpAggrFunc!A:A,PhpAggrFunc!B:B,"") = "", _xlfn.XLOOKUP(G380,PhpAggrFunc!A:A,PhpAggrFunc!B:B,""), _xlfn.XLOOKUP(F380,PhpAggrFunc!A:A,PhpAggrFunc!B:B,""))</f>
        <v/>
      </c>
      <c r="P380" t="str">
        <f t="shared" si="32"/>
        <v>UNRESERVED</v>
      </c>
      <c r="Q380" t="str">
        <f t="shared" si="33"/>
        <v>static const String^ TOK_REGR_SYY = "REGR_SYY";</v>
      </c>
      <c r="R380" t="str">
        <f t="shared" si="34"/>
        <v>static const int TOK_REGR_SYY = 741;</v>
      </c>
      <c r="S380" t="str">
        <f t="shared" si="35"/>
        <v>// _Tokens-&gt;Add((String^)GramVals::TOK_REGR_SYY, gcnew Token(GramKeys::TOK_REGR_SYY, EnumTokenCategory::UNRESERVED,BARE_LABEL, i++));</v>
      </c>
    </row>
    <row r="381" spans="1:19" x14ac:dyDescent="0.25">
      <c r="A381" s="3" t="s">
        <v>1745</v>
      </c>
      <c r="B381" s="5" t="s">
        <v>1271</v>
      </c>
      <c r="C381" s="3" t="s">
        <v>2272</v>
      </c>
      <c r="D381" s="3" t="s">
        <v>2423</v>
      </c>
      <c r="F381" t="str">
        <f t="shared" si="30"/>
        <v>RELATIVE</v>
      </c>
      <c r="G381" t="s">
        <v>3520</v>
      </c>
      <c r="I381" s="3" t="str">
        <f>IF(_xlfn.XLOOKUP(F381,PgSqlRaw!B:B,PgSqlRaw!E:E,"") = "",_xlfn.XLOOKUP(G381,PgSqlRaw!B:B,PgSqlRaw!E:E,""),_xlfn.XLOOKUP(F381,PgSqlRaw!B:B,PgSqlRaw!E:E,""))</f>
        <v/>
      </c>
      <c r="J381" t="str">
        <f>IF(_xlfn.XLOOKUP(F381,PgSqlRaw!B:B,PgSqlRaw!F:F,"") = "", _xlfn.XLOOKUP(G381,PgSqlRaw!B:B,PgSqlRaw!F:F,""), _xlfn.XLOOKUP(F381,PgSqlRaw!B:B,PgSqlRaw!F:F,""))</f>
        <v>BARE_LABEL</v>
      </c>
      <c r="K381" t="str">
        <f t="shared" si="31"/>
        <v>BARE_LABEL</v>
      </c>
      <c r="L381" t="str">
        <f>IF(_xlfn.XLOOKUP(F381,PhpReserved!A:A,PhpReserved!B:B,"") = "", _xlfn.XLOOKUP(G381,PhpReserved!A:A,PhpReserved!B:B,""),_xlfn.XLOOKUP(F381,PhpReserved!A:A,PhpReserved!B:B,""))</f>
        <v/>
      </c>
      <c r="M381" t="str">
        <f>IF(_xlfn.XLOOKUP(F381,PhpFunctions!A:A,PhpFunctions!B:B,"") =  "", _xlfn.XLOOKUP(G381,PhpFunctions!A:A,PhpFunctions!B:B,""), _xlfn.XLOOKUP(F381,PhpFunctions!A:A,PhpFunctions!B:B,""))</f>
        <v/>
      </c>
      <c r="N381" t="str">
        <f>IF(_xlfn.XLOOKUP(F381,PhpParamFunc!A:A,PhpParamFunc!B:B,"") = "", _xlfn.XLOOKUP(G381,PhpParamFunc!A:A,PhpParamFunc!B:B,""), _xlfn.XLOOKUP(F381,PhpParamFunc!A:A,PhpParamFunc!B:B,""))</f>
        <v/>
      </c>
      <c r="O381" t="str">
        <f>IF(_xlfn.XLOOKUP(F381,PhpAggrFunc!A:A,PhpAggrFunc!B:B,"") = "", _xlfn.XLOOKUP(G381,PhpAggrFunc!A:A,PhpAggrFunc!B:B,""), _xlfn.XLOOKUP(F381,PhpAggrFunc!A:A,PhpAggrFunc!B:B,""))</f>
        <v/>
      </c>
      <c r="P381" t="str">
        <f t="shared" si="32"/>
        <v>UNRESERVED</v>
      </c>
      <c r="Q381" t="str">
        <f t="shared" si="33"/>
        <v>static const String^ TOK_RELATIVE = "RELATIVE";</v>
      </c>
      <c r="R381" t="str">
        <f t="shared" si="34"/>
        <v>static const int TOK_RELATIVE = 622;</v>
      </c>
      <c r="S381" t="str">
        <f t="shared" si="35"/>
        <v>// _Tokens-&gt;Add((String^)GramVals::TOK_RELATIVE, gcnew Token(GramKeys::TOK_RELATIVE, EnumTokenCategory::UNRESERVED,BARE_LABEL, i++));</v>
      </c>
    </row>
    <row r="382" spans="1:19" x14ac:dyDescent="0.25">
      <c r="A382" s="3" t="s">
        <v>1746</v>
      </c>
      <c r="B382" s="5" t="s">
        <v>1272</v>
      </c>
      <c r="C382" s="3" t="s">
        <v>2273</v>
      </c>
      <c r="D382" s="3" t="s">
        <v>881</v>
      </c>
      <c r="F382" t="str">
        <f t="shared" si="30"/>
        <v>RELEASE</v>
      </c>
      <c r="G382" t="s">
        <v>3521</v>
      </c>
      <c r="I382" s="3" t="str">
        <f>IF(_xlfn.XLOOKUP(F382,PgSqlRaw!B:B,PgSqlRaw!E:E,"") = "",_xlfn.XLOOKUP(G382,PgSqlRaw!B:B,PgSqlRaw!E:E,""),_xlfn.XLOOKUP(F382,PgSqlRaw!B:B,PgSqlRaw!E:E,""))</f>
        <v/>
      </c>
      <c r="J382" t="str">
        <f>IF(_xlfn.XLOOKUP(F382,PgSqlRaw!B:B,PgSqlRaw!F:F,"") = "", _xlfn.XLOOKUP(G382,PgSqlRaw!B:B,PgSqlRaw!F:F,""), _xlfn.XLOOKUP(F382,PgSqlRaw!B:B,PgSqlRaw!F:F,""))</f>
        <v>BARE_LABEL</v>
      </c>
      <c r="K382" t="str">
        <f t="shared" si="31"/>
        <v>BARE_LABEL</v>
      </c>
      <c r="L382" t="str">
        <f>IF(_xlfn.XLOOKUP(F382,PhpReserved!A:A,PhpReserved!B:B,"") = "", _xlfn.XLOOKUP(G382,PhpReserved!A:A,PhpReserved!B:B,""),_xlfn.XLOOKUP(F382,PhpReserved!A:A,PhpReserved!B:B,""))</f>
        <v/>
      </c>
      <c r="M382" t="str">
        <f>IF(_xlfn.XLOOKUP(F382,PhpFunctions!A:A,PhpFunctions!B:B,"") =  "", _xlfn.XLOOKUP(G382,PhpFunctions!A:A,PhpFunctions!B:B,""), _xlfn.XLOOKUP(F382,PhpFunctions!A:A,PhpFunctions!B:B,""))</f>
        <v/>
      </c>
      <c r="N382" t="str">
        <f>IF(_xlfn.XLOOKUP(F382,PhpParamFunc!A:A,PhpParamFunc!B:B,"") = "", _xlfn.XLOOKUP(G382,PhpParamFunc!A:A,PhpParamFunc!B:B,""), _xlfn.XLOOKUP(F382,PhpParamFunc!A:A,PhpParamFunc!B:B,""))</f>
        <v/>
      </c>
      <c r="O382" t="str">
        <f>IF(_xlfn.XLOOKUP(F382,PhpAggrFunc!A:A,PhpAggrFunc!B:B,"") = "", _xlfn.XLOOKUP(G382,PhpAggrFunc!A:A,PhpAggrFunc!B:B,""), _xlfn.XLOOKUP(F382,PhpAggrFunc!A:A,PhpAggrFunc!B:B,""))</f>
        <v/>
      </c>
      <c r="P382" t="str">
        <f t="shared" si="32"/>
        <v>UNRESERVED</v>
      </c>
      <c r="Q382" t="str">
        <f t="shared" si="33"/>
        <v>static const String^ TOK_RELEASE = "RELEASE";</v>
      </c>
      <c r="R382" t="str">
        <f t="shared" si="34"/>
        <v>static const int TOK_RELEASE = 489;</v>
      </c>
      <c r="S382" t="str">
        <f t="shared" si="35"/>
        <v>// _Tokens-&gt;Add((String^)GramVals::TOK_RELEASE, gcnew Token(GramKeys::TOK_RELEASE, EnumTokenCategory::UNRESERVED,BARE_LABEL, i++));</v>
      </c>
    </row>
    <row r="383" spans="1:19" x14ac:dyDescent="0.25">
      <c r="A383" s="3" t="s">
        <v>1747</v>
      </c>
      <c r="B383" s="5" t="s">
        <v>1273</v>
      </c>
      <c r="C383" s="3" t="s">
        <v>2274</v>
      </c>
      <c r="D383" s="3" t="s">
        <v>2423</v>
      </c>
      <c r="F383" t="str">
        <f t="shared" si="30"/>
        <v>REPLACE</v>
      </c>
      <c r="G383" t="s">
        <v>3023</v>
      </c>
      <c r="I383" s="3" t="str">
        <f>IF(_xlfn.XLOOKUP(F383,PgSqlRaw!B:B,PgSqlRaw!E:E,"") = "",_xlfn.XLOOKUP(G383,PgSqlRaw!B:B,PgSqlRaw!E:E,""),_xlfn.XLOOKUP(F383,PgSqlRaw!B:B,PgSqlRaw!E:E,""))</f>
        <v/>
      </c>
      <c r="J383" t="str">
        <f>IF(_xlfn.XLOOKUP(F383,PgSqlRaw!B:B,PgSqlRaw!F:F,"") = "", _xlfn.XLOOKUP(G383,PgSqlRaw!B:B,PgSqlRaw!F:F,""), _xlfn.XLOOKUP(F383,PgSqlRaw!B:B,PgSqlRaw!F:F,""))</f>
        <v>BARE_LABEL</v>
      </c>
      <c r="K383" t="str">
        <f t="shared" si="31"/>
        <v>BARE_LABEL</v>
      </c>
      <c r="L383" t="str">
        <f>IF(_xlfn.XLOOKUP(F383,PhpReserved!A:A,PhpReserved!B:B,"") = "", _xlfn.XLOOKUP(G383,PhpReserved!A:A,PhpReserved!B:B,""),_xlfn.XLOOKUP(F383,PhpReserved!A:A,PhpReserved!B:B,""))</f>
        <v>RESERVED</v>
      </c>
      <c r="M383" t="str">
        <f>IF(_xlfn.XLOOKUP(F383,PhpFunctions!A:A,PhpFunctions!B:B,"") =  "", _xlfn.XLOOKUP(G383,PhpFunctions!A:A,PhpFunctions!B:B,""), _xlfn.XLOOKUP(F383,PhpFunctions!A:A,PhpFunctions!B:B,""))</f>
        <v>FUNCTION</v>
      </c>
      <c r="N383" t="str">
        <f>IF(_xlfn.XLOOKUP(F383,PhpParamFunc!A:A,PhpParamFunc!B:B,"") = "", _xlfn.XLOOKUP(G383,PhpParamFunc!A:A,PhpParamFunc!B:B,""), _xlfn.XLOOKUP(F383,PhpParamFunc!A:A,PhpParamFunc!B:B,""))</f>
        <v>PARAM_FUNCTION</v>
      </c>
      <c r="O383" t="str">
        <f>IF(_xlfn.XLOOKUP(F383,PhpAggrFunc!A:A,PhpAggrFunc!B:B,"") = "", _xlfn.XLOOKUP(G383,PhpAggrFunc!A:A,PhpAggrFunc!B:B,""), _xlfn.XLOOKUP(F383,PhpAggrFunc!A:A,PhpAggrFunc!B:B,""))</f>
        <v/>
      </c>
      <c r="P383" t="str">
        <f t="shared" si="32"/>
        <v>PARAM_FUNCTION</v>
      </c>
      <c r="Q383" t="str">
        <f t="shared" si="33"/>
        <v>static const String^ TOK_REPLACE = "REPLACE";</v>
      </c>
      <c r="R383" t="str">
        <f t="shared" si="34"/>
        <v>static const int TOK_REPLACE = 574;</v>
      </c>
      <c r="S383" t="str">
        <f t="shared" si="35"/>
        <v>_Tokens-&gt;Add((String^)GramVals::TOK_REPLACE, gcnew Token(GramKeys::TOK_REPLACE, EnumTokenCategory::PARAM_FUNCTION,BARE_LABEL, i++));</v>
      </c>
    </row>
    <row r="384" spans="1:19" x14ac:dyDescent="0.25">
      <c r="A384" s="3" t="s">
        <v>1748</v>
      </c>
      <c r="B384" s="5" t="s">
        <v>1274</v>
      </c>
      <c r="C384" s="3" t="s">
        <v>2275</v>
      </c>
      <c r="D384" s="3" t="s">
        <v>2423</v>
      </c>
      <c r="F384" t="str">
        <f t="shared" si="30"/>
        <v>REQUESTS</v>
      </c>
      <c r="G384" t="s">
        <v>3794</v>
      </c>
      <c r="I384" s="3" t="str">
        <f>IF(_xlfn.XLOOKUP(F384,PgSqlRaw!B:B,PgSqlRaw!E:E,"") = "",_xlfn.XLOOKUP(G384,PgSqlRaw!B:B,PgSqlRaw!E:E,""),_xlfn.XLOOKUP(F384,PgSqlRaw!B:B,PgSqlRaw!E:E,""))</f>
        <v/>
      </c>
      <c r="J384" t="str">
        <f>IF(_xlfn.XLOOKUP(F384,PgSqlRaw!B:B,PgSqlRaw!F:F,"") = "", _xlfn.XLOOKUP(G384,PgSqlRaw!B:B,PgSqlRaw!F:F,""), _xlfn.XLOOKUP(F384,PgSqlRaw!B:B,PgSqlRaw!F:F,""))</f>
        <v/>
      </c>
      <c r="K384" t="str">
        <f t="shared" si="31"/>
        <v>BARE_LABEL</v>
      </c>
      <c r="L384" t="str">
        <f>IF(_xlfn.XLOOKUP(F384,PhpReserved!A:A,PhpReserved!B:B,"") = "", _xlfn.XLOOKUP(G384,PhpReserved!A:A,PhpReserved!B:B,""),_xlfn.XLOOKUP(F384,PhpReserved!A:A,PhpReserved!B:B,""))</f>
        <v/>
      </c>
      <c r="M384" t="str">
        <f>IF(_xlfn.XLOOKUP(F384,PhpFunctions!A:A,PhpFunctions!B:B,"") =  "", _xlfn.XLOOKUP(G384,PhpFunctions!A:A,PhpFunctions!B:B,""), _xlfn.XLOOKUP(F384,PhpFunctions!A:A,PhpFunctions!B:B,""))</f>
        <v/>
      </c>
      <c r="N384" t="str">
        <f>IF(_xlfn.XLOOKUP(F384,PhpParamFunc!A:A,PhpParamFunc!B:B,"") = "", _xlfn.XLOOKUP(G384,PhpParamFunc!A:A,PhpParamFunc!B:B,""), _xlfn.XLOOKUP(F384,PhpParamFunc!A:A,PhpParamFunc!B:B,""))</f>
        <v/>
      </c>
      <c r="O384" t="str">
        <f>IF(_xlfn.XLOOKUP(F384,PhpAggrFunc!A:A,PhpAggrFunc!B:B,"") = "", _xlfn.XLOOKUP(G384,PhpAggrFunc!A:A,PhpAggrFunc!B:B,""), _xlfn.XLOOKUP(F384,PhpAggrFunc!A:A,PhpAggrFunc!B:B,""))</f>
        <v/>
      </c>
      <c r="P384" t="str">
        <f t="shared" si="32"/>
        <v>UNRESERVED</v>
      </c>
      <c r="Q384" t="str">
        <f t="shared" si="33"/>
        <v>static const String^ TOK_REQUESTS = "REQUESTS";</v>
      </c>
      <c r="R384" t="str">
        <f t="shared" si="34"/>
        <v>static const int TOK_REQUESTS = 523;</v>
      </c>
      <c r="S384" t="str">
        <f t="shared" si="35"/>
        <v>// _Tokens-&gt;Add((String^)GramVals::TOK_REQUESTS, gcnew Token(GramKeys::TOK_REQUESTS, EnumTokenCategory::UNRESERVED,BARE_LABEL, i++));</v>
      </c>
    </row>
    <row r="385" spans="1:19" x14ac:dyDescent="0.25">
      <c r="A385" s="3" t="s">
        <v>1749</v>
      </c>
      <c r="B385" s="5">
        <v>742</v>
      </c>
      <c r="C385" s="3" t="s">
        <v>2276</v>
      </c>
      <c r="D385" s="3" t="s">
        <v>2423</v>
      </c>
      <c r="F385" t="str">
        <f t="shared" si="30"/>
        <v>RESERVING</v>
      </c>
      <c r="G385" t="s">
        <v>3795</v>
      </c>
      <c r="I385" s="3" t="str">
        <f>IF(_xlfn.XLOOKUP(F385,PgSqlRaw!B:B,PgSqlRaw!E:E,"") = "",_xlfn.XLOOKUP(G385,PgSqlRaw!B:B,PgSqlRaw!E:E,""),_xlfn.XLOOKUP(F385,PgSqlRaw!B:B,PgSqlRaw!E:E,""))</f>
        <v/>
      </c>
      <c r="J385" t="str">
        <f>IF(_xlfn.XLOOKUP(F385,PgSqlRaw!B:B,PgSqlRaw!F:F,"") = "", _xlfn.XLOOKUP(G385,PgSqlRaw!B:B,PgSqlRaw!F:F,""), _xlfn.XLOOKUP(F385,PgSqlRaw!B:B,PgSqlRaw!F:F,""))</f>
        <v/>
      </c>
      <c r="K385" t="str">
        <f t="shared" si="31"/>
        <v>BARE_LABEL</v>
      </c>
      <c r="L385" t="str">
        <f>IF(_xlfn.XLOOKUP(F385,PhpReserved!A:A,PhpReserved!B:B,"") = "", _xlfn.XLOOKUP(G385,PhpReserved!A:A,PhpReserved!B:B,""),_xlfn.XLOOKUP(F385,PhpReserved!A:A,PhpReserved!B:B,""))</f>
        <v/>
      </c>
      <c r="M385" t="str">
        <f>IF(_xlfn.XLOOKUP(F385,PhpFunctions!A:A,PhpFunctions!B:B,"") =  "", _xlfn.XLOOKUP(G385,PhpFunctions!A:A,PhpFunctions!B:B,""), _xlfn.XLOOKUP(F385,PhpFunctions!A:A,PhpFunctions!B:B,""))</f>
        <v/>
      </c>
      <c r="N385" t="str">
        <f>IF(_xlfn.XLOOKUP(F385,PhpParamFunc!A:A,PhpParamFunc!B:B,"") = "", _xlfn.XLOOKUP(G385,PhpParamFunc!A:A,PhpParamFunc!B:B,""), _xlfn.XLOOKUP(F385,PhpParamFunc!A:A,PhpParamFunc!B:B,""))</f>
        <v/>
      </c>
      <c r="O385" t="str">
        <f>IF(_xlfn.XLOOKUP(F385,PhpAggrFunc!A:A,PhpAggrFunc!B:B,"") = "", _xlfn.XLOOKUP(G385,PhpAggrFunc!A:A,PhpAggrFunc!B:B,""), _xlfn.XLOOKUP(F385,PhpAggrFunc!A:A,PhpAggrFunc!B:B,""))</f>
        <v/>
      </c>
      <c r="P385" t="str">
        <f t="shared" si="32"/>
        <v>UNRESERVED</v>
      </c>
      <c r="Q385" t="str">
        <f t="shared" si="33"/>
        <v>static const String^ TOK_RESERVING = "RESERV";</v>
      </c>
      <c r="R385" t="str">
        <f t="shared" si="34"/>
        <v>static const int TOK_RESERVING = 742;</v>
      </c>
      <c r="S385" t="str">
        <f t="shared" si="35"/>
        <v>// _Tokens-&gt;Add((String^)GramVals::TOK_RESERVING, gcnew Token(GramKeys::TOK_RESERVING, EnumTokenCategory::UNRESERVED,BARE_LABEL, i++));</v>
      </c>
    </row>
    <row r="386" spans="1:19" x14ac:dyDescent="0.25">
      <c r="A386" s="3" t="s">
        <v>1749</v>
      </c>
      <c r="B386" s="5" t="s">
        <v>1275</v>
      </c>
      <c r="C386" s="3" t="s">
        <v>2277</v>
      </c>
      <c r="D386" s="3" t="s">
        <v>2423</v>
      </c>
      <c r="F386" t="str">
        <f t="shared" si="30"/>
        <v>RESERVING</v>
      </c>
      <c r="G386" t="s">
        <v>3795</v>
      </c>
      <c r="I386" s="3" t="str">
        <f>IF(_xlfn.XLOOKUP(F386,PgSqlRaw!B:B,PgSqlRaw!E:E,"") = "",_xlfn.XLOOKUP(G386,PgSqlRaw!B:B,PgSqlRaw!E:E,""),_xlfn.XLOOKUP(F386,PgSqlRaw!B:B,PgSqlRaw!E:E,""))</f>
        <v/>
      </c>
      <c r="J386" t="str">
        <f>IF(_xlfn.XLOOKUP(F386,PgSqlRaw!B:B,PgSqlRaw!F:F,"") = "", _xlfn.XLOOKUP(G386,PgSqlRaw!B:B,PgSqlRaw!F:F,""), _xlfn.XLOOKUP(F386,PgSqlRaw!B:B,PgSqlRaw!F:F,""))</f>
        <v/>
      </c>
      <c r="K386" t="str">
        <f t="shared" si="31"/>
        <v>BARE_LABEL</v>
      </c>
      <c r="L386" t="str">
        <f>IF(_xlfn.XLOOKUP(F386,PhpReserved!A:A,PhpReserved!B:B,"") = "", _xlfn.XLOOKUP(G386,PhpReserved!A:A,PhpReserved!B:B,""),_xlfn.XLOOKUP(F386,PhpReserved!A:A,PhpReserved!B:B,""))</f>
        <v/>
      </c>
      <c r="M386" t="str">
        <f>IF(_xlfn.XLOOKUP(F386,PhpFunctions!A:A,PhpFunctions!B:B,"") =  "", _xlfn.XLOOKUP(G386,PhpFunctions!A:A,PhpFunctions!B:B,""), _xlfn.XLOOKUP(F386,PhpFunctions!A:A,PhpFunctions!B:B,""))</f>
        <v/>
      </c>
      <c r="N386" t="str">
        <f>IF(_xlfn.XLOOKUP(F386,PhpParamFunc!A:A,PhpParamFunc!B:B,"") = "", _xlfn.XLOOKUP(G386,PhpParamFunc!A:A,PhpParamFunc!B:B,""), _xlfn.XLOOKUP(F386,PhpParamFunc!A:A,PhpParamFunc!B:B,""))</f>
        <v/>
      </c>
      <c r="O386" t="str">
        <f>IF(_xlfn.XLOOKUP(F386,PhpAggrFunc!A:A,PhpAggrFunc!B:B,"") = "", _xlfn.XLOOKUP(G386,PhpAggrFunc!A:A,PhpAggrFunc!B:B,""), _xlfn.XLOOKUP(F386,PhpAggrFunc!A:A,PhpAggrFunc!B:B,""))</f>
        <v/>
      </c>
      <c r="P386" t="str">
        <f t="shared" si="32"/>
        <v>UNRESERVED</v>
      </c>
      <c r="Q386" t="str">
        <f t="shared" si="33"/>
        <v>static const String^ TOK_RESERVING = "RESERVING";</v>
      </c>
      <c r="R386" t="str">
        <f t="shared" si="34"/>
        <v>static const int TOK_RESERVING = 392;</v>
      </c>
      <c r="S386" t="str">
        <f t="shared" si="35"/>
        <v>// _Tokens-&gt;Add((String^)GramVals::TOK_RESERVING, gcnew Token(GramKeys::TOK_RESERVING, EnumTokenCategory::UNRESERVED,BARE_LABEL, i++));</v>
      </c>
    </row>
    <row r="387" spans="1:19" x14ac:dyDescent="0.25">
      <c r="A387" s="3" t="s">
        <v>1750</v>
      </c>
      <c r="B387" s="5">
        <v>743</v>
      </c>
      <c r="C387" s="3" t="s">
        <v>2278</v>
      </c>
      <c r="D387" s="3" t="s">
        <v>2423</v>
      </c>
      <c r="F387" t="str">
        <f t="shared" si="30"/>
        <v>RESET</v>
      </c>
      <c r="G387" t="s">
        <v>3524</v>
      </c>
      <c r="I387" s="3" t="str">
        <f>IF(_xlfn.XLOOKUP(F387,PgSqlRaw!B:B,PgSqlRaw!E:E,"") = "",_xlfn.XLOOKUP(G387,PgSqlRaw!B:B,PgSqlRaw!E:E,""),_xlfn.XLOOKUP(F387,PgSqlRaw!B:B,PgSqlRaw!E:E,""))</f>
        <v/>
      </c>
      <c r="J387" t="str">
        <f>IF(_xlfn.XLOOKUP(F387,PgSqlRaw!B:B,PgSqlRaw!F:F,"") = "", _xlfn.XLOOKUP(G387,PgSqlRaw!B:B,PgSqlRaw!F:F,""), _xlfn.XLOOKUP(F387,PgSqlRaw!B:B,PgSqlRaw!F:F,""))</f>
        <v>BARE_LABEL</v>
      </c>
      <c r="K387" t="str">
        <f t="shared" si="31"/>
        <v>BARE_LABEL</v>
      </c>
      <c r="L387" t="str">
        <f>IF(_xlfn.XLOOKUP(F387,PhpReserved!A:A,PhpReserved!B:B,"") = "", _xlfn.XLOOKUP(G387,PhpReserved!A:A,PhpReserved!B:B,""),_xlfn.XLOOKUP(F387,PhpReserved!A:A,PhpReserved!B:B,""))</f>
        <v/>
      </c>
      <c r="M387" t="str">
        <f>IF(_xlfn.XLOOKUP(F387,PhpFunctions!A:A,PhpFunctions!B:B,"") =  "", _xlfn.XLOOKUP(G387,PhpFunctions!A:A,PhpFunctions!B:B,""), _xlfn.XLOOKUP(F387,PhpFunctions!A:A,PhpFunctions!B:B,""))</f>
        <v/>
      </c>
      <c r="N387" t="str">
        <f>IF(_xlfn.XLOOKUP(F387,PhpParamFunc!A:A,PhpParamFunc!B:B,"") = "", _xlfn.XLOOKUP(G387,PhpParamFunc!A:A,PhpParamFunc!B:B,""), _xlfn.XLOOKUP(F387,PhpParamFunc!A:A,PhpParamFunc!B:B,""))</f>
        <v/>
      </c>
      <c r="O387" t="str">
        <f>IF(_xlfn.XLOOKUP(F387,PhpAggrFunc!A:A,PhpAggrFunc!B:B,"") = "", _xlfn.XLOOKUP(G387,PhpAggrFunc!A:A,PhpAggrFunc!B:B,""), _xlfn.XLOOKUP(F387,PhpAggrFunc!A:A,PhpAggrFunc!B:B,""))</f>
        <v/>
      </c>
      <c r="P387" t="str">
        <f t="shared" si="32"/>
        <v>UNRESERVED</v>
      </c>
      <c r="Q387" t="str">
        <f t="shared" si="33"/>
        <v>static const String^ TOK_RESET = "RESET";</v>
      </c>
      <c r="R387" t="str">
        <f t="shared" si="34"/>
        <v>static const int TOK_RESET = 743;</v>
      </c>
      <c r="S387" t="str">
        <f t="shared" si="35"/>
        <v>// _Tokens-&gt;Add((String^)GramVals::TOK_RESET, gcnew Token(GramKeys::TOK_RESET, EnumTokenCategory::UNRESERVED,BARE_LABEL, i++));</v>
      </c>
    </row>
    <row r="388" spans="1:19" x14ac:dyDescent="0.25">
      <c r="A388" s="3" t="s">
        <v>1751</v>
      </c>
      <c r="B388" s="5">
        <v>744</v>
      </c>
      <c r="C388" s="3" t="s">
        <v>2279</v>
      </c>
      <c r="D388" s="3" t="s">
        <v>881</v>
      </c>
      <c r="F388" t="str">
        <f t="shared" ref="F388:F451" si="36">MID(A388,5,99)</f>
        <v>RESETTING</v>
      </c>
      <c r="G388" t="s">
        <v>3796</v>
      </c>
      <c r="I388" s="3" t="str">
        <f>IF(_xlfn.XLOOKUP(F388,PgSqlRaw!B:B,PgSqlRaw!E:E,"") = "",_xlfn.XLOOKUP(G388,PgSqlRaw!B:B,PgSqlRaw!E:E,""),_xlfn.XLOOKUP(F388,PgSqlRaw!B:B,PgSqlRaw!E:E,""))</f>
        <v/>
      </c>
      <c r="J388" t="str">
        <f>IF(_xlfn.XLOOKUP(F388,PgSqlRaw!B:B,PgSqlRaw!F:F,"") = "", _xlfn.XLOOKUP(G388,PgSqlRaw!B:B,PgSqlRaw!F:F,""), _xlfn.XLOOKUP(F388,PgSqlRaw!B:B,PgSqlRaw!F:F,""))</f>
        <v/>
      </c>
      <c r="K388" t="str">
        <f t="shared" ref="K388:K451" si="37">IF(J388 = "", "BARE_LABEL", J388)</f>
        <v>BARE_LABEL</v>
      </c>
      <c r="L388" t="str">
        <f>IF(_xlfn.XLOOKUP(F388,PhpReserved!A:A,PhpReserved!B:B,"") = "", _xlfn.XLOOKUP(G388,PhpReserved!A:A,PhpReserved!B:B,""),_xlfn.XLOOKUP(F388,PhpReserved!A:A,PhpReserved!B:B,""))</f>
        <v/>
      </c>
      <c r="M388" t="str">
        <f>IF(_xlfn.XLOOKUP(F388,PhpFunctions!A:A,PhpFunctions!B:B,"") =  "", _xlfn.XLOOKUP(G388,PhpFunctions!A:A,PhpFunctions!B:B,""), _xlfn.XLOOKUP(F388,PhpFunctions!A:A,PhpFunctions!B:B,""))</f>
        <v/>
      </c>
      <c r="N388" t="str">
        <f>IF(_xlfn.XLOOKUP(F388,PhpParamFunc!A:A,PhpParamFunc!B:B,"") = "", _xlfn.XLOOKUP(G388,PhpParamFunc!A:A,PhpParamFunc!B:B,""), _xlfn.XLOOKUP(F388,PhpParamFunc!A:A,PhpParamFunc!B:B,""))</f>
        <v/>
      </c>
      <c r="O388" t="str">
        <f>IF(_xlfn.XLOOKUP(F388,PhpAggrFunc!A:A,PhpAggrFunc!B:B,"") = "", _xlfn.XLOOKUP(G388,PhpAggrFunc!A:A,PhpAggrFunc!B:B,""), _xlfn.XLOOKUP(F388,PhpAggrFunc!A:A,PhpAggrFunc!B:B,""))</f>
        <v/>
      </c>
      <c r="P388" t="str">
        <f t="shared" ref="P388:P451" si="38">IF(O388 = "",IF(N388 = "", IF(M388 = "", IF(L388 = "", IF(I388 = "",IF(E388 = "","UNRESERVED",E388),I388),L388),M388),N388),O388)</f>
        <v>UNRESERVED</v>
      </c>
      <c r="Q388" t="str">
        <f t="shared" ref="Q388:Q451" si="39">_xlfn.CONCAT("static const String^ ", A388, " = ", C388, ";")</f>
        <v>static const String^ TOK_RESETTING = "RESETTING";</v>
      </c>
      <c r="R388" t="str">
        <f t="shared" ref="R388:R451" si="40">_xlfn.CONCAT("static const int ", A388, " = ", B388, ";")</f>
        <v>static const int TOK_RESETTING = 744;</v>
      </c>
      <c r="S388" t="str">
        <f t="shared" ref="S388:S451" si="41">_xlfn.CONCAT(IF(P388 = "UNRESERVED", "// ", ""),"_Tokens-&gt;Add((String^)GramVals::", A388, ", gcnew Token(GramKeys::", A388, ", EnumTokenCategory::", P388, ",",K388, ", i++));")</f>
        <v>// _Tokens-&gt;Add((String^)GramVals::TOK_RESETTING, gcnew Token(GramKeys::TOK_RESETTING, EnumTokenCategory::UNRESERVED,BARE_LABEL, i++));</v>
      </c>
    </row>
    <row r="389" spans="1:19" x14ac:dyDescent="0.25">
      <c r="A389" s="3" t="s">
        <v>1752</v>
      </c>
      <c r="B389" s="5" t="s">
        <v>1276</v>
      </c>
      <c r="C389" s="3" t="s">
        <v>2280</v>
      </c>
      <c r="D389" s="3" t="s">
        <v>2423</v>
      </c>
      <c r="F389" t="str">
        <f t="shared" si="36"/>
        <v>RESTART</v>
      </c>
      <c r="G389" t="s">
        <v>3525</v>
      </c>
      <c r="I389" s="3" t="str">
        <f>IF(_xlfn.XLOOKUP(F389,PgSqlRaw!B:B,PgSqlRaw!E:E,"") = "",_xlfn.XLOOKUP(G389,PgSqlRaw!B:B,PgSqlRaw!E:E,""),_xlfn.XLOOKUP(F389,PgSqlRaw!B:B,PgSqlRaw!E:E,""))</f>
        <v/>
      </c>
      <c r="J389" t="str">
        <f>IF(_xlfn.XLOOKUP(F389,PgSqlRaw!B:B,PgSqlRaw!F:F,"") = "", _xlfn.XLOOKUP(G389,PgSqlRaw!B:B,PgSqlRaw!F:F,""), _xlfn.XLOOKUP(F389,PgSqlRaw!B:B,PgSqlRaw!F:F,""))</f>
        <v>BARE_LABEL</v>
      </c>
      <c r="K389" t="str">
        <f t="shared" si="37"/>
        <v>BARE_LABEL</v>
      </c>
      <c r="L389" t="str">
        <f>IF(_xlfn.XLOOKUP(F389,PhpReserved!A:A,PhpReserved!B:B,"") = "", _xlfn.XLOOKUP(G389,PhpReserved!A:A,PhpReserved!B:B,""),_xlfn.XLOOKUP(F389,PhpReserved!A:A,PhpReserved!B:B,""))</f>
        <v/>
      </c>
      <c r="M389" t="str">
        <f>IF(_xlfn.XLOOKUP(F389,PhpFunctions!A:A,PhpFunctions!B:B,"") =  "", _xlfn.XLOOKUP(G389,PhpFunctions!A:A,PhpFunctions!B:B,""), _xlfn.XLOOKUP(F389,PhpFunctions!A:A,PhpFunctions!B:B,""))</f>
        <v/>
      </c>
      <c r="N389" t="str">
        <f>IF(_xlfn.XLOOKUP(F389,PhpParamFunc!A:A,PhpParamFunc!B:B,"") = "", _xlfn.XLOOKUP(G389,PhpParamFunc!A:A,PhpParamFunc!B:B,""), _xlfn.XLOOKUP(F389,PhpParamFunc!A:A,PhpParamFunc!B:B,""))</f>
        <v/>
      </c>
      <c r="O389" t="str">
        <f>IF(_xlfn.XLOOKUP(F389,PhpAggrFunc!A:A,PhpAggrFunc!B:B,"") = "", _xlfn.XLOOKUP(G389,PhpAggrFunc!A:A,PhpAggrFunc!B:B,""), _xlfn.XLOOKUP(F389,PhpAggrFunc!A:A,PhpAggrFunc!B:B,""))</f>
        <v/>
      </c>
      <c r="P389" t="str">
        <f t="shared" si="38"/>
        <v>UNRESERVED</v>
      </c>
      <c r="Q389" t="str">
        <f t="shared" si="39"/>
        <v>static const String^ TOK_RESTART = "RESTART";</v>
      </c>
      <c r="R389" t="str">
        <f t="shared" si="40"/>
        <v>static const int TOK_RESTART = 507;</v>
      </c>
      <c r="S389" t="str">
        <f t="shared" si="41"/>
        <v>// _Tokens-&gt;Add((String^)GramVals::TOK_RESTART, gcnew Token(GramKeys::TOK_RESTART, EnumTokenCategory::UNRESERVED,BARE_LABEL, i++));</v>
      </c>
    </row>
    <row r="390" spans="1:19" x14ac:dyDescent="0.25">
      <c r="A390" s="3" t="s">
        <v>1753</v>
      </c>
      <c r="B390" s="5" t="s">
        <v>1277</v>
      </c>
      <c r="C390" s="3" t="s">
        <v>2281</v>
      </c>
      <c r="D390" s="3" t="s">
        <v>2423</v>
      </c>
      <c r="F390" t="str">
        <f t="shared" si="36"/>
        <v>RESTRICT</v>
      </c>
      <c r="G390" t="s">
        <v>3223</v>
      </c>
      <c r="I390" s="3" t="str">
        <f>IF(_xlfn.XLOOKUP(F390,PgSqlRaw!B:B,PgSqlRaw!E:E,"") = "",_xlfn.XLOOKUP(G390,PgSqlRaw!B:B,PgSqlRaw!E:E,""),_xlfn.XLOOKUP(F390,PgSqlRaw!B:B,PgSqlRaw!E:E,""))</f>
        <v/>
      </c>
      <c r="J390" t="str">
        <f>IF(_xlfn.XLOOKUP(F390,PgSqlRaw!B:B,PgSqlRaw!F:F,"") = "", _xlfn.XLOOKUP(G390,PgSqlRaw!B:B,PgSqlRaw!F:F,""), _xlfn.XLOOKUP(F390,PgSqlRaw!B:B,PgSqlRaw!F:F,""))</f>
        <v>BARE_LABEL</v>
      </c>
      <c r="K390" t="str">
        <f t="shared" si="37"/>
        <v>BARE_LABEL</v>
      </c>
      <c r="L390" t="str">
        <f>IF(_xlfn.XLOOKUP(F390,PhpReserved!A:A,PhpReserved!B:B,"") = "", _xlfn.XLOOKUP(G390,PhpReserved!A:A,PhpReserved!B:B,""),_xlfn.XLOOKUP(F390,PhpReserved!A:A,PhpReserved!B:B,""))</f>
        <v>RESERVED</v>
      </c>
      <c r="M390" t="str">
        <f>IF(_xlfn.XLOOKUP(F390,PhpFunctions!A:A,PhpFunctions!B:B,"") =  "", _xlfn.XLOOKUP(G390,PhpFunctions!A:A,PhpFunctions!B:B,""), _xlfn.XLOOKUP(F390,PhpFunctions!A:A,PhpFunctions!B:B,""))</f>
        <v/>
      </c>
      <c r="N390" t="str">
        <f>IF(_xlfn.XLOOKUP(F390,PhpParamFunc!A:A,PhpParamFunc!B:B,"") = "", _xlfn.XLOOKUP(G390,PhpParamFunc!A:A,PhpParamFunc!B:B,""), _xlfn.XLOOKUP(F390,PhpParamFunc!A:A,PhpParamFunc!B:B,""))</f>
        <v/>
      </c>
      <c r="O390" t="str">
        <f>IF(_xlfn.XLOOKUP(F390,PhpAggrFunc!A:A,PhpAggrFunc!B:B,"") = "", _xlfn.XLOOKUP(G390,PhpAggrFunc!A:A,PhpAggrFunc!B:B,""), _xlfn.XLOOKUP(F390,PhpAggrFunc!A:A,PhpAggrFunc!B:B,""))</f>
        <v/>
      </c>
      <c r="P390" t="str">
        <f t="shared" si="38"/>
        <v>RESERVED</v>
      </c>
      <c r="Q390" t="str">
        <f t="shared" si="39"/>
        <v>static const String^ TOK_RESTRICT = "RESTRICT";</v>
      </c>
      <c r="R390" t="str">
        <f t="shared" si="40"/>
        <v>static const int TOK_RESTRICT = 449;</v>
      </c>
      <c r="S390" t="str">
        <f t="shared" si="41"/>
        <v>_Tokens-&gt;Add((String^)GramVals::TOK_RESTRICT, gcnew Token(GramKeys::TOK_RESTRICT, EnumTokenCategory::RESERVED,BARE_LABEL, i++));</v>
      </c>
    </row>
    <row r="391" spans="1:19" x14ac:dyDescent="0.25">
      <c r="A391" s="3" t="s">
        <v>1754</v>
      </c>
      <c r="B391" s="5" t="s">
        <v>1278</v>
      </c>
      <c r="C391" s="3" t="s">
        <v>2282</v>
      </c>
      <c r="D391" s="3" t="s">
        <v>2423</v>
      </c>
      <c r="F391" t="str">
        <f t="shared" si="36"/>
        <v>RETAIN</v>
      </c>
      <c r="G391" t="s">
        <v>3797</v>
      </c>
      <c r="I391" s="3" t="str">
        <f>IF(_xlfn.XLOOKUP(F391,PgSqlRaw!B:B,PgSqlRaw!E:E,"") = "",_xlfn.XLOOKUP(G391,PgSqlRaw!B:B,PgSqlRaw!E:E,""),_xlfn.XLOOKUP(F391,PgSqlRaw!B:B,PgSqlRaw!E:E,""))</f>
        <v/>
      </c>
      <c r="J391" t="str">
        <f>IF(_xlfn.XLOOKUP(F391,PgSqlRaw!B:B,PgSqlRaw!F:F,"") = "", _xlfn.XLOOKUP(G391,PgSqlRaw!B:B,PgSqlRaw!F:F,""), _xlfn.XLOOKUP(F391,PgSqlRaw!B:B,PgSqlRaw!F:F,""))</f>
        <v/>
      </c>
      <c r="K391" t="str">
        <f t="shared" si="37"/>
        <v>BARE_LABEL</v>
      </c>
      <c r="L391" t="str">
        <f>IF(_xlfn.XLOOKUP(F391,PhpReserved!A:A,PhpReserved!B:B,"") = "", _xlfn.XLOOKUP(G391,PhpReserved!A:A,PhpReserved!B:B,""),_xlfn.XLOOKUP(F391,PhpReserved!A:A,PhpReserved!B:B,""))</f>
        <v/>
      </c>
      <c r="M391" t="str">
        <f>IF(_xlfn.XLOOKUP(F391,PhpFunctions!A:A,PhpFunctions!B:B,"") =  "", _xlfn.XLOOKUP(G391,PhpFunctions!A:A,PhpFunctions!B:B,""), _xlfn.XLOOKUP(F391,PhpFunctions!A:A,PhpFunctions!B:B,""))</f>
        <v/>
      </c>
      <c r="N391" t="str">
        <f>IF(_xlfn.XLOOKUP(F391,PhpParamFunc!A:A,PhpParamFunc!B:B,"") = "", _xlfn.XLOOKUP(G391,PhpParamFunc!A:A,PhpParamFunc!B:B,""), _xlfn.XLOOKUP(F391,PhpParamFunc!A:A,PhpParamFunc!B:B,""))</f>
        <v/>
      </c>
      <c r="O391" t="str">
        <f>IF(_xlfn.XLOOKUP(F391,PhpAggrFunc!A:A,PhpAggrFunc!B:B,"") = "", _xlfn.XLOOKUP(G391,PhpAggrFunc!A:A,PhpAggrFunc!B:B,""), _xlfn.XLOOKUP(F391,PhpAggrFunc!A:A,PhpAggrFunc!B:B,""))</f>
        <v/>
      </c>
      <c r="P391" t="str">
        <f t="shared" si="38"/>
        <v>UNRESERVED</v>
      </c>
      <c r="Q391" t="str">
        <f t="shared" si="39"/>
        <v>static const String^ TOK_RETAIN = "RETAIN";</v>
      </c>
      <c r="R391" t="str">
        <f t="shared" si="40"/>
        <v>static const int TOK_RETAIN = 393;</v>
      </c>
      <c r="S391" t="str">
        <f t="shared" si="41"/>
        <v>// _Tokens-&gt;Add((String^)GramVals::TOK_RETAIN, gcnew Token(GramKeys::TOK_RETAIN, EnumTokenCategory::UNRESERVED,BARE_LABEL, i++));</v>
      </c>
    </row>
    <row r="392" spans="1:19" x14ac:dyDescent="0.25">
      <c r="A392" s="3" t="s">
        <v>1755</v>
      </c>
      <c r="B392" s="5" t="s">
        <v>1279</v>
      </c>
      <c r="C392" s="3" t="s">
        <v>2283</v>
      </c>
      <c r="D392" s="3" t="s">
        <v>881</v>
      </c>
      <c r="F392" t="str">
        <f t="shared" si="36"/>
        <v>RETURN</v>
      </c>
      <c r="G392" t="s">
        <v>3224</v>
      </c>
      <c r="I392" s="3" t="str">
        <f>IF(_xlfn.XLOOKUP(F392,PgSqlRaw!B:B,PgSqlRaw!E:E,"") = "",_xlfn.XLOOKUP(G392,PgSqlRaw!B:B,PgSqlRaw!E:E,""),_xlfn.XLOOKUP(F392,PgSqlRaw!B:B,PgSqlRaw!E:E,""))</f>
        <v/>
      </c>
      <c r="J392" t="str">
        <f>IF(_xlfn.XLOOKUP(F392,PgSqlRaw!B:B,PgSqlRaw!F:F,"") = "", _xlfn.XLOOKUP(G392,PgSqlRaw!B:B,PgSqlRaw!F:F,""), _xlfn.XLOOKUP(F392,PgSqlRaw!B:B,PgSqlRaw!F:F,""))</f>
        <v>BARE_LABEL</v>
      </c>
      <c r="K392" t="str">
        <f t="shared" si="37"/>
        <v>BARE_LABEL</v>
      </c>
      <c r="L392" t="str">
        <f>IF(_xlfn.XLOOKUP(F392,PhpReserved!A:A,PhpReserved!B:B,"") = "", _xlfn.XLOOKUP(G392,PhpReserved!A:A,PhpReserved!B:B,""),_xlfn.XLOOKUP(F392,PhpReserved!A:A,PhpReserved!B:B,""))</f>
        <v>RESERVED</v>
      </c>
      <c r="M392" t="str">
        <f>IF(_xlfn.XLOOKUP(F392,PhpFunctions!A:A,PhpFunctions!B:B,"") =  "", _xlfn.XLOOKUP(G392,PhpFunctions!A:A,PhpFunctions!B:B,""), _xlfn.XLOOKUP(F392,PhpFunctions!A:A,PhpFunctions!B:B,""))</f>
        <v/>
      </c>
      <c r="N392" t="str">
        <f>IF(_xlfn.XLOOKUP(F392,PhpParamFunc!A:A,PhpParamFunc!B:B,"") = "", _xlfn.XLOOKUP(G392,PhpParamFunc!A:A,PhpParamFunc!B:B,""), _xlfn.XLOOKUP(F392,PhpParamFunc!A:A,PhpParamFunc!B:B,""))</f>
        <v/>
      </c>
      <c r="O392" t="str">
        <f>IF(_xlfn.XLOOKUP(F392,PhpAggrFunc!A:A,PhpAggrFunc!B:B,"") = "", _xlfn.XLOOKUP(G392,PhpAggrFunc!A:A,PhpAggrFunc!B:B,""), _xlfn.XLOOKUP(F392,PhpAggrFunc!A:A,PhpAggrFunc!B:B,""))</f>
        <v/>
      </c>
      <c r="P392" t="str">
        <f t="shared" si="38"/>
        <v>RESERVED</v>
      </c>
      <c r="Q392" t="str">
        <f t="shared" si="39"/>
        <v>static const String^ TOK_RETURN = "RETURN";</v>
      </c>
      <c r="R392" t="str">
        <f t="shared" si="40"/>
        <v>static const int TOK_RETURN = 626;</v>
      </c>
      <c r="S392" t="str">
        <f t="shared" si="41"/>
        <v>_Tokens-&gt;Add((String^)GramVals::TOK_RETURN, gcnew Token(GramKeys::TOK_RETURN, EnumTokenCategory::RESERVED,BARE_LABEL, i++));</v>
      </c>
    </row>
    <row r="393" spans="1:19" x14ac:dyDescent="0.25">
      <c r="A393" s="3" t="s">
        <v>1756</v>
      </c>
      <c r="B393" s="5" t="s">
        <v>1280</v>
      </c>
      <c r="C393" s="3" t="s">
        <v>2284</v>
      </c>
      <c r="D393" s="3" t="s">
        <v>2423</v>
      </c>
      <c r="F393" t="str">
        <f t="shared" si="36"/>
        <v>RETURNING</v>
      </c>
      <c r="G393" t="s">
        <v>3526</v>
      </c>
      <c r="I393" s="3" t="str">
        <f>IF(_xlfn.XLOOKUP(F393,PgSqlRaw!B:B,PgSqlRaw!E:E,"") = "",_xlfn.XLOOKUP(G393,PgSqlRaw!B:B,PgSqlRaw!E:E,""),_xlfn.XLOOKUP(F393,PgSqlRaw!B:B,PgSqlRaw!E:E,""))</f>
        <v>RESERVED</v>
      </c>
      <c r="J393" t="str">
        <f>IF(_xlfn.XLOOKUP(F393,PgSqlRaw!B:B,PgSqlRaw!F:F,"") = "", _xlfn.XLOOKUP(G393,PgSqlRaw!B:B,PgSqlRaw!F:F,""), _xlfn.XLOOKUP(F393,PgSqlRaw!B:B,PgSqlRaw!F:F,""))</f>
        <v>AS_LABEL</v>
      </c>
      <c r="K393" t="str">
        <f t="shared" si="37"/>
        <v>AS_LABEL</v>
      </c>
      <c r="L393" t="str">
        <f>IF(_xlfn.XLOOKUP(F393,PhpReserved!A:A,PhpReserved!B:B,"") = "", _xlfn.XLOOKUP(G393,PhpReserved!A:A,PhpReserved!B:B,""),_xlfn.XLOOKUP(F393,PhpReserved!A:A,PhpReserved!B:B,""))</f>
        <v/>
      </c>
      <c r="M393" t="str">
        <f>IF(_xlfn.XLOOKUP(F393,PhpFunctions!A:A,PhpFunctions!B:B,"") =  "", _xlfn.XLOOKUP(G393,PhpFunctions!A:A,PhpFunctions!B:B,""), _xlfn.XLOOKUP(F393,PhpFunctions!A:A,PhpFunctions!B:B,""))</f>
        <v/>
      </c>
      <c r="N393" t="str">
        <f>IF(_xlfn.XLOOKUP(F393,PhpParamFunc!A:A,PhpParamFunc!B:B,"") = "", _xlfn.XLOOKUP(G393,PhpParamFunc!A:A,PhpParamFunc!B:B,""), _xlfn.XLOOKUP(F393,PhpParamFunc!A:A,PhpParamFunc!B:B,""))</f>
        <v/>
      </c>
      <c r="O393" t="str">
        <f>IF(_xlfn.XLOOKUP(F393,PhpAggrFunc!A:A,PhpAggrFunc!B:B,"") = "", _xlfn.XLOOKUP(G393,PhpAggrFunc!A:A,PhpAggrFunc!B:B,""), _xlfn.XLOOKUP(F393,PhpAggrFunc!A:A,PhpAggrFunc!B:B,""))</f>
        <v/>
      </c>
      <c r="P393" t="str">
        <f t="shared" si="38"/>
        <v>RESERVED</v>
      </c>
      <c r="Q393" t="str">
        <f t="shared" si="39"/>
        <v>static const String^ TOK_RETURNING = "RETURNING";</v>
      </c>
      <c r="R393" t="str">
        <f t="shared" si="40"/>
        <v>static const int TOK_RETURNING = 519;</v>
      </c>
      <c r="S393" t="str">
        <f t="shared" si="41"/>
        <v>_Tokens-&gt;Add((String^)GramVals::TOK_RETURNING, gcnew Token(GramKeys::TOK_RETURNING, EnumTokenCategory::RESERVED,AS_LABEL, i++));</v>
      </c>
    </row>
    <row r="394" spans="1:19" x14ac:dyDescent="0.25">
      <c r="A394" s="3" t="s">
        <v>1757</v>
      </c>
      <c r="B394" s="5" t="s">
        <v>1281</v>
      </c>
      <c r="C394" s="3" t="s">
        <v>2285</v>
      </c>
      <c r="D394" s="3" t="s">
        <v>881</v>
      </c>
      <c r="F394" t="str">
        <f t="shared" si="36"/>
        <v>RETURNING_VALUES</v>
      </c>
      <c r="G394" t="s">
        <v>3798</v>
      </c>
      <c r="I394" s="3" t="str">
        <f>IF(_xlfn.XLOOKUP(F394,PgSqlRaw!B:B,PgSqlRaw!E:E,"") = "",_xlfn.XLOOKUP(G394,PgSqlRaw!B:B,PgSqlRaw!E:E,""),_xlfn.XLOOKUP(F394,PgSqlRaw!B:B,PgSqlRaw!E:E,""))</f>
        <v/>
      </c>
      <c r="J394" t="str">
        <f>IF(_xlfn.XLOOKUP(F394,PgSqlRaw!B:B,PgSqlRaw!F:F,"") = "", _xlfn.XLOOKUP(G394,PgSqlRaw!B:B,PgSqlRaw!F:F,""), _xlfn.XLOOKUP(F394,PgSqlRaw!B:B,PgSqlRaw!F:F,""))</f>
        <v/>
      </c>
      <c r="K394" t="str">
        <f t="shared" si="37"/>
        <v>BARE_LABEL</v>
      </c>
      <c r="L394" t="str">
        <f>IF(_xlfn.XLOOKUP(F394,PhpReserved!A:A,PhpReserved!B:B,"") = "", _xlfn.XLOOKUP(G394,PhpReserved!A:A,PhpReserved!B:B,""),_xlfn.XLOOKUP(F394,PhpReserved!A:A,PhpReserved!B:B,""))</f>
        <v/>
      </c>
      <c r="M394" t="str">
        <f>IF(_xlfn.XLOOKUP(F394,PhpFunctions!A:A,PhpFunctions!B:B,"") =  "", _xlfn.XLOOKUP(G394,PhpFunctions!A:A,PhpFunctions!B:B,""), _xlfn.XLOOKUP(F394,PhpFunctions!A:A,PhpFunctions!B:B,""))</f>
        <v/>
      </c>
      <c r="N394" t="str">
        <f>IF(_xlfn.XLOOKUP(F394,PhpParamFunc!A:A,PhpParamFunc!B:B,"") = "", _xlfn.XLOOKUP(G394,PhpParamFunc!A:A,PhpParamFunc!B:B,""), _xlfn.XLOOKUP(F394,PhpParamFunc!A:A,PhpParamFunc!B:B,""))</f>
        <v/>
      </c>
      <c r="O394" t="str">
        <f>IF(_xlfn.XLOOKUP(F394,PhpAggrFunc!A:A,PhpAggrFunc!B:B,"") = "", _xlfn.XLOOKUP(G394,PhpAggrFunc!A:A,PhpAggrFunc!B:B,""), _xlfn.XLOOKUP(F394,PhpAggrFunc!A:A,PhpAggrFunc!B:B,""))</f>
        <v/>
      </c>
      <c r="P394" t="str">
        <f t="shared" si="38"/>
        <v>UNRESERVED</v>
      </c>
      <c r="Q394" t="str">
        <f t="shared" si="39"/>
        <v>static const String^ TOK_RETURNING_VALUES = "RETURNING_VALUES";</v>
      </c>
      <c r="R394" t="str">
        <f t="shared" si="40"/>
        <v>static const int TOK_RETURNING_VALUES = 394;</v>
      </c>
      <c r="S394" t="str">
        <f t="shared" si="41"/>
        <v>// _Tokens-&gt;Add((String^)GramVals::TOK_RETURNING_VALUES, gcnew Token(GramKeys::TOK_RETURNING_VALUES, EnumTokenCategory::UNRESERVED,BARE_LABEL, i++));</v>
      </c>
    </row>
    <row r="395" spans="1:19" x14ac:dyDescent="0.25">
      <c r="A395" s="3" t="s">
        <v>1758</v>
      </c>
      <c r="B395" s="5" t="s">
        <v>1282</v>
      </c>
      <c r="C395" s="3" t="s">
        <v>2286</v>
      </c>
      <c r="D395" s="3" t="s">
        <v>881</v>
      </c>
      <c r="F395" t="str">
        <f t="shared" si="36"/>
        <v>RETURNS</v>
      </c>
      <c r="G395" t="s">
        <v>3527</v>
      </c>
      <c r="I395" s="3" t="str">
        <f>IF(_xlfn.XLOOKUP(F395,PgSqlRaw!B:B,PgSqlRaw!E:E,"") = "",_xlfn.XLOOKUP(G395,PgSqlRaw!B:B,PgSqlRaw!E:E,""),_xlfn.XLOOKUP(F395,PgSqlRaw!B:B,PgSqlRaw!E:E,""))</f>
        <v/>
      </c>
      <c r="J395" t="str">
        <f>IF(_xlfn.XLOOKUP(F395,PgSqlRaw!B:B,PgSqlRaw!F:F,"") = "", _xlfn.XLOOKUP(G395,PgSqlRaw!B:B,PgSqlRaw!F:F,""), _xlfn.XLOOKUP(F395,PgSqlRaw!B:B,PgSqlRaw!F:F,""))</f>
        <v>BARE_LABEL</v>
      </c>
      <c r="K395" t="str">
        <f t="shared" si="37"/>
        <v>BARE_LABEL</v>
      </c>
      <c r="L395" t="str">
        <f>IF(_xlfn.XLOOKUP(F395,PhpReserved!A:A,PhpReserved!B:B,"") = "", _xlfn.XLOOKUP(G395,PhpReserved!A:A,PhpReserved!B:B,""),_xlfn.XLOOKUP(F395,PhpReserved!A:A,PhpReserved!B:B,""))</f>
        <v/>
      </c>
      <c r="M395" t="str">
        <f>IF(_xlfn.XLOOKUP(F395,PhpFunctions!A:A,PhpFunctions!B:B,"") =  "", _xlfn.XLOOKUP(G395,PhpFunctions!A:A,PhpFunctions!B:B,""), _xlfn.XLOOKUP(F395,PhpFunctions!A:A,PhpFunctions!B:B,""))</f>
        <v/>
      </c>
      <c r="N395" t="str">
        <f>IF(_xlfn.XLOOKUP(F395,PhpParamFunc!A:A,PhpParamFunc!B:B,"") = "", _xlfn.XLOOKUP(G395,PhpParamFunc!A:A,PhpParamFunc!B:B,""), _xlfn.XLOOKUP(F395,PhpParamFunc!A:A,PhpParamFunc!B:B,""))</f>
        <v/>
      </c>
      <c r="O395" t="str">
        <f>IF(_xlfn.XLOOKUP(F395,PhpAggrFunc!A:A,PhpAggrFunc!B:B,"") = "", _xlfn.XLOOKUP(G395,PhpAggrFunc!A:A,PhpAggrFunc!B:B,""), _xlfn.XLOOKUP(F395,PhpAggrFunc!A:A,PhpAggrFunc!B:B,""))</f>
        <v/>
      </c>
      <c r="P395" t="str">
        <f t="shared" si="38"/>
        <v>UNRESERVED</v>
      </c>
      <c r="Q395" t="str">
        <f t="shared" si="39"/>
        <v>static const String^ TOK_RETURNS = "RETURNS";</v>
      </c>
      <c r="R395" t="str">
        <f t="shared" si="40"/>
        <v>static const int TOK_RETURNS = 395;</v>
      </c>
      <c r="S395" t="str">
        <f t="shared" si="41"/>
        <v>// _Tokens-&gt;Add((String^)GramVals::TOK_RETURNS, gcnew Token(GramKeys::TOK_RETURNS, EnumTokenCategory::UNRESERVED,BARE_LABEL, i++));</v>
      </c>
    </row>
    <row r="396" spans="1:19" x14ac:dyDescent="0.25">
      <c r="A396" s="3" t="s">
        <v>1759</v>
      </c>
      <c r="B396" s="5" t="s">
        <v>1283</v>
      </c>
      <c r="C396" s="3" t="s">
        <v>2287</v>
      </c>
      <c r="D396" s="3" t="s">
        <v>2423</v>
      </c>
      <c r="F396" t="str">
        <f t="shared" si="36"/>
        <v>REVERSE</v>
      </c>
      <c r="G396" t="s">
        <v>3024</v>
      </c>
      <c r="I396" s="3" t="str">
        <f>IF(_xlfn.XLOOKUP(F396,PgSqlRaw!B:B,PgSqlRaw!E:E,"") = "",_xlfn.XLOOKUP(G396,PgSqlRaw!B:B,PgSqlRaw!E:E,""),_xlfn.XLOOKUP(F396,PgSqlRaw!B:B,PgSqlRaw!E:E,""))</f>
        <v/>
      </c>
      <c r="J396" t="str">
        <f>IF(_xlfn.XLOOKUP(F396,PgSqlRaw!B:B,PgSqlRaw!F:F,"") = "", _xlfn.XLOOKUP(G396,PgSqlRaw!B:B,PgSqlRaw!F:F,""), _xlfn.XLOOKUP(F396,PgSqlRaw!B:B,PgSqlRaw!F:F,""))</f>
        <v/>
      </c>
      <c r="K396" t="str">
        <f t="shared" si="37"/>
        <v>BARE_LABEL</v>
      </c>
      <c r="L396" t="str">
        <f>IF(_xlfn.XLOOKUP(F396,PhpReserved!A:A,PhpReserved!B:B,"") = "", _xlfn.XLOOKUP(G396,PhpReserved!A:A,PhpReserved!B:B,""),_xlfn.XLOOKUP(F396,PhpReserved!A:A,PhpReserved!B:B,""))</f>
        <v>RESERVED</v>
      </c>
      <c r="M396" t="str">
        <f>IF(_xlfn.XLOOKUP(F396,PhpFunctions!A:A,PhpFunctions!B:B,"") =  "", _xlfn.XLOOKUP(G396,PhpFunctions!A:A,PhpFunctions!B:B,""), _xlfn.XLOOKUP(F396,PhpFunctions!A:A,PhpFunctions!B:B,""))</f>
        <v>FUNCTION</v>
      </c>
      <c r="N396" t="str">
        <f>IF(_xlfn.XLOOKUP(F396,PhpParamFunc!A:A,PhpParamFunc!B:B,"") = "", _xlfn.XLOOKUP(G396,PhpParamFunc!A:A,PhpParamFunc!B:B,""), _xlfn.XLOOKUP(F396,PhpParamFunc!A:A,PhpParamFunc!B:B,""))</f>
        <v>PARAM_FUNCTION</v>
      </c>
      <c r="O396" t="str">
        <f>IF(_xlfn.XLOOKUP(F396,PhpAggrFunc!A:A,PhpAggrFunc!B:B,"") = "", _xlfn.XLOOKUP(G396,PhpAggrFunc!A:A,PhpAggrFunc!B:B,""), _xlfn.XLOOKUP(F396,PhpAggrFunc!A:A,PhpAggrFunc!B:B,""))</f>
        <v/>
      </c>
      <c r="P396" t="str">
        <f t="shared" si="38"/>
        <v>PARAM_FUNCTION</v>
      </c>
      <c r="Q396" t="str">
        <f t="shared" si="39"/>
        <v>static const String^ TOK_REVERSE = "REVERSE";</v>
      </c>
      <c r="R396" t="str">
        <f t="shared" si="40"/>
        <v>static const int TOK_REVERSE = 575;</v>
      </c>
      <c r="S396" t="str">
        <f t="shared" si="41"/>
        <v>_Tokens-&gt;Add((String^)GramVals::TOK_REVERSE, gcnew Token(GramKeys::TOK_REVERSE, EnumTokenCategory::PARAM_FUNCTION,BARE_LABEL, i++));</v>
      </c>
    </row>
    <row r="397" spans="1:19" x14ac:dyDescent="0.25">
      <c r="A397" s="3" t="s">
        <v>1760</v>
      </c>
      <c r="B397" s="5" t="s">
        <v>1284</v>
      </c>
      <c r="C397" s="3" t="s">
        <v>2288</v>
      </c>
      <c r="D397" s="3" t="s">
        <v>881</v>
      </c>
      <c r="F397" t="str">
        <f t="shared" si="36"/>
        <v>REVOKE</v>
      </c>
      <c r="G397" t="s">
        <v>3225</v>
      </c>
      <c r="I397" s="3" t="str">
        <f>IF(_xlfn.XLOOKUP(F397,PgSqlRaw!B:B,PgSqlRaw!E:E,"") = "",_xlfn.XLOOKUP(G397,PgSqlRaw!B:B,PgSqlRaw!E:E,""),_xlfn.XLOOKUP(F397,PgSqlRaw!B:B,PgSqlRaw!E:E,""))</f>
        <v/>
      </c>
      <c r="J397" t="str">
        <f>IF(_xlfn.XLOOKUP(F397,PgSqlRaw!B:B,PgSqlRaw!F:F,"") = "", _xlfn.XLOOKUP(G397,PgSqlRaw!B:B,PgSqlRaw!F:F,""), _xlfn.XLOOKUP(F397,PgSqlRaw!B:B,PgSqlRaw!F:F,""))</f>
        <v>BARE_LABEL</v>
      </c>
      <c r="K397" t="str">
        <f t="shared" si="37"/>
        <v>BARE_LABEL</v>
      </c>
      <c r="L397" t="str">
        <f>IF(_xlfn.XLOOKUP(F397,PhpReserved!A:A,PhpReserved!B:B,"") = "", _xlfn.XLOOKUP(G397,PhpReserved!A:A,PhpReserved!B:B,""),_xlfn.XLOOKUP(F397,PhpReserved!A:A,PhpReserved!B:B,""))</f>
        <v>RESERVED</v>
      </c>
      <c r="M397" t="str">
        <f>IF(_xlfn.XLOOKUP(F397,PhpFunctions!A:A,PhpFunctions!B:B,"") =  "", _xlfn.XLOOKUP(G397,PhpFunctions!A:A,PhpFunctions!B:B,""), _xlfn.XLOOKUP(F397,PhpFunctions!A:A,PhpFunctions!B:B,""))</f>
        <v/>
      </c>
      <c r="N397" t="str">
        <f>IF(_xlfn.XLOOKUP(F397,PhpParamFunc!A:A,PhpParamFunc!B:B,"") = "", _xlfn.XLOOKUP(G397,PhpParamFunc!A:A,PhpParamFunc!B:B,""), _xlfn.XLOOKUP(F397,PhpParamFunc!A:A,PhpParamFunc!B:B,""))</f>
        <v/>
      </c>
      <c r="O397" t="str">
        <f>IF(_xlfn.XLOOKUP(F397,PhpAggrFunc!A:A,PhpAggrFunc!B:B,"") = "", _xlfn.XLOOKUP(G397,PhpAggrFunc!A:A,PhpAggrFunc!B:B,""), _xlfn.XLOOKUP(F397,PhpAggrFunc!A:A,PhpAggrFunc!B:B,""))</f>
        <v/>
      </c>
      <c r="P397" t="str">
        <f t="shared" si="38"/>
        <v>RESERVED</v>
      </c>
      <c r="Q397" t="str">
        <f t="shared" si="39"/>
        <v>static const String^ TOK_REVOKE = "REVOKE";</v>
      </c>
      <c r="R397" t="str">
        <f t="shared" si="40"/>
        <v>static const int TOK_REVOKE = 396;</v>
      </c>
      <c r="S397" t="str">
        <f t="shared" si="41"/>
        <v>_Tokens-&gt;Add((String^)GramVals::TOK_REVOKE, gcnew Token(GramKeys::TOK_REVOKE, EnumTokenCategory::RESERVED,BARE_LABEL, i++));</v>
      </c>
    </row>
    <row r="398" spans="1:19" x14ac:dyDescent="0.25">
      <c r="A398" s="3" t="s">
        <v>1761</v>
      </c>
      <c r="B398" s="5" t="s">
        <v>1285</v>
      </c>
      <c r="C398" s="3" t="s">
        <v>2289</v>
      </c>
      <c r="D398" s="3" t="s">
        <v>881</v>
      </c>
      <c r="F398" t="str">
        <f t="shared" si="36"/>
        <v>RIGHT</v>
      </c>
      <c r="G398" t="s">
        <v>3025</v>
      </c>
      <c r="I398" s="3" t="str">
        <f>IF(_xlfn.XLOOKUP(F398,PgSqlRaw!B:B,PgSqlRaw!E:E,"") = "",_xlfn.XLOOKUP(G398,PgSqlRaw!B:B,PgSqlRaw!E:E,""),_xlfn.XLOOKUP(F398,PgSqlRaw!B:B,PgSqlRaw!E:E,""))</f>
        <v>FUNCTION</v>
      </c>
      <c r="J398" t="str">
        <f>IF(_xlfn.XLOOKUP(F398,PgSqlRaw!B:B,PgSqlRaw!F:F,"") = "", _xlfn.XLOOKUP(G398,PgSqlRaw!B:B,PgSqlRaw!F:F,""), _xlfn.XLOOKUP(F398,PgSqlRaw!B:B,PgSqlRaw!F:F,""))</f>
        <v>BARE_LABEL</v>
      </c>
      <c r="K398" t="str">
        <f t="shared" si="37"/>
        <v>BARE_LABEL</v>
      </c>
      <c r="L398" t="str">
        <f>IF(_xlfn.XLOOKUP(F398,PhpReserved!A:A,PhpReserved!B:B,"") = "", _xlfn.XLOOKUP(G398,PhpReserved!A:A,PhpReserved!B:B,""),_xlfn.XLOOKUP(F398,PhpReserved!A:A,PhpReserved!B:B,""))</f>
        <v>RESERVED</v>
      </c>
      <c r="M398" t="str">
        <f>IF(_xlfn.XLOOKUP(F398,PhpFunctions!A:A,PhpFunctions!B:B,"") =  "", _xlfn.XLOOKUP(G398,PhpFunctions!A:A,PhpFunctions!B:B,""), _xlfn.XLOOKUP(F398,PhpFunctions!A:A,PhpFunctions!B:B,""))</f>
        <v>FUNCTION</v>
      </c>
      <c r="N398" t="str">
        <f>IF(_xlfn.XLOOKUP(F398,PhpParamFunc!A:A,PhpParamFunc!B:B,"") = "", _xlfn.XLOOKUP(G398,PhpParamFunc!A:A,PhpParamFunc!B:B,""), _xlfn.XLOOKUP(F398,PhpParamFunc!A:A,PhpParamFunc!B:B,""))</f>
        <v>PARAM_FUNCTION</v>
      </c>
      <c r="O398" t="str">
        <f>IF(_xlfn.XLOOKUP(F398,PhpAggrFunc!A:A,PhpAggrFunc!B:B,"") = "", _xlfn.XLOOKUP(G398,PhpAggrFunc!A:A,PhpAggrFunc!B:B,""), _xlfn.XLOOKUP(F398,PhpAggrFunc!A:A,PhpAggrFunc!B:B,""))</f>
        <v/>
      </c>
      <c r="P398" t="str">
        <f t="shared" si="38"/>
        <v>PARAM_FUNCTION</v>
      </c>
      <c r="Q398" t="str">
        <f t="shared" si="39"/>
        <v>static const String^ TOK_RIGHT = "RIGHT";</v>
      </c>
      <c r="R398" t="str">
        <f t="shared" si="40"/>
        <v>static const int TOK_RIGHT = 397;</v>
      </c>
      <c r="S398" t="str">
        <f t="shared" si="41"/>
        <v>_Tokens-&gt;Add((String^)GramVals::TOK_RIGHT, gcnew Token(GramKeys::TOK_RIGHT, EnumTokenCategory::PARAM_FUNCTION,BARE_LABEL, i++));</v>
      </c>
    </row>
    <row r="399" spans="1:19" x14ac:dyDescent="0.25">
      <c r="A399" s="3" t="s">
        <v>1762</v>
      </c>
      <c r="B399" s="5" t="s">
        <v>1286</v>
      </c>
      <c r="C399" s="3" t="s">
        <v>2290</v>
      </c>
      <c r="D399" s="3" t="s">
        <v>2423</v>
      </c>
      <c r="F399" t="str">
        <f t="shared" si="36"/>
        <v>ROLE</v>
      </c>
      <c r="G399" t="s">
        <v>3528</v>
      </c>
      <c r="I399" s="3" t="str">
        <f>IF(_xlfn.XLOOKUP(F399,PgSqlRaw!B:B,PgSqlRaw!E:E,"") = "",_xlfn.XLOOKUP(G399,PgSqlRaw!B:B,PgSqlRaw!E:E,""),_xlfn.XLOOKUP(F399,PgSqlRaw!B:B,PgSqlRaw!E:E,""))</f>
        <v/>
      </c>
      <c r="J399" t="str">
        <f>IF(_xlfn.XLOOKUP(F399,PgSqlRaw!B:B,PgSqlRaw!F:F,"") = "", _xlfn.XLOOKUP(G399,PgSqlRaw!B:B,PgSqlRaw!F:F,""), _xlfn.XLOOKUP(F399,PgSqlRaw!B:B,PgSqlRaw!F:F,""))</f>
        <v>BARE_LABEL</v>
      </c>
      <c r="K399" t="str">
        <f t="shared" si="37"/>
        <v>BARE_LABEL</v>
      </c>
      <c r="L399" t="str">
        <f>IF(_xlfn.XLOOKUP(F399,PhpReserved!A:A,PhpReserved!B:B,"") = "", _xlfn.XLOOKUP(G399,PhpReserved!A:A,PhpReserved!B:B,""),_xlfn.XLOOKUP(F399,PhpReserved!A:A,PhpReserved!B:B,""))</f>
        <v/>
      </c>
      <c r="M399" t="str">
        <f>IF(_xlfn.XLOOKUP(F399,PhpFunctions!A:A,PhpFunctions!B:B,"") =  "", _xlfn.XLOOKUP(G399,PhpFunctions!A:A,PhpFunctions!B:B,""), _xlfn.XLOOKUP(F399,PhpFunctions!A:A,PhpFunctions!B:B,""))</f>
        <v/>
      </c>
      <c r="N399" t="str">
        <f>IF(_xlfn.XLOOKUP(F399,PhpParamFunc!A:A,PhpParamFunc!B:B,"") = "", _xlfn.XLOOKUP(G399,PhpParamFunc!A:A,PhpParamFunc!B:B,""), _xlfn.XLOOKUP(F399,PhpParamFunc!A:A,PhpParamFunc!B:B,""))</f>
        <v/>
      </c>
      <c r="O399" t="str">
        <f>IF(_xlfn.XLOOKUP(F399,PhpAggrFunc!A:A,PhpAggrFunc!B:B,"") = "", _xlfn.XLOOKUP(G399,PhpAggrFunc!A:A,PhpAggrFunc!B:B,""), _xlfn.XLOOKUP(F399,PhpAggrFunc!A:A,PhpAggrFunc!B:B,""))</f>
        <v/>
      </c>
      <c r="P399" t="str">
        <f t="shared" si="38"/>
        <v>UNRESERVED</v>
      </c>
      <c r="Q399" t="str">
        <f t="shared" si="39"/>
        <v>static const String^ TOK_ROLE = "ROLE";</v>
      </c>
      <c r="R399" t="str">
        <f t="shared" si="40"/>
        <v>static const int TOK_ROLE = 450;</v>
      </c>
      <c r="S399" t="str">
        <f t="shared" si="41"/>
        <v>// _Tokens-&gt;Add((String^)GramVals::TOK_ROLE, gcnew Token(GramKeys::TOK_ROLE, EnumTokenCategory::UNRESERVED,BARE_LABEL, i++));</v>
      </c>
    </row>
    <row r="400" spans="1:19" x14ac:dyDescent="0.25">
      <c r="A400" s="3" t="s">
        <v>1763</v>
      </c>
      <c r="B400" s="5" t="s">
        <v>1287</v>
      </c>
      <c r="C400" s="3" t="s">
        <v>2291</v>
      </c>
      <c r="D400" s="3" t="s">
        <v>881</v>
      </c>
      <c r="F400" t="str">
        <f t="shared" si="36"/>
        <v>ROLLBACK</v>
      </c>
      <c r="G400" t="s">
        <v>3529</v>
      </c>
      <c r="I400" s="3" t="str">
        <f>IF(_xlfn.XLOOKUP(F400,PgSqlRaw!B:B,PgSqlRaw!E:E,"") = "",_xlfn.XLOOKUP(G400,PgSqlRaw!B:B,PgSqlRaw!E:E,""),_xlfn.XLOOKUP(F400,PgSqlRaw!B:B,PgSqlRaw!E:E,""))</f>
        <v/>
      </c>
      <c r="J400" t="str">
        <f>IF(_xlfn.XLOOKUP(F400,PgSqlRaw!B:B,PgSqlRaw!F:F,"") = "", _xlfn.XLOOKUP(G400,PgSqlRaw!B:B,PgSqlRaw!F:F,""), _xlfn.XLOOKUP(F400,PgSqlRaw!B:B,PgSqlRaw!F:F,""))</f>
        <v>BARE_LABEL</v>
      </c>
      <c r="K400" t="str">
        <f t="shared" si="37"/>
        <v>BARE_LABEL</v>
      </c>
      <c r="L400" t="str">
        <f>IF(_xlfn.XLOOKUP(F400,PhpReserved!A:A,PhpReserved!B:B,"") = "", _xlfn.XLOOKUP(G400,PhpReserved!A:A,PhpReserved!B:B,""),_xlfn.XLOOKUP(F400,PhpReserved!A:A,PhpReserved!B:B,""))</f>
        <v/>
      </c>
      <c r="M400" t="str">
        <f>IF(_xlfn.XLOOKUP(F400,PhpFunctions!A:A,PhpFunctions!B:B,"") =  "", _xlfn.XLOOKUP(G400,PhpFunctions!A:A,PhpFunctions!B:B,""), _xlfn.XLOOKUP(F400,PhpFunctions!A:A,PhpFunctions!B:B,""))</f>
        <v/>
      </c>
      <c r="N400" t="str">
        <f>IF(_xlfn.XLOOKUP(F400,PhpParamFunc!A:A,PhpParamFunc!B:B,"") = "", _xlfn.XLOOKUP(G400,PhpParamFunc!A:A,PhpParamFunc!B:B,""), _xlfn.XLOOKUP(F400,PhpParamFunc!A:A,PhpParamFunc!B:B,""))</f>
        <v/>
      </c>
      <c r="O400" t="str">
        <f>IF(_xlfn.XLOOKUP(F400,PhpAggrFunc!A:A,PhpAggrFunc!B:B,"") = "", _xlfn.XLOOKUP(G400,PhpAggrFunc!A:A,PhpAggrFunc!B:B,""), _xlfn.XLOOKUP(F400,PhpAggrFunc!A:A,PhpAggrFunc!B:B,""))</f>
        <v/>
      </c>
      <c r="P400" t="str">
        <f t="shared" si="38"/>
        <v>UNRESERVED</v>
      </c>
      <c r="Q400" t="str">
        <f t="shared" si="39"/>
        <v>static const String^ TOK_ROLLBACK = "ROLLBACK";</v>
      </c>
      <c r="R400" t="str">
        <f t="shared" si="40"/>
        <v>static const int TOK_ROLLBACK = 398;</v>
      </c>
      <c r="S400" t="str">
        <f t="shared" si="41"/>
        <v>// _Tokens-&gt;Add((String^)GramVals::TOK_ROLLBACK, gcnew Token(GramKeys::TOK_ROLLBACK, EnumTokenCategory::UNRESERVED,BARE_LABEL, i++));</v>
      </c>
    </row>
    <row r="401" spans="1:19" x14ac:dyDescent="0.25">
      <c r="A401" s="3" t="s">
        <v>1764</v>
      </c>
      <c r="B401" s="5" t="s">
        <v>1288</v>
      </c>
      <c r="C401" s="3" t="s">
        <v>2292</v>
      </c>
      <c r="D401" s="3" t="s">
        <v>2423</v>
      </c>
      <c r="F401" t="str">
        <f t="shared" si="36"/>
        <v>ROUND</v>
      </c>
      <c r="G401" t="s">
        <v>3026</v>
      </c>
      <c r="I401" s="3" t="str">
        <f>IF(_xlfn.XLOOKUP(F401,PgSqlRaw!B:B,PgSqlRaw!E:E,"") = "",_xlfn.XLOOKUP(G401,PgSqlRaw!B:B,PgSqlRaw!E:E,""),_xlfn.XLOOKUP(F401,PgSqlRaw!B:B,PgSqlRaw!E:E,""))</f>
        <v/>
      </c>
      <c r="J401" t="str">
        <f>IF(_xlfn.XLOOKUP(F401,PgSqlRaw!B:B,PgSqlRaw!F:F,"") = "", _xlfn.XLOOKUP(G401,PgSqlRaw!B:B,PgSqlRaw!F:F,""), _xlfn.XLOOKUP(F401,PgSqlRaw!B:B,PgSqlRaw!F:F,""))</f>
        <v/>
      </c>
      <c r="K401" t="str">
        <f t="shared" si="37"/>
        <v>BARE_LABEL</v>
      </c>
      <c r="L401" t="str">
        <f>IF(_xlfn.XLOOKUP(F401,PhpReserved!A:A,PhpReserved!B:B,"") = "", _xlfn.XLOOKUP(G401,PhpReserved!A:A,PhpReserved!B:B,""),_xlfn.XLOOKUP(F401,PhpReserved!A:A,PhpReserved!B:B,""))</f>
        <v>RESERVED</v>
      </c>
      <c r="M401" t="str">
        <f>IF(_xlfn.XLOOKUP(F401,PhpFunctions!A:A,PhpFunctions!B:B,"") =  "", _xlfn.XLOOKUP(G401,PhpFunctions!A:A,PhpFunctions!B:B,""), _xlfn.XLOOKUP(F401,PhpFunctions!A:A,PhpFunctions!B:B,""))</f>
        <v>FUNCTION</v>
      </c>
      <c r="N401" t="str">
        <f>IF(_xlfn.XLOOKUP(F401,PhpParamFunc!A:A,PhpParamFunc!B:B,"") = "", _xlfn.XLOOKUP(G401,PhpParamFunc!A:A,PhpParamFunc!B:B,""), _xlfn.XLOOKUP(F401,PhpParamFunc!A:A,PhpParamFunc!B:B,""))</f>
        <v>PARAM_FUNCTION</v>
      </c>
      <c r="O401" t="str">
        <f>IF(_xlfn.XLOOKUP(F401,PhpAggrFunc!A:A,PhpAggrFunc!B:B,"") = "", _xlfn.XLOOKUP(G401,PhpAggrFunc!A:A,PhpAggrFunc!B:B,""), _xlfn.XLOOKUP(F401,PhpAggrFunc!A:A,PhpAggrFunc!B:B,""))</f>
        <v/>
      </c>
      <c r="P401" t="str">
        <f t="shared" si="38"/>
        <v>PARAM_FUNCTION</v>
      </c>
      <c r="Q401" t="str">
        <f t="shared" si="39"/>
        <v>static const String^ TOK_ROUND = "ROUND";</v>
      </c>
      <c r="R401" t="str">
        <f t="shared" si="40"/>
        <v>static const int TOK_ROUND = 576;</v>
      </c>
      <c r="S401" t="str">
        <f t="shared" si="41"/>
        <v>_Tokens-&gt;Add((String^)GramVals::TOK_ROUND, gcnew Token(GramKeys::TOK_ROUND, EnumTokenCategory::PARAM_FUNCTION,BARE_LABEL, i++));</v>
      </c>
    </row>
    <row r="402" spans="1:19" x14ac:dyDescent="0.25">
      <c r="A402" s="3" t="s">
        <v>1765</v>
      </c>
      <c r="B402" s="5">
        <v>745</v>
      </c>
      <c r="C402" s="3" t="s">
        <v>2293</v>
      </c>
      <c r="D402" s="3" t="s">
        <v>881</v>
      </c>
      <c r="F402" t="str">
        <f t="shared" si="36"/>
        <v>ROW</v>
      </c>
      <c r="G402" t="s">
        <v>3533</v>
      </c>
      <c r="I402" s="3" t="str">
        <f>IF(_xlfn.XLOOKUP(F402,PgSqlRaw!B:B,PgSqlRaw!E:E,"") = "",_xlfn.XLOOKUP(G402,PgSqlRaw!B:B,PgSqlRaw!E:E,""),_xlfn.XLOOKUP(F402,PgSqlRaw!B:B,PgSqlRaw!E:E,""))</f>
        <v>COLNAME_KEYWORD</v>
      </c>
      <c r="J402" t="str">
        <f>IF(_xlfn.XLOOKUP(F402,PgSqlRaw!B:B,PgSqlRaw!F:F,"") = "", _xlfn.XLOOKUP(G402,PgSqlRaw!B:B,PgSqlRaw!F:F,""), _xlfn.XLOOKUP(F402,PgSqlRaw!B:B,PgSqlRaw!F:F,""))</f>
        <v>BARE_LABEL</v>
      </c>
      <c r="K402" t="str">
        <f t="shared" si="37"/>
        <v>BARE_LABEL</v>
      </c>
      <c r="L402" t="str">
        <f>IF(_xlfn.XLOOKUP(F402,PhpReserved!A:A,PhpReserved!B:B,"") = "", _xlfn.XLOOKUP(G402,PhpReserved!A:A,PhpReserved!B:B,""),_xlfn.XLOOKUP(F402,PhpReserved!A:A,PhpReserved!B:B,""))</f>
        <v/>
      </c>
      <c r="M402" t="str">
        <f>IF(_xlfn.XLOOKUP(F402,PhpFunctions!A:A,PhpFunctions!B:B,"") =  "", _xlfn.XLOOKUP(G402,PhpFunctions!A:A,PhpFunctions!B:B,""), _xlfn.XLOOKUP(F402,PhpFunctions!A:A,PhpFunctions!B:B,""))</f>
        <v/>
      </c>
      <c r="N402" t="str">
        <f>IF(_xlfn.XLOOKUP(F402,PhpParamFunc!A:A,PhpParamFunc!B:B,"") = "", _xlfn.XLOOKUP(G402,PhpParamFunc!A:A,PhpParamFunc!B:B,""), _xlfn.XLOOKUP(F402,PhpParamFunc!A:A,PhpParamFunc!B:B,""))</f>
        <v/>
      </c>
      <c r="O402" t="str">
        <f>IF(_xlfn.XLOOKUP(F402,PhpAggrFunc!A:A,PhpAggrFunc!B:B,"") = "", _xlfn.XLOOKUP(G402,PhpAggrFunc!A:A,PhpAggrFunc!B:B,""), _xlfn.XLOOKUP(F402,PhpAggrFunc!A:A,PhpAggrFunc!B:B,""))</f>
        <v/>
      </c>
      <c r="P402" t="str">
        <f t="shared" si="38"/>
        <v>COLNAME_KEYWORD</v>
      </c>
      <c r="Q402" t="str">
        <f t="shared" si="39"/>
        <v>static const String^ TOK_ROW = "ROW";</v>
      </c>
      <c r="R402" t="str">
        <f t="shared" si="40"/>
        <v>static const int TOK_ROW = 745;</v>
      </c>
      <c r="S402" t="str">
        <f t="shared" si="41"/>
        <v>_Tokens-&gt;Add((String^)GramVals::TOK_ROW, gcnew Token(GramKeys::TOK_ROW, EnumTokenCategory::COLNAME_KEYWORD,BARE_LABEL, i++));</v>
      </c>
    </row>
    <row r="403" spans="1:19" x14ac:dyDescent="0.25">
      <c r="A403" s="3" t="s">
        <v>1766</v>
      </c>
      <c r="B403" s="5" t="s">
        <v>1289</v>
      </c>
      <c r="C403" s="3" t="s">
        <v>2294</v>
      </c>
      <c r="D403" s="3" t="s">
        <v>881</v>
      </c>
      <c r="F403" t="str">
        <f t="shared" si="36"/>
        <v>ROW_COUNT</v>
      </c>
      <c r="G403" t="s">
        <v>3027</v>
      </c>
      <c r="I403" s="3" t="str">
        <f>IF(_xlfn.XLOOKUP(F403,PgSqlRaw!B:B,PgSqlRaw!E:E,"") = "",_xlfn.XLOOKUP(G403,PgSqlRaw!B:B,PgSqlRaw!E:E,""),_xlfn.XLOOKUP(F403,PgSqlRaw!B:B,PgSqlRaw!E:E,""))</f>
        <v/>
      </c>
      <c r="J403" t="str">
        <f>IF(_xlfn.XLOOKUP(F403,PgSqlRaw!B:B,PgSqlRaw!F:F,"") = "", _xlfn.XLOOKUP(G403,PgSqlRaw!B:B,PgSqlRaw!F:F,""), _xlfn.XLOOKUP(F403,PgSqlRaw!B:B,PgSqlRaw!F:F,""))</f>
        <v/>
      </c>
      <c r="K403" t="str">
        <f t="shared" si="37"/>
        <v>BARE_LABEL</v>
      </c>
      <c r="L403" t="str">
        <f>IF(_xlfn.XLOOKUP(F403,PhpReserved!A:A,PhpReserved!B:B,"") = "", _xlfn.XLOOKUP(G403,PhpReserved!A:A,PhpReserved!B:B,""),_xlfn.XLOOKUP(F403,PhpReserved!A:A,PhpReserved!B:B,""))</f>
        <v>RESERVED</v>
      </c>
      <c r="M403" t="str">
        <f>IF(_xlfn.XLOOKUP(F403,PhpFunctions!A:A,PhpFunctions!B:B,"") =  "", _xlfn.XLOOKUP(G403,PhpFunctions!A:A,PhpFunctions!B:B,""), _xlfn.XLOOKUP(F403,PhpFunctions!A:A,PhpFunctions!B:B,""))</f>
        <v>FUNCTION</v>
      </c>
      <c r="N403" t="str">
        <f>IF(_xlfn.XLOOKUP(F403,PhpParamFunc!A:A,PhpParamFunc!B:B,"") = "", _xlfn.XLOOKUP(G403,PhpParamFunc!A:A,PhpParamFunc!B:B,""), _xlfn.XLOOKUP(F403,PhpParamFunc!A:A,PhpParamFunc!B:B,""))</f>
        <v/>
      </c>
      <c r="O403" t="str">
        <f>IF(_xlfn.XLOOKUP(F403,PhpAggrFunc!A:A,PhpAggrFunc!B:B,"") = "", _xlfn.XLOOKUP(G403,PhpAggrFunc!A:A,PhpAggrFunc!B:B,""), _xlfn.XLOOKUP(F403,PhpAggrFunc!A:A,PhpAggrFunc!B:B,""))</f>
        <v/>
      </c>
      <c r="P403" t="str">
        <f t="shared" si="38"/>
        <v>FUNCTION</v>
      </c>
      <c r="Q403" t="str">
        <f t="shared" si="39"/>
        <v>static const String^ TOK_ROW_COUNT = "ROW_COUNT";</v>
      </c>
      <c r="R403" t="str">
        <f t="shared" si="40"/>
        <v>static const int TOK_ROW_COUNT = 486;</v>
      </c>
      <c r="S403" t="str">
        <f t="shared" si="41"/>
        <v>_Tokens-&gt;Add((String^)GramVals::TOK_ROW_COUNT, gcnew Token(GramKeys::TOK_ROW_COUNT, EnumTokenCategory::FUNCTION,BARE_LABEL, i++));</v>
      </c>
    </row>
    <row r="404" spans="1:19" x14ac:dyDescent="0.25">
      <c r="A404" s="3" t="s">
        <v>1767</v>
      </c>
      <c r="B404" s="5" t="s">
        <v>1290</v>
      </c>
      <c r="C404" s="3" t="s">
        <v>2295</v>
      </c>
      <c r="D404" s="3" t="s">
        <v>2423</v>
      </c>
      <c r="F404" t="str">
        <f t="shared" si="36"/>
        <v>ROW_NUMBER</v>
      </c>
      <c r="G404" t="s">
        <v>3799</v>
      </c>
      <c r="I404" s="3" t="str">
        <f>IF(_xlfn.XLOOKUP(F404,PgSqlRaw!B:B,PgSqlRaw!E:E,"") = "",_xlfn.XLOOKUP(G404,PgSqlRaw!B:B,PgSqlRaw!E:E,""),_xlfn.XLOOKUP(F404,PgSqlRaw!B:B,PgSqlRaw!E:E,""))</f>
        <v/>
      </c>
      <c r="J404" t="str">
        <f>IF(_xlfn.XLOOKUP(F404,PgSqlRaw!B:B,PgSqlRaw!F:F,"") = "", _xlfn.XLOOKUP(G404,PgSqlRaw!B:B,PgSqlRaw!F:F,""), _xlfn.XLOOKUP(F404,PgSqlRaw!B:B,PgSqlRaw!F:F,""))</f>
        <v/>
      </c>
      <c r="K404" t="str">
        <f t="shared" si="37"/>
        <v>BARE_LABEL</v>
      </c>
      <c r="L404" t="str">
        <f>IF(_xlfn.XLOOKUP(F404,PhpReserved!A:A,PhpReserved!B:B,"") = "", _xlfn.XLOOKUP(G404,PhpReserved!A:A,PhpReserved!B:B,""),_xlfn.XLOOKUP(F404,PhpReserved!A:A,PhpReserved!B:B,""))</f>
        <v/>
      </c>
      <c r="M404" t="str">
        <f>IF(_xlfn.XLOOKUP(F404,PhpFunctions!A:A,PhpFunctions!B:B,"") =  "", _xlfn.XLOOKUP(G404,PhpFunctions!A:A,PhpFunctions!B:B,""), _xlfn.XLOOKUP(F404,PhpFunctions!A:A,PhpFunctions!B:B,""))</f>
        <v/>
      </c>
      <c r="N404" t="str">
        <f>IF(_xlfn.XLOOKUP(F404,PhpParamFunc!A:A,PhpParamFunc!B:B,"") = "", _xlfn.XLOOKUP(G404,PhpParamFunc!A:A,PhpParamFunc!B:B,""), _xlfn.XLOOKUP(F404,PhpParamFunc!A:A,PhpParamFunc!B:B,""))</f>
        <v/>
      </c>
      <c r="O404" t="str">
        <f>IF(_xlfn.XLOOKUP(F404,PhpAggrFunc!A:A,PhpAggrFunc!B:B,"") = "", _xlfn.XLOOKUP(G404,PhpAggrFunc!A:A,PhpAggrFunc!B:B,""), _xlfn.XLOOKUP(F404,PhpAggrFunc!A:A,PhpAggrFunc!B:B,""))</f>
        <v/>
      </c>
      <c r="P404" t="str">
        <f t="shared" si="38"/>
        <v>UNRESERVED</v>
      </c>
      <c r="Q404" t="str">
        <f t="shared" si="39"/>
        <v>static const String^ TOK_ROW_NUMBER = "ROW_NUMBER";</v>
      </c>
      <c r="R404" t="str">
        <f t="shared" si="40"/>
        <v>static const int TOK_ROW_NUMBER = 636;</v>
      </c>
      <c r="S404" t="str">
        <f t="shared" si="41"/>
        <v>// _Tokens-&gt;Add((String^)GramVals::TOK_ROW_NUMBER, gcnew Token(GramKeys::TOK_ROW_NUMBER, EnumTokenCategory::UNRESERVED,BARE_LABEL, i++));</v>
      </c>
    </row>
    <row r="405" spans="1:19" x14ac:dyDescent="0.25">
      <c r="A405" s="3" t="s">
        <v>1768</v>
      </c>
      <c r="B405" s="5" t="s">
        <v>1291</v>
      </c>
      <c r="C405" s="3" t="s">
        <v>2296</v>
      </c>
      <c r="D405" s="3" t="s">
        <v>881</v>
      </c>
      <c r="F405" t="str">
        <f t="shared" si="36"/>
        <v>ROWS</v>
      </c>
      <c r="G405" t="s">
        <v>3534</v>
      </c>
      <c r="I405" s="3" t="str">
        <f>IF(_xlfn.XLOOKUP(F405,PgSqlRaw!B:B,PgSqlRaw!E:E,"") = "",_xlfn.XLOOKUP(G405,PgSqlRaw!B:B,PgSqlRaw!E:E,""),_xlfn.XLOOKUP(F405,PgSqlRaw!B:B,PgSqlRaw!E:E,""))</f>
        <v/>
      </c>
      <c r="J405" t="str">
        <f>IF(_xlfn.XLOOKUP(F405,PgSqlRaw!B:B,PgSqlRaw!F:F,"") = "", _xlfn.XLOOKUP(G405,PgSqlRaw!B:B,PgSqlRaw!F:F,""), _xlfn.XLOOKUP(F405,PgSqlRaw!B:B,PgSqlRaw!F:F,""))</f>
        <v>BARE_LABEL</v>
      </c>
      <c r="K405" t="str">
        <f t="shared" si="37"/>
        <v>BARE_LABEL</v>
      </c>
      <c r="L405" t="str">
        <f>IF(_xlfn.XLOOKUP(F405,PhpReserved!A:A,PhpReserved!B:B,"") = "", _xlfn.XLOOKUP(G405,PhpReserved!A:A,PhpReserved!B:B,""),_xlfn.XLOOKUP(F405,PhpReserved!A:A,PhpReserved!B:B,""))</f>
        <v/>
      </c>
      <c r="M405" t="str">
        <f>IF(_xlfn.XLOOKUP(F405,PhpFunctions!A:A,PhpFunctions!B:B,"") =  "", _xlfn.XLOOKUP(G405,PhpFunctions!A:A,PhpFunctions!B:B,""), _xlfn.XLOOKUP(F405,PhpFunctions!A:A,PhpFunctions!B:B,""))</f>
        <v/>
      </c>
      <c r="N405" t="str">
        <f>IF(_xlfn.XLOOKUP(F405,PhpParamFunc!A:A,PhpParamFunc!B:B,"") = "", _xlfn.XLOOKUP(G405,PhpParamFunc!A:A,PhpParamFunc!B:B,""), _xlfn.XLOOKUP(F405,PhpParamFunc!A:A,PhpParamFunc!B:B,""))</f>
        <v/>
      </c>
      <c r="O405" t="str">
        <f>IF(_xlfn.XLOOKUP(F405,PhpAggrFunc!A:A,PhpAggrFunc!B:B,"") = "", _xlfn.XLOOKUP(G405,PhpAggrFunc!A:A,PhpAggrFunc!B:B,""), _xlfn.XLOOKUP(F405,PhpAggrFunc!A:A,PhpAggrFunc!B:B,""))</f>
        <v/>
      </c>
      <c r="P405" t="str">
        <f t="shared" si="38"/>
        <v>UNRESERVED</v>
      </c>
      <c r="Q405" t="str">
        <f t="shared" si="39"/>
        <v>static const String^ TOK_ROWS = "ROWS";</v>
      </c>
      <c r="R405" t="str">
        <f t="shared" si="40"/>
        <v>static const int TOK_ROWS = 500;</v>
      </c>
      <c r="S405" t="str">
        <f t="shared" si="41"/>
        <v>// _Tokens-&gt;Add((String^)GramVals::TOK_ROWS, gcnew Token(GramKeys::TOK_ROWS, EnumTokenCategory::UNRESERVED,BARE_LABEL, i++));</v>
      </c>
    </row>
    <row r="406" spans="1:19" x14ac:dyDescent="0.25">
      <c r="A406" s="3" t="s">
        <v>1769</v>
      </c>
      <c r="B406" s="5" t="s">
        <v>1292</v>
      </c>
      <c r="C406" s="3" t="s">
        <v>2297</v>
      </c>
      <c r="D406" s="3" t="s">
        <v>2423</v>
      </c>
      <c r="F406" t="str">
        <f t="shared" si="36"/>
        <v>RPAD</v>
      </c>
      <c r="G406" t="s">
        <v>3028</v>
      </c>
      <c r="I406" s="3" t="str">
        <f>IF(_xlfn.XLOOKUP(F406,PgSqlRaw!B:B,PgSqlRaw!E:E,"") = "",_xlfn.XLOOKUP(G406,PgSqlRaw!B:B,PgSqlRaw!E:E,""),_xlfn.XLOOKUP(F406,PgSqlRaw!B:B,PgSqlRaw!E:E,""))</f>
        <v/>
      </c>
      <c r="J406" t="str">
        <f>IF(_xlfn.XLOOKUP(F406,PgSqlRaw!B:B,PgSqlRaw!F:F,"") = "", _xlfn.XLOOKUP(G406,PgSqlRaw!B:B,PgSqlRaw!F:F,""), _xlfn.XLOOKUP(F406,PgSqlRaw!B:B,PgSqlRaw!F:F,""))</f>
        <v/>
      </c>
      <c r="K406" t="str">
        <f t="shared" si="37"/>
        <v>BARE_LABEL</v>
      </c>
      <c r="L406" t="str">
        <f>IF(_xlfn.XLOOKUP(F406,PhpReserved!A:A,PhpReserved!B:B,"") = "", _xlfn.XLOOKUP(G406,PhpReserved!A:A,PhpReserved!B:B,""),_xlfn.XLOOKUP(F406,PhpReserved!A:A,PhpReserved!B:B,""))</f>
        <v>RESERVED</v>
      </c>
      <c r="M406" t="str">
        <f>IF(_xlfn.XLOOKUP(F406,PhpFunctions!A:A,PhpFunctions!B:B,"") =  "", _xlfn.XLOOKUP(G406,PhpFunctions!A:A,PhpFunctions!B:B,""), _xlfn.XLOOKUP(F406,PhpFunctions!A:A,PhpFunctions!B:B,""))</f>
        <v>FUNCTION</v>
      </c>
      <c r="N406" t="str">
        <f>IF(_xlfn.XLOOKUP(F406,PhpParamFunc!A:A,PhpParamFunc!B:B,"") = "", _xlfn.XLOOKUP(G406,PhpParamFunc!A:A,PhpParamFunc!B:B,""), _xlfn.XLOOKUP(F406,PhpParamFunc!A:A,PhpParamFunc!B:B,""))</f>
        <v>PARAM_FUNCTION</v>
      </c>
      <c r="O406" t="str">
        <f>IF(_xlfn.XLOOKUP(F406,PhpAggrFunc!A:A,PhpAggrFunc!B:B,"") = "", _xlfn.XLOOKUP(G406,PhpAggrFunc!A:A,PhpAggrFunc!B:B,""), _xlfn.XLOOKUP(F406,PhpAggrFunc!A:A,PhpAggrFunc!B:B,""))</f>
        <v/>
      </c>
      <c r="P406" t="str">
        <f t="shared" si="38"/>
        <v>PARAM_FUNCTION</v>
      </c>
      <c r="Q406" t="str">
        <f t="shared" si="39"/>
        <v>static const String^ TOK_RPAD = "RPAD";</v>
      </c>
      <c r="R406" t="str">
        <f t="shared" si="40"/>
        <v>static const int TOK_RPAD = 577;</v>
      </c>
      <c r="S406" t="str">
        <f t="shared" si="41"/>
        <v>_Tokens-&gt;Add((String^)GramVals::TOK_RPAD, gcnew Token(GramKeys::TOK_RPAD, EnumTokenCategory::PARAM_FUNCTION,BARE_LABEL, i++));</v>
      </c>
    </row>
    <row r="407" spans="1:19" x14ac:dyDescent="0.25">
      <c r="A407" s="3" t="s">
        <v>1770</v>
      </c>
      <c r="B407" s="5">
        <v>746</v>
      </c>
      <c r="C407" s="3" t="s">
        <v>2298</v>
      </c>
      <c r="D407" s="3" t="s">
        <v>2423</v>
      </c>
      <c r="F407" t="str">
        <f t="shared" si="36"/>
        <v>RSA_DECRYPT</v>
      </c>
      <c r="G407" t="s">
        <v>3800</v>
      </c>
      <c r="I407" s="3" t="str">
        <f>IF(_xlfn.XLOOKUP(F407,PgSqlRaw!B:B,PgSqlRaw!E:E,"") = "",_xlfn.XLOOKUP(G407,PgSqlRaw!B:B,PgSqlRaw!E:E,""),_xlfn.XLOOKUP(F407,PgSqlRaw!B:B,PgSqlRaw!E:E,""))</f>
        <v/>
      </c>
      <c r="J407" t="str">
        <f>IF(_xlfn.XLOOKUP(F407,PgSqlRaw!B:B,PgSqlRaw!F:F,"") = "", _xlfn.XLOOKUP(G407,PgSqlRaw!B:B,PgSqlRaw!F:F,""), _xlfn.XLOOKUP(F407,PgSqlRaw!B:B,PgSqlRaw!F:F,""))</f>
        <v/>
      </c>
      <c r="K407" t="str">
        <f t="shared" si="37"/>
        <v>BARE_LABEL</v>
      </c>
      <c r="L407" t="str">
        <f>IF(_xlfn.XLOOKUP(F407,PhpReserved!A:A,PhpReserved!B:B,"") = "", _xlfn.XLOOKUP(G407,PhpReserved!A:A,PhpReserved!B:B,""),_xlfn.XLOOKUP(F407,PhpReserved!A:A,PhpReserved!B:B,""))</f>
        <v/>
      </c>
      <c r="M407" t="str">
        <f>IF(_xlfn.XLOOKUP(F407,PhpFunctions!A:A,PhpFunctions!B:B,"") =  "", _xlfn.XLOOKUP(G407,PhpFunctions!A:A,PhpFunctions!B:B,""), _xlfn.XLOOKUP(F407,PhpFunctions!A:A,PhpFunctions!B:B,""))</f>
        <v/>
      </c>
      <c r="N407" t="str">
        <f>IF(_xlfn.XLOOKUP(F407,PhpParamFunc!A:A,PhpParamFunc!B:B,"") = "", _xlfn.XLOOKUP(G407,PhpParamFunc!A:A,PhpParamFunc!B:B,""), _xlfn.XLOOKUP(F407,PhpParamFunc!A:A,PhpParamFunc!B:B,""))</f>
        <v/>
      </c>
      <c r="O407" t="str">
        <f>IF(_xlfn.XLOOKUP(F407,PhpAggrFunc!A:A,PhpAggrFunc!B:B,"") = "", _xlfn.XLOOKUP(G407,PhpAggrFunc!A:A,PhpAggrFunc!B:B,""), _xlfn.XLOOKUP(F407,PhpAggrFunc!A:A,PhpAggrFunc!B:B,""))</f>
        <v/>
      </c>
      <c r="P407" t="str">
        <f t="shared" si="38"/>
        <v>UNRESERVED</v>
      </c>
      <c r="Q407" t="str">
        <f t="shared" si="39"/>
        <v>static const String^ TOK_RSA_DECRYPT = "RSA_DECRYPT";</v>
      </c>
      <c r="R407" t="str">
        <f t="shared" si="40"/>
        <v>static const int TOK_RSA_DECRYPT = 746;</v>
      </c>
      <c r="S407" t="str">
        <f t="shared" si="41"/>
        <v>// _Tokens-&gt;Add((String^)GramVals::TOK_RSA_DECRYPT, gcnew Token(GramKeys::TOK_RSA_DECRYPT, EnumTokenCategory::UNRESERVED,BARE_LABEL, i++));</v>
      </c>
    </row>
    <row r="408" spans="1:19" x14ac:dyDescent="0.25">
      <c r="A408" s="3" t="s">
        <v>1771</v>
      </c>
      <c r="B408" s="5">
        <v>747</v>
      </c>
      <c r="C408" s="3" t="s">
        <v>2299</v>
      </c>
      <c r="D408" s="3" t="s">
        <v>2423</v>
      </c>
      <c r="F408" t="str">
        <f t="shared" si="36"/>
        <v>RSA_ENCRYPT</v>
      </c>
      <c r="G408" t="s">
        <v>3801</v>
      </c>
      <c r="I408" s="3" t="str">
        <f>IF(_xlfn.XLOOKUP(F408,PgSqlRaw!B:B,PgSqlRaw!E:E,"") = "",_xlfn.XLOOKUP(G408,PgSqlRaw!B:B,PgSqlRaw!E:E,""),_xlfn.XLOOKUP(F408,PgSqlRaw!B:B,PgSqlRaw!E:E,""))</f>
        <v/>
      </c>
      <c r="J408" t="str">
        <f>IF(_xlfn.XLOOKUP(F408,PgSqlRaw!B:B,PgSqlRaw!F:F,"") = "", _xlfn.XLOOKUP(G408,PgSqlRaw!B:B,PgSqlRaw!F:F,""), _xlfn.XLOOKUP(F408,PgSqlRaw!B:B,PgSqlRaw!F:F,""))</f>
        <v/>
      </c>
      <c r="K408" t="str">
        <f t="shared" si="37"/>
        <v>BARE_LABEL</v>
      </c>
      <c r="L408" t="str">
        <f>IF(_xlfn.XLOOKUP(F408,PhpReserved!A:A,PhpReserved!B:B,"") = "", _xlfn.XLOOKUP(G408,PhpReserved!A:A,PhpReserved!B:B,""),_xlfn.XLOOKUP(F408,PhpReserved!A:A,PhpReserved!B:B,""))</f>
        <v/>
      </c>
      <c r="M408" t="str">
        <f>IF(_xlfn.XLOOKUP(F408,PhpFunctions!A:A,PhpFunctions!B:B,"") =  "", _xlfn.XLOOKUP(G408,PhpFunctions!A:A,PhpFunctions!B:B,""), _xlfn.XLOOKUP(F408,PhpFunctions!A:A,PhpFunctions!B:B,""))</f>
        <v/>
      </c>
      <c r="N408" t="str">
        <f>IF(_xlfn.XLOOKUP(F408,PhpParamFunc!A:A,PhpParamFunc!B:B,"") = "", _xlfn.XLOOKUP(G408,PhpParamFunc!A:A,PhpParamFunc!B:B,""), _xlfn.XLOOKUP(F408,PhpParamFunc!A:A,PhpParamFunc!B:B,""))</f>
        <v/>
      </c>
      <c r="O408" t="str">
        <f>IF(_xlfn.XLOOKUP(F408,PhpAggrFunc!A:A,PhpAggrFunc!B:B,"") = "", _xlfn.XLOOKUP(G408,PhpAggrFunc!A:A,PhpAggrFunc!B:B,""), _xlfn.XLOOKUP(F408,PhpAggrFunc!A:A,PhpAggrFunc!B:B,""))</f>
        <v/>
      </c>
      <c r="P408" t="str">
        <f t="shared" si="38"/>
        <v>UNRESERVED</v>
      </c>
      <c r="Q408" t="str">
        <f t="shared" si="39"/>
        <v>static const String^ TOK_RSA_ENCRYPT = "RSA_ENCRYPT";</v>
      </c>
      <c r="R408" t="str">
        <f t="shared" si="40"/>
        <v>static const int TOK_RSA_ENCRYPT = 747;</v>
      </c>
      <c r="S408" t="str">
        <f t="shared" si="41"/>
        <v>// _Tokens-&gt;Add((String^)GramVals::TOK_RSA_ENCRYPT, gcnew Token(GramKeys::TOK_RSA_ENCRYPT, EnumTokenCategory::UNRESERVED,BARE_LABEL, i++));</v>
      </c>
    </row>
    <row r="409" spans="1:19" x14ac:dyDescent="0.25">
      <c r="A409" s="3" t="s">
        <v>1772</v>
      </c>
      <c r="B409" s="5">
        <v>748</v>
      </c>
      <c r="C409" s="3" t="s">
        <v>2300</v>
      </c>
      <c r="D409" s="3" t="s">
        <v>2423</v>
      </c>
      <c r="F409" t="str">
        <f t="shared" si="36"/>
        <v>RSA_PRIVATE</v>
      </c>
      <c r="G409" t="s">
        <v>3802</v>
      </c>
      <c r="I409" s="3" t="str">
        <f>IF(_xlfn.XLOOKUP(F409,PgSqlRaw!B:B,PgSqlRaw!E:E,"") = "",_xlfn.XLOOKUP(G409,PgSqlRaw!B:B,PgSqlRaw!E:E,""),_xlfn.XLOOKUP(F409,PgSqlRaw!B:B,PgSqlRaw!E:E,""))</f>
        <v/>
      </c>
      <c r="J409" t="str">
        <f>IF(_xlfn.XLOOKUP(F409,PgSqlRaw!B:B,PgSqlRaw!F:F,"") = "", _xlfn.XLOOKUP(G409,PgSqlRaw!B:B,PgSqlRaw!F:F,""), _xlfn.XLOOKUP(F409,PgSqlRaw!B:B,PgSqlRaw!F:F,""))</f>
        <v/>
      </c>
      <c r="K409" t="str">
        <f t="shared" si="37"/>
        <v>BARE_LABEL</v>
      </c>
      <c r="L409" t="str">
        <f>IF(_xlfn.XLOOKUP(F409,PhpReserved!A:A,PhpReserved!B:B,"") = "", _xlfn.XLOOKUP(G409,PhpReserved!A:A,PhpReserved!B:B,""),_xlfn.XLOOKUP(F409,PhpReserved!A:A,PhpReserved!B:B,""))</f>
        <v/>
      </c>
      <c r="M409" t="str">
        <f>IF(_xlfn.XLOOKUP(F409,PhpFunctions!A:A,PhpFunctions!B:B,"") =  "", _xlfn.XLOOKUP(G409,PhpFunctions!A:A,PhpFunctions!B:B,""), _xlfn.XLOOKUP(F409,PhpFunctions!A:A,PhpFunctions!B:B,""))</f>
        <v/>
      </c>
      <c r="N409" t="str">
        <f>IF(_xlfn.XLOOKUP(F409,PhpParamFunc!A:A,PhpParamFunc!B:B,"") = "", _xlfn.XLOOKUP(G409,PhpParamFunc!A:A,PhpParamFunc!B:B,""), _xlfn.XLOOKUP(F409,PhpParamFunc!A:A,PhpParamFunc!B:B,""))</f>
        <v/>
      </c>
      <c r="O409" t="str">
        <f>IF(_xlfn.XLOOKUP(F409,PhpAggrFunc!A:A,PhpAggrFunc!B:B,"") = "", _xlfn.XLOOKUP(G409,PhpAggrFunc!A:A,PhpAggrFunc!B:B,""), _xlfn.XLOOKUP(F409,PhpAggrFunc!A:A,PhpAggrFunc!B:B,""))</f>
        <v/>
      </c>
      <c r="P409" t="str">
        <f t="shared" si="38"/>
        <v>UNRESERVED</v>
      </c>
      <c r="Q409" t="str">
        <f t="shared" si="39"/>
        <v>static const String^ TOK_RSA_PRIVATE = "RSA_PRIVATE";</v>
      </c>
      <c r="R409" t="str">
        <f t="shared" si="40"/>
        <v>static const int TOK_RSA_PRIVATE = 748;</v>
      </c>
      <c r="S409" t="str">
        <f t="shared" si="41"/>
        <v>// _Tokens-&gt;Add((String^)GramVals::TOK_RSA_PRIVATE, gcnew Token(GramKeys::TOK_RSA_PRIVATE, EnumTokenCategory::UNRESERVED,BARE_LABEL, i++));</v>
      </c>
    </row>
    <row r="410" spans="1:19" x14ac:dyDescent="0.25">
      <c r="A410" s="3" t="s">
        <v>1773</v>
      </c>
      <c r="B410" s="5">
        <v>749</v>
      </c>
      <c r="C410" s="3" t="s">
        <v>2301</v>
      </c>
      <c r="D410" s="3" t="s">
        <v>2423</v>
      </c>
      <c r="F410" t="str">
        <f t="shared" si="36"/>
        <v>RSA_PUBLIC</v>
      </c>
      <c r="G410" t="s">
        <v>3803</v>
      </c>
      <c r="I410" s="3" t="str">
        <f>IF(_xlfn.XLOOKUP(F410,PgSqlRaw!B:B,PgSqlRaw!E:E,"") = "",_xlfn.XLOOKUP(G410,PgSqlRaw!B:B,PgSqlRaw!E:E,""),_xlfn.XLOOKUP(F410,PgSqlRaw!B:B,PgSqlRaw!E:E,""))</f>
        <v/>
      </c>
      <c r="J410" t="str">
        <f>IF(_xlfn.XLOOKUP(F410,PgSqlRaw!B:B,PgSqlRaw!F:F,"") = "", _xlfn.XLOOKUP(G410,PgSqlRaw!B:B,PgSqlRaw!F:F,""), _xlfn.XLOOKUP(F410,PgSqlRaw!B:B,PgSqlRaw!F:F,""))</f>
        <v/>
      </c>
      <c r="K410" t="str">
        <f t="shared" si="37"/>
        <v>BARE_LABEL</v>
      </c>
      <c r="L410" t="str">
        <f>IF(_xlfn.XLOOKUP(F410,PhpReserved!A:A,PhpReserved!B:B,"") = "", _xlfn.XLOOKUP(G410,PhpReserved!A:A,PhpReserved!B:B,""),_xlfn.XLOOKUP(F410,PhpReserved!A:A,PhpReserved!B:B,""))</f>
        <v/>
      </c>
      <c r="M410" t="str">
        <f>IF(_xlfn.XLOOKUP(F410,PhpFunctions!A:A,PhpFunctions!B:B,"") =  "", _xlfn.XLOOKUP(G410,PhpFunctions!A:A,PhpFunctions!B:B,""), _xlfn.XLOOKUP(F410,PhpFunctions!A:A,PhpFunctions!B:B,""))</f>
        <v/>
      </c>
      <c r="N410" t="str">
        <f>IF(_xlfn.XLOOKUP(F410,PhpParamFunc!A:A,PhpParamFunc!B:B,"") = "", _xlfn.XLOOKUP(G410,PhpParamFunc!A:A,PhpParamFunc!B:B,""), _xlfn.XLOOKUP(F410,PhpParamFunc!A:A,PhpParamFunc!B:B,""))</f>
        <v/>
      </c>
      <c r="O410" t="str">
        <f>IF(_xlfn.XLOOKUP(F410,PhpAggrFunc!A:A,PhpAggrFunc!B:B,"") = "", _xlfn.XLOOKUP(G410,PhpAggrFunc!A:A,PhpAggrFunc!B:B,""), _xlfn.XLOOKUP(F410,PhpAggrFunc!A:A,PhpAggrFunc!B:B,""))</f>
        <v/>
      </c>
      <c r="P410" t="str">
        <f t="shared" si="38"/>
        <v>UNRESERVED</v>
      </c>
      <c r="Q410" t="str">
        <f t="shared" si="39"/>
        <v>static const String^ TOK_RSA_PUBLIC = "RSA_PUBLIC";</v>
      </c>
      <c r="R410" t="str">
        <f t="shared" si="40"/>
        <v>static const int TOK_RSA_PUBLIC = 749;</v>
      </c>
      <c r="S410" t="str">
        <f t="shared" si="41"/>
        <v>// _Tokens-&gt;Add((String^)GramVals::TOK_RSA_PUBLIC, gcnew Token(GramKeys::TOK_RSA_PUBLIC, EnumTokenCategory::UNRESERVED,BARE_LABEL, i++));</v>
      </c>
    </row>
    <row r="411" spans="1:19" x14ac:dyDescent="0.25">
      <c r="A411" s="3" t="s">
        <v>1774</v>
      </c>
      <c r="B411" s="5">
        <v>750</v>
      </c>
      <c r="C411" s="3" t="s">
        <v>2302</v>
      </c>
      <c r="D411" s="3" t="s">
        <v>2423</v>
      </c>
      <c r="F411" t="str">
        <f t="shared" si="36"/>
        <v>RSA_SIGN_HASH</v>
      </c>
      <c r="G411" t="s">
        <v>3804</v>
      </c>
      <c r="I411" s="3" t="str">
        <f>IF(_xlfn.XLOOKUP(F411,PgSqlRaw!B:B,PgSqlRaw!E:E,"") = "",_xlfn.XLOOKUP(G411,PgSqlRaw!B:B,PgSqlRaw!E:E,""),_xlfn.XLOOKUP(F411,PgSqlRaw!B:B,PgSqlRaw!E:E,""))</f>
        <v/>
      </c>
      <c r="J411" t="str">
        <f>IF(_xlfn.XLOOKUP(F411,PgSqlRaw!B:B,PgSqlRaw!F:F,"") = "", _xlfn.XLOOKUP(G411,PgSqlRaw!B:B,PgSqlRaw!F:F,""), _xlfn.XLOOKUP(F411,PgSqlRaw!B:B,PgSqlRaw!F:F,""))</f>
        <v/>
      </c>
      <c r="K411" t="str">
        <f t="shared" si="37"/>
        <v>BARE_LABEL</v>
      </c>
      <c r="L411" t="str">
        <f>IF(_xlfn.XLOOKUP(F411,PhpReserved!A:A,PhpReserved!B:B,"") = "", _xlfn.XLOOKUP(G411,PhpReserved!A:A,PhpReserved!B:B,""),_xlfn.XLOOKUP(F411,PhpReserved!A:A,PhpReserved!B:B,""))</f>
        <v/>
      </c>
      <c r="M411" t="str">
        <f>IF(_xlfn.XLOOKUP(F411,PhpFunctions!A:A,PhpFunctions!B:B,"") =  "", _xlfn.XLOOKUP(G411,PhpFunctions!A:A,PhpFunctions!B:B,""), _xlfn.XLOOKUP(F411,PhpFunctions!A:A,PhpFunctions!B:B,""))</f>
        <v/>
      </c>
      <c r="N411" t="str">
        <f>IF(_xlfn.XLOOKUP(F411,PhpParamFunc!A:A,PhpParamFunc!B:B,"") = "", _xlfn.XLOOKUP(G411,PhpParamFunc!A:A,PhpParamFunc!B:B,""), _xlfn.XLOOKUP(F411,PhpParamFunc!A:A,PhpParamFunc!B:B,""))</f>
        <v/>
      </c>
      <c r="O411" t="str">
        <f>IF(_xlfn.XLOOKUP(F411,PhpAggrFunc!A:A,PhpAggrFunc!B:B,"") = "", _xlfn.XLOOKUP(G411,PhpAggrFunc!A:A,PhpAggrFunc!B:B,""), _xlfn.XLOOKUP(F411,PhpAggrFunc!A:A,PhpAggrFunc!B:B,""))</f>
        <v/>
      </c>
      <c r="P411" t="str">
        <f t="shared" si="38"/>
        <v>UNRESERVED</v>
      </c>
      <c r="Q411" t="str">
        <f t="shared" si="39"/>
        <v>static const String^ TOK_RSA_SIGN_HASH = "RSA_SIGN_HASH";</v>
      </c>
      <c r="R411" t="str">
        <f t="shared" si="40"/>
        <v>static const int TOK_RSA_SIGN_HASH = 750;</v>
      </c>
      <c r="S411" t="str">
        <f t="shared" si="41"/>
        <v>// _Tokens-&gt;Add((String^)GramVals::TOK_RSA_SIGN_HASH, gcnew Token(GramKeys::TOK_RSA_SIGN_HASH, EnumTokenCategory::UNRESERVED,BARE_LABEL, i++));</v>
      </c>
    </row>
    <row r="412" spans="1:19" x14ac:dyDescent="0.25">
      <c r="A412" s="3" t="s">
        <v>1775</v>
      </c>
      <c r="B412" s="5">
        <v>751</v>
      </c>
      <c r="C412" s="3" t="s">
        <v>2303</v>
      </c>
      <c r="D412" s="3" t="s">
        <v>2423</v>
      </c>
      <c r="F412" t="str">
        <f t="shared" si="36"/>
        <v>RSA_VERIFY_HASH</v>
      </c>
      <c r="G412" t="s">
        <v>3805</v>
      </c>
      <c r="I412" s="3" t="str">
        <f>IF(_xlfn.XLOOKUP(F412,PgSqlRaw!B:B,PgSqlRaw!E:E,"") = "",_xlfn.XLOOKUP(G412,PgSqlRaw!B:B,PgSqlRaw!E:E,""),_xlfn.XLOOKUP(F412,PgSqlRaw!B:B,PgSqlRaw!E:E,""))</f>
        <v/>
      </c>
      <c r="J412" t="str">
        <f>IF(_xlfn.XLOOKUP(F412,PgSqlRaw!B:B,PgSqlRaw!F:F,"") = "", _xlfn.XLOOKUP(G412,PgSqlRaw!B:B,PgSqlRaw!F:F,""), _xlfn.XLOOKUP(F412,PgSqlRaw!B:B,PgSqlRaw!F:F,""))</f>
        <v/>
      </c>
      <c r="K412" t="str">
        <f t="shared" si="37"/>
        <v>BARE_LABEL</v>
      </c>
      <c r="L412" t="str">
        <f>IF(_xlfn.XLOOKUP(F412,PhpReserved!A:A,PhpReserved!B:B,"") = "", _xlfn.XLOOKUP(G412,PhpReserved!A:A,PhpReserved!B:B,""),_xlfn.XLOOKUP(F412,PhpReserved!A:A,PhpReserved!B:B,""))</f>
        <v/>
      </c>
      <c r="M412" t="str">
        <f>IF(_xlfn.XLOOKUP(F412,PhpFunctions!A:A,PhpFunctions!B:B,"") =  "", _xlfn.XLOOKUP(G412,PhpFunctions!A:A,PhpFunctions!B:B,""), _xlfn.XLOOKUP(F412,PhpFunctions!A:A,PhpFunctions!B:B,""))</f>
        <v/>
      </c>
      <c r="N412" t="str">
        <f>IF(_xlfn.XLOOKUP(F412,PhpParamFunc!A:A,PhpParamFunc!B:B,"") = "", _xlfn.XLOOKUP(G412,PhpParamFunc!A:A,PhpParamFunc!B:B,""), _xlfn.XLOOKUP(F412,PhpParamFunc!A:A,PhpParamFunc!B:B,""))</f>
        <v/>
      </c>
      <c r="O412" t="str">
        <f>IF(_xlfn.XLOOKUP(F412,PhpAggrFunc!A:A,PhpAggrFunc!B:B,"") = "", _xlfn.XLOOKUP(G412,PhpAggrFunc!A:A,PhpAggrFunc!B:B,""), _xlfn.XLOOKUP(F412,PhpAggrFunc!A:A,PhpAggrFunc!B:B,""))</f>
        <v/>
      </c>
      <c r="P412" t="str">
        <f t="shared" si="38"/>
        <v>UNRESERVED</v>
      </c>
      <c r="Q412" t="str">
        <f t="shared" si="39"/>
        <v>static const String^ TOK_RSA_VERIFY_HASH = "RSA_VERIFY_HASH";</v>
      </c>
      <c r="R412" t="str">
        <f t="shared" si="40"/>
        <v>static const int TOK_RSA_VERIFY_HASH = 751;</v>
      </c>
      <c r="S412" t="str">
        <f t="shared" si="41"/>
        <v>// _Tokens-&gt;Add((String^)GramVals::TOK_RSA_VERIFY_HASH, gcnew Token(GramKeys::TOK_RSA_VERIFY_HASH, EnumTokenCategory::UNRESERVED,BARE_LABEL, i++));</v>
      </c>
    </row>
    <row r="413" spans="1:19" x14ac:dyDescent="0.25">
      <c r="A413" s="3" t="s">
        <v>1776</v>
      </c>
      <c r="B413" s="5">
        <v>752</v>
      </c>
      <c r="C413" s="3" t="s">
        <v>2304</v>
      </c>
      <c r="D413" s="3" t="s">
        <v>2423</v>
      </c>
      <c r="F413" t="str">
        <f t="shared" si="36"/>
        <v>SALT_LENGTH</v>
      </c>
      <c r="G413" t="s">
        <v>3806</v>
      </c>
      <c r="I413" s="3" t="str">
        <f>IF(_xlfn.XLOOKUP(F413,PgSqlRaw!B:B,PgSqlRaw!E:E,"") = "",_xlfn.XLOOKUP(G413,PgSqlRaw!B:B,PgSqlRaw!E:E,""),_xlfn.XLOOKUP(F413,PgSqlRaw!B:B,PgSqlRaw!E:E,""))</f>
        <v/>
      </c>
      <c r="J413" t="str">
        <f>IF(_xlfn.XLOOKUP(F413,PgSqlRaw!B:B,PgSqlRaw!F:F,"") = "", _xlfn.XLOOKUP(G413,PgSqlRaw!B:B,PgSqlRaw!F:F,""), _xlfn.XLOOKUP(F413,PgSqlRaw!B:B,PgSqlRaw!F:F,""))</f>
        <v/>
      </c>
      <c r="K413" t="str">
        <f t="shared" si="37"/>
        <v>BARE_LABEL</v>
      </c>
      <c r="L413" t="str">
        <f>IF(_xlfn.XLOOKUP(F413,PhpReserved!A:A,PhpReserved!B:B,"") = "", _xlfn.XLOOKUP(G413,PhpReserved!A:A,PhpReserved!B:B,""),_xlfn.XLOOKUP(F413,PhpReserved!A:A,PhpReserved!B:B,""))</f>
        <v/>
      </c>
      <c r="M413" t="str">
        <f>IF(_xlfn.XLOOKUP(F413,PhpFunctions!A:A,PhpFunctions!B:B,"") =  "", _xlfn.XLOOKUP(G413,PhpFunctions!A:A,PhpFunctions!B:B,""), _xlfn.XLOOKUP(F413,PhpFunctions!A:A,PhpFunctions!B:B,""))</f>
        <v/>
      </c>
      <c r="N413" t="str">
        <f>IF(_xlfn.XLOOKUP(F413,PhpParamFunc!A:A,PhpParamFunc!B:B,"") = "", _xlfn.XLOOKUP(G413,PhpParamFunc!A:A,PhpParamFunc!B:B,""), _xlfn.XLOOKUP(F413,PhpParamFunc!A:A,PhpParamFunc!B:B,""))</f>
        <v/>
      </c>
      <c r="O413" t="str">
        <f>IF(_xlfn.XLOOKUP(F413,PhpAggrFunc!A:A,PhpAggrFunc!B:B,"") = "", _xlfn.XLOOKUP(G413,PhpAggrFunc!A:A,PhpAggrFunc!B:B,""), _xlfn.XLOOKUP(F413,PhpAggrFunc!A:A,PhpAggrFunc!B:B,""))</f>
        <v/>
      </c>
      <c r="P413" t="str">
        <f t="shared" si="38"/>
        <v>UNRESERVED</v>
      </c>
      <c r="Q413" t="str">
        <f t="shared" si="39"/>
        <v>static const String^ TOK_SALT_LENGTH = "SALT_LENGTH";</v>
      </c>
      <c r="R413" t="str">
        <f t="shared" si="40"/>
        <v>static const int TOK_SALT_LENGTH = 752;</v>
      </c>
      <c r="S413" t="str">
        <f t="shared" si="41"/>
        <v>// _Tokens-&gt;Add((String^)GramVals::TOK_SALT_LENGTH, gcnew Token(GramKeys::TOK_SALT_LENGTH, EnumTokenCategory::UNRESERVED,BARE_LABEL, i++));</v>
      </c>
    </row>
    <row r="414" spans="1:19" x14ac:dyDescent="0.25">
      <c r="A414" s="3" t="s">
        <v>1777</v>
      </c>
      <c r="B414" s="5" t="s">
        <v>1293</v>
      </c>
      <c r="C414" s="3" t="s">
        <v>2305</v>
      </c>
      <c r="D414" s="3" t="s">
        <v>881</v>
      </c>
      <c r="F414" t="str">
        <f t="shared" si="36"/>
        <v>SAVEPOINT</v>
      </c>
      <c r="G414" t="s">
        <v>3536</v>
      </c>
      <c r="I414" s="3" t="str">
        <f>IF(_xlfn.XLOOKUP(F414,PgSqlRaw!B:B,PgSqlRaw!E:E,"") = "",_xlfn.XLOOKUP(G414,PgSqlRaw!B:B,PgSqlRaw!E:E,""),_xlfn.XLOOKUP(F414,PgSqlRaw!B:B,PgSqlRaw!E:E,""))</f>
        <v/>
      </c>
      <c r="J414" t="str">
        <f>IF(_xlfn.XLOOKUP(F414,PgSqlRaw!B:B,PgSqlRaw!F:F,"") = "", _xlfn.XLOOKUP(G414,PgSqlRaw!B:B,PgSqlRaw!F:F,""), _xlfn.XLOOKUP(F414,PgSqlRaw!B:B,PgSqlRaw!F:F,""))</f>
        <v>BARE_LABEL</v>
      </c>
      <c r="K414" t="str">
        <f t="shared" si="37"/>
        <v>BARE_LABEL</v>
      </c>
      <c r="L414" t="str">
        <f>IF(_xlfn.XLOOKUP(F414,PhpReserved!A:A,PhpReserved!B:B,"") = "", _xlfn.XLOOKUP(G414,PhpReserved!A:A,PhpReserved!B:B,""),_xlfn.XLOOKUP(F414,PhpReserved!A:A,PhpReserved!B:B,""))</f>
        <v/>
      </c>
      <c r="M414" t="str">
        <f>IF(_xlfn.XLOOKUP(F414,PhpFunctions!A:A,PhpFunctions!B:B,"") =  "", _xlfn.XLOOKUP(G414,PhpFunctions!A:A,PhpFunctions!B:B,""), _xlfn.XLOOKUP(F414,PhpFunctions!A:A,PhpFunctions!B:B,""))</f>
        <v/>
      </c>
      <c r="N414" t="str">
        <f>IF(_xlfn.XLOOKUP(F414,PhpParamFunc!A:A,PhpParamFunc!B:B,"") = "", _xlfn.XLOOKUP(G414,PhpParamFunc!A:A,PhpParamFunc!B:B,""), _xlfn.XLOOKUP(F414,PhpParamFunc!A:A,PhpParamFunc!B:B,""))</f>
        <v/>
      </c>
      <c r="O414" t="str">
        <f>IF(_xlfn.XLOOKUP(F414,PhpAggrFunc!A:A,PhpAggrFunc!B:B,"") = "", _xlfn.XLOOKUP(G414,PhpAggrFunc!A:A,PhpAggrFunc!B:B,""), _xlfn.XLOOKUP(F414,PhpAggrFunc!A:A,PhpAggrFunc!B:B,""))</f>
        <v/>
      </c>
      <c r="P414" t="str">
        <f t="shared" si="38"/>
        <v>UNRESERVED</v>
      </c>
      <c r="Q414" t="str">
        <f t="shared" si="39"/>
        <v>static const String^ TOK_SAVEPOINT = "SAVEPOINT";</v>
      </c>
      <c r="R414" t="str">
        <f t="shared" si="40"/>
        <v>static const int TOK_SAVEPOINT = 488;</v>
      </c>
      <c r="S414" t="str">
        <f t="shared" si="41"/>
        <v>// _Tokens-&gt;Add((String^)GramVals::TOK_SAVEPOINT, gcnew Token(GramKeys::TOK_SAVEPOINT, EnumTokenCategory::UNRESERVED,BARE_LABEL, i++));</v>
      </c>
    </row>
    <row r="415" spans="1:19" x14ac:dyDescent="0.25">
      <c r="A415" s="3" t="s">
        <v>1778</v>
      </c>
      <c r="B415" s="5" t="s">
        <v>1294</v>
      </c>
      <c r="C415" s="3" t="s">
        <v>2306</v>
      </c>
      <c r="D415" s="3" t="s">
        <v>2423</v>
      </c>
      <c r="F415" t="str">
        <f t="shared" si="36"/>
        <v>SCALAR_ARRAY</v>
      </c>
      <c r="G415" t="s">
        <v>3807</v>
      </c>
      <c r="I415" s="3" t="str">
        <f>IF(_xlfn.XLOOKUP(F415,PgSqlRaw!B:B,PgSqlRaw!E:E,"") = "",_xlfn.XLOOKUP(G415,PgSqlRaw!B:B,PgSqlRaw!E:E,""),_xlfn.XLOOKUP(F415,PgSqlRaw!B:B,PgSqlRaw!E:E,""))</f>
        <v/>
      </c>
      <c r="J415" t="str">
        <f>IF(_xlfn.XLOOKUP(F415,PgSqlRaw!B:B,PgSqlRaw!F:F,"") = "", _xlfn.XLOOKUP(G415,PgSqlRaw!B:B,PgSqlRaw!F:F,""), _xlfn.XLOOKUP(F415,PgSqlRaw!B:B,PgSqlRaw!F:F,""))</f>
        <v/>
      </c>
      <c r="K415" t="str">
        <f t="shared" si="37"/>
        <v>BARE_LABEL</v>
      </c>
      <c r="L415" t="str">
        <f>IF(_xlfn.XLOOKUP(F415,PhpReserved!A:A,PhpReserved!B:B,"") = "", _xlfn.XLOOKUP(G415,PhpReserved!A:A,PhpReserved!B:B,""),_xlfn.XLOOKUP(F415,PhpReserved!A:A,PhpReserved!B:B,""))</f>
        <v/>
      </c>
      <c r="M415" t="str">
        <f>IF(_xlfn.XLOOKUP(F415,PhpFunctions!A:A,PhpFunctions!B:B,"") =  "", _xlfn.XLOOKUP(G415,PhpFunctions!A:A,PhpFunctions!B:B,""), _xlfn.XLOOKUP(F415,PhpFunctions!A:A,PhpFunctions!B:B,""))</f>
        <v/>
      </c>
      <c r="N415" t="str">
        <f>IF(_xlfn.XLOOKUP(F415,PhpParamFunc!A:A,PhpParamFunc!B:B,"") = "", _xlfn.XLOOKUP(G415,PhpParamFunc!A:A,PhpParamFunc!B:B,""), _xlfn.XLOOKUP(F415,PhpParamFunc!A:A,PhpParamFunc!B:B,""))</f>
        <v/>
      </c>
      <c r="O415" t="str">
        <f>IF(_xlfn.XLOOKUP(F415,PhpAggrFunc!A:A,PhpAggrFunc!B:B,"") = "", _xlfn.XLOOKUP(G415,PhpAggrFunc!A:A,PhpAggrFunc!B:B,""), _xlfn.XLOOKUP(F415,PhpAggrFunc!A:A,PhpAggrFunc!B:B,""))</f>
        <v/>
      </c>
      <c r="P415" t="str">
        <f t="shared" si="38"/>
        <v>UNRESERVED</v>
      </c>
      <c r="Q415" t="str">
        <f t="shared" si="39"/>
        <v>static const String^ TOK_SCALAR_ARRAY = "SCALAR_ARRAY";</v>
      </c>
      <c r="R415" t="str">
        <f t="shared" si="40"/>
        <v>static const int TOK_SCALAR_ARRAY = 503;</v>
      </c>
      <c r="S415" t="str">
        <f t="shared" si="41"/>
        <v>// _Tokens-&gt;Add((String^)GramVals::TOK_SCALAR_ARRAY, gcnew Token(GramKeys::TOK_SCALAR_ARRAY, EnumTokenCategory::UNRESERVED,BARE_LABEL, i++));</v>
      </c>
    </row>
    <row r="416" spans="1:19" x14ac:dyDescent="0.25">
      <c r="A416" s="3" t="s">
        <v>1780</v>
      </c>
      <c r="B416" s="5" t="s">
        <v>1295</v>
      </c>
      <c r="C416" s="3" t="s">
        <v>2308</v>
      </c>
      <c r="D416" s="3" t="s">
        <v>881</v>
      </c>
      <c r="F416" t="str">
        <f t="shared" si="36"/>
        <v>SCALEDINT</v>
      </c>
      <c r="G416" t="s">
        <v>3808</v>
      </c>
      <c r="I416" s="3" t="str">
        <f>IF(_xlfn.XLOOKUP(F416,PgSqlRaw!B:B,PgSqlRaw!E:E,"") = "",_xlfn.XLOOKUP(G416,PgSqlRaw!B:B,PgSqlRaw!E:E,""),_xlfn.XLOOKUP(F416,PgSqlRaw!B:B,PgSqlRaw!E:E,""))</f>
        <v/>
      </c>
      <c r="J416" t="str">
        <f>IF(_xlfn.XLOOKUP(F416,PgSqlRaw!B:B,PgSqlRaw!F:F,"") = "", _xlfn.XLOOKUP(G416,PgSqlRaw!B:B,PgSqlRaw!F:F,""), _xlfn.XLOOKUP(F416,PgSqlRaw!B:B,PgSqlRaw!F:F,""))</f>
        <v/>
      </c>
      <c r="K416" t="str">
        <f t="shared" si="37"/>
        <v>BARE_LABEL</v>
      </c>
      <c r="L416" t="str">
        <f>IF(_xlfn.XLOOKUP(F416,PhpReserved!A:A,PhpReserved!B:B,"") = "", _xlfn.XLOOKUP(G416,PhpReserved!A:A,PhpReserved!B:B,""),_xlfn.XLOOKUP(F416,PhpReserved!A:A,PhpReserved!B:B,""))</f>
        <v/>
      </c>
      <c r="M416" t="str">
        <f>IF(_xlfn.XLOOKUP(F416,PhpFunctions!A:A,PhpFunctions!B:B,"") =  "", _xlfn.XLOOKUP(G416,PhpFunctions!A:A,PhpFunctions!B:B,""), _xlfn.XLOOKUP(F416,PhpFunctions!A:A,PhpFunctions!B:B,""))</f>
        <v/>
      </c>
      <c r="N416" t="str">
        <f>IF(_xlfn.XLOOKUP(F416,PhpParamFunc!A:A,PhpParamFunc!B:B,"") = "", _xlfn.XLOOKUP(G416,PhpParamFunc!A:A,PhpParamFunc!B:B,""), _xlfn.XLOOKUP(F416,PhpParamFunc!A:A,PhpParamFunc!B:B,""))</f>
        <v/>
      </c>
      <c r="O416" t="str">
        <f>IF(_xlfn.XLOOKUP(F416,PhpAggrFunc!A:A,PhpAggrFunc!B:B,"") = "", _xlfn.XLOOKUP(G416,PhpAggrFunc!A:A,PhpAggrFunc!B:B,""), _xlfn.XLOOKUP(F416,PhpAggrFunc!A:A,PhpAggrFunc!B:B,""))</f>
        <v/>
      </c>
      <c r="P416" t="str">
        <f t="shared" si="38"/>
        <v>UNRESERVED</v>
      </c>
      <c r="Q416" t="str">
        <f t="shared" si="39"/>
        <v>static const String^ TOK_SCALEDINT = "SCALEDINT";</v>
      </c>
      <c r="R416" t="str">
        <f t="shared" si="40"/>
        <v>static const int TOK_SCALEDINT = 468;</v>
      </c>
      <c r="S416" t="str">
        <f t="shared" si="41"/>
        <v>// _Tokens-&gt;Add((String^)GramVals::TOK_SCALEDINT, gcnew Token(GramKeys::TOK_SCALEDINT, EnumTokenCategory::UNRESERVED,BARE_LABEL, i++));</v>
      </c>
    </row>
    <row r="417" spans="1:19" x14ac:dyDescent="0.25">
      <c r="A417" s="3" t="s">
        <v>1779</v>
      </c>
      <c r="B417" s="5">
        <v>753</v>
      </c>
      <c r="C417" s="3" t="s">
        <v>2307</v>
      </c>
      <c r="D417" s="3" t="s">
        <v>881</v>
      </c>
      <c r="F417" t="str">
        <f t="shared" si="36"/>
        <v>SCHEMA</v>
      </c>
      <c r="G417" t="s">
        <v>2926</v>
      </c>
      <c r="I417" s="3" t="str">
        <f>IF(_xlfn.XLOOKUP(F417,PgSqlRaw!B:B,PgSqlRaw!E:E,"") = "",_xlfn.XLOOKUP(G417,PgSqlRaw!B:B,PgSqlRaw!E:E,""),_xlfn.XLOOKUP(F417,PgSqlRaw!B:B,PgSqlRaw!E:E,""))</f>
        <v/>
      </c>
      <c r="J417" t="str">
        <f>IF(_xlfn.XLOOKUP(F417,PgSqlRaw!B:B,PgSqlRaw!F:F,"") = "", _xlfn.XLOOKUP(G417,PgSqlRaw!B:B,PgSqlRaw!F:F,""), _xlfn.XLOOKUP(F417,PgSqlRaw!B:B,PgSqlRaw!F:F,""))</f>
        <v>BARE_LABEL</v>
      </c>
      <c r="K417" t="str">
        <f t="shared" si="37"/>
        <v>BARE_LABEL</v>
      </c>
      <c r="L417" t="str">
        <f>IF(_xlfn.XLOOKUP(F417,PhpReserved!A:A,PhpReserved!B:B,"") = "", _xlfn.XLOOKUP(G417,PhpReserved!A:A,PhpReserved!B:B,""),_xlfn.XLOOKUP(F417,PhpReserved!A:A,PhpReserved!B:B,""))</f>
        <v>RESERVED</v>
      </c>
      <c r="M417" t="str">
        <f>IF(_xlfn.XLOOKUP(F417,PhpFunctions!A:A,PhpFunctions!B:B,"") =  "", _xlfn.XLOOKUP(G417,PhpFunctions!A:A,PhpFunctions!B:B,""), _xlfn.XLOOKUP(F417,PhpFunctions!A:A,PhpFunctions!B:B,""))</f>
        <v>FUNCTION</v>
      </c>
      <c r="N417" t="str">
        <f>IF(_xlfn.XLOOKUP(F417,PhpParamFunc!A:A,PhpParamFunc!B:B,"") = "", _xlfn.XLOOKUP(G417,PhpParamFunc!A:A,PhpParamFunc!B:B,""), _xlfn.XLOOKUP(F417,PhpParamFunc!A:A,PhpParamFunc!B:B,""))</f>
        <v/>
      </c>
      <c r="O417" t="str">
        <f>IF(_xlfn.XLOOKUP(F417,PhpAggrFunc!A:A,PhpAggrFunc!B:B,"") = "", _xlfn.XLOOKUP(G417,PhpAggrFunc!A:A,PhpAggrFunc!B:B,""), _xlfn.XLOOKUP(F417,PhpAggrFunc!A:A,PhpAggrFunc!B:B,""))</f>
        <v/>
      </c>
      <c r="P417" t="str">
        <f t="shared" si="38"/>
        <v>FUNCTION</v>
      </c>
      <c r="Q417" t="str">
        <f t="shared" si="39"/>
        <v>static const String^ TOK_SCHEMA = "SCHEMA";</v>
      </c>
      <c r="R417" t="str">
        <f t="shared" si="40"/>
        <v>static const int TOK_SCHEMA = 753;</v>
      </c>
      <c r="S417" t="str">
        <f t="shared" si="41"/>
        <v>_Tokens-&gt;Add((String^)GramVals::TOK_SCHEMA, gcnew Token(GramKeys::TOK_SCHEMA, EnumTokenCategory::FUNCTION,BARE_LABEL, i++));</v>
      </c>
    </row>
    <row r="418" spans="1:19" x14ac:dyDescent="0.25">
      <c r="A418" s="3" t="s">
        <v>1781</v>
      </c>
      <c r="B418" s="5" t="s">
        <v>1296</v>
      </c>
      <c r="C418" s="3" t="s">
        <v>2309</v>
      </c>
      <c r="D418" s="3" t="s">
        <v>881</v>
      </c>
      <c r="F418" t="str">
        <f t="shared" si="36"/>
        <v>SCROLL</v>
      </c>
      <c r="G418" t="s">
        <v>3537</v>
      </c>
      <c r="I418" s="3" t="str">
        <f>IF(_xlfn.XLOOKUP(F418,PgSqlRaw!B:B,PgSqlRaw!E:E,"") = "",_xlfn.XLOOKUP(G418,PgSqlRaw!B:B,PgSqlRaw!E:E,""),_xlfn.XLOOKUP(F418,PgSqlRaw!B:B,PgSqlRaw!E:E,""))</f>
        <v/>
      </c>
      <c r="J418" t="str">
        <f>IF(_xlfn.XLOOKUP(F418,PgSqlRaw!B:B,PgSqlRaw!F:F,"") = "", _xlfn.XLOOKUP(G418,PgSqlRaw!B:B,PgSqlRaw!F:F,""), _xlfn.XLOOKUP(F418,PgSqlRaw!B:B,PgSqlRaw!F:F,""))</f>
        <v>BARE_LABEL</v>
      </c>
      <c r="K418" t="str">
        <f t="shared" si="37"/>
        <v>BARE_LABEL</v>
      </c>
      <c r="L418" t="str">
        <f>IF(_xlfn.XLOOKUP(F418,PhpReserved!A:A,PhpReserved!B:B,"") = "", _xlfn.XLOOKUP(G418,PhpReserved!A:A,PhpReserved!B:B,""),_xlfn.XLOOKUP(F418,PhpReserved!A:A,PhpReserved!B:B,""))</f>
        <v/>
      </c>
      <c r="M418" t="str">
        <f>IF(_xlfn.XLOOKUP(F418,PhpFunctions!A:A,PhpFunctions!B:B,"") =  "", _xlfn.XLOOKUP(G418,PhpFunctions!A:A,PhpFunctions!B:B,""), _xlfn.XLOOKUP(F418,PhpFunctions!A:A,PhpFunctions!B:B,""))</f>
        <v/>
      </c>
      <c r="N418" t="str">
        <f>IF(_xlfn.XLOOKUP(F418,PhpParamFunc!A:A,PhpParamFunc!B:B,"") = "", _xlfn.XLOOKUP(G418,PhpParamFunc!A:A,PhpParamFunc!B:B,""), _xlfn.XLOOKUP(F418,PhpParamFunc!A:A,PhpParamFunc!B:B,""))</f>
        <v/>
      </c>
      <c r="O418" t="str">
        <f>IF(_xlfn.XLOOKUP(F418,PhpAggrFunc!A:A,PhpAggrFunc!B:B,"") = "", _xlfn.XLOOKUP(G418,PhpAggrFunc!A:A,PhpAggrFunc!B:B,""), _xlfn.XLOOKUP(F418,PhpAggrFunc!A:A,PhpAggrFunc!B:B,""))</f>
        <v/>
      </c>
      <c r="P418" t="str">
        <f t="shared" si="38"/>
        <v>UNRESERVED</v>
      </c>
      <c r="Q418" t="str">
        <f t="shared" si="39"/>
        <v>static const String^ TOK_SCROLL = "SCROLL";</v>
      </c>
      <c r="R418" t="str">
        <f t="shared" si="40"/>
        <v>static const int TOK_SCROLL = 619;</v>
      </c>
      <c r="S418" t="str">
        <f t="shared" si="41"/>
        <v>// _Tokens-&gt;Add((String^)GramVals::TOK_SCROLL, gcnew Token(GramKeys::TOK_SCROLL, EnumTokenCategory::UNRESERVED,BARE_LABEL, i++));</v>
      </c>
    </row>
    <row r="419" spans="1:19" x14ac:dyDescent="0.25">
      <c r="A419" s="3" t="s">
        <v>1782</v>
      </c>
      <c r="B419" s="5" t="s">
        <v>1297</v>
      </c>
      <c r="C419" s="3" t="s">
        <v>2310</v>
      </c>
      <c r="D419" s="3" t="s">
        <v>881</v>
      </c>
      <c r="F419" t="str">
        <f t="shared" si="36"/>
        <v>SECOND</v>
      </c>
      <c r="G419" t="s">
        <v>3031</v>
      </c>
      <c r="I419" s="3" t="str">
        <f>IF(_xlfn.XLOOKUP(F419,PgSqlRaw!B:B,PgSqlRaw!E:E,"") = "",_xlfn.XLOOKUP(G419,PgSqlRaw!B:B,PgSqlRaw!E:E,""),_xlfn.XLOOKUP(F419,PgSqlRaw!B:B,PgSqlRaw!E:E,""))</f>
        <v/>
      </c>
      <c r="J419" t="str">
        <f>IF(_xlfn.XLOOKUP(F419,PgSqlRaw!B:B,PgSqlRaw!F:F,"") = "", _xlfn.XLOOKUP(G419,PgSqlRaw!B:B,PgSqlRaw!F:F,""), _xlfn.XLOOKUP(F419,PgSqlRaw!B:B,PgSqlRaw!F:F,""))</f>
        <v>AS_LABEL</v>
      </c>
      <c r="K419" t="str">
        <f t="shared" si="37"/>
        <v>AS_LABEL</v>
      </c>
      <c r="L419" t="str">
        <f>IF(_xlfn.XLOOKUP(F419,PhpReserved!A:A,PhpReserved!B:B,"") = "", _xlfn.XLOOKUP(G419,PhpReserved!A:A,PhpReserved!B:B,""),_xlfn.XLOOKUP(F419,PhpReserved!A:A,PhpReserved!B:B,""))</f>
        <v>RESERVED</v>
      </c>
      <c r="M419" t="str">
        <f>IF(_xlfn.XLOOKUP(F419,PhpFunctions!A:A,PhpFunctions!B:B,"") =  "", _xlfn.XLOOKUP(G419,PhpFunctions!A:A,PhpFunctions!B:B,""), _xlfn.XLOOKUP(F419,PhpFunctions!A:A,PhpFunctions!B:B,""))</f>
        <v>FUNCTION</v>
      </c>
      <c r="N419" t="str">
        <f>IF(_xlfn.XLOOKUP(F419,PhpParamFunc!A:A,PhpParamFunc!B:B,"") = "", _xlfn.XLOOKUP(G419,PhpParamFunc!A:A,PhpParamFunc!B:B,""), _xlfn.XLOOKUP(F419,PhpParamFunc!A:A,PhpParamFunc!B:B,""))</f>
        <v>PARAM_FUNCTION</v>
      </c>
      <c r="O419" t="str">
        <f>IF(_xlfn.XLOOKUP(F419,PhpAggrFunc!A:A,PhpAggrFunc!B:B,"") = "", _xlfn.XLOOKUP(G419,PhpAggrFunc!A:A,PhpAggrFunc!B:B,""), _xlfn.XLOOKUP(F419,PhpAggrFunc!A:A,PhpAggrFunc!B:B,""))</f>
        <v/>
      </c>
      <c r="P419" t="str">
        <f t="shared" si="38"/>
        <v>PARAM_FUNCTION</v>
      </c>
      <c r="Q419" t="str">
        <f t="shared" si="39"/>
        <v>static const String^ TOK_SECOND = "SECOND";</v>
      </c>
      <c r="R419" t="str">
        <f t="shared" si="40"/>
        <v>static const int TOK_SECOND = 459;</v>
      </c>
      <c r="S419" t="str">
        <f t="shared" si="41"/>
        <v>_Tokens-&gt;Add((String^)GramVals::TOK_SECOND, gcnew Token(GramKeys::TOK_SECOND, EnumTokenCategory::PARAM_FUNCTION,AS_LABEL, i++));</v>
      </c>
    </row>
    <row r="420" spans="1:19" x14ac:dyDescent="0.25">
      <c r="A420" s="3" t="s">
        <v>1783</v>
      </c>
      <c r="B420" s="5">
        <v>754</v>
      </c>
      <c r="C420" s="3" t="s">
        <v>2311</v>
      </c>
      <c r="D420" s="3" t="s">
        <v>2423</v>
      </c>
      <c r="F420" t="str">
        <f t="shared" si="36"/>
        <v>SECURITY</v>
      </c>
      <c r="G420" t="s">
        <v>3539</v>
      </c>
      <c r="I420" s="3" t="str">
        <f>IF(_xlfn.XLOOKUP(F420,PgSqlRaw!B:B,PgSqlRaw!E:E,"") = "",_xlfn.XLOOKUP(G420,PgSqlRaw!B:B,PgSqlRaw!E:E,""),_xlfn.XLOOKUP(F420,PgSqlRaw!B:B,PgSqlRaw!E:E,""))</f>
        <v/>
      </c>
      <c r="J420" t="str">
        <f>IF(_xlfn.XLOOKUP(F420,PgSqlRaw!B:B,PgSqlRaw!F:F,"") = "", _xlfn.XLOOKUP(G420,PgSqlRaw!B:B,PgSqlRaw!F:F,""), _xlfn.XLOOKUP(F420,PgSqlRaw!B:B,PgSqlRaw!F:F,""))</f>
        <v>BARE_LABEL</v>
      </c>
      <c r="K420" t="str">
        <f t="shared" si="37"/>
        <v>BARE_LABEL</v>
      </c>
      <c r="L420" t="str">
        <f>IF(_xlfn.XLOOKUP(F420,PhpReserved!A:A,PhpReserved!B:B,"") = "", _xlfn.XLOOKUP(G420,PhpReserved!A:A,PhpReserved!B:B,""),_xlfn.XLOOKUP(F420,PhpReserved!A:A,PhpReserved!B:B,""))</f>
        <v/>
      </c>
      <c r="M420" t="str">
        <f>IF(_xlfn.XLOOKUP(F420,PhpFunctions!A:A,PhpFunctions!B:B,"") =  "", _xlfn.XLOOKUP(G420,PhpFunctions!A:A,PhpFunctions!B:B,""), _xlfn.XLOOKUP(F420,PhpFunctions!A:A,PhpFunctions!B:B,""))</f>
        <v/>
      </c>
      <c r="N420" t="str">
        <f>IF(_xlfn.XLOOKUP(F420,PhpParamFunc!A:A,PhpParamFunc!B:B,"") = "", _xlfn.XLOOKUP(G420,PhpParamFunc!A:A,PhpParamFunc!B:B,""), _xlfn.XLOOKUP(F420,PhpParamFunc!A:A,PhpParamFunc!B:B,""))</f>
        <v/>
      </c>
      <c r="O420" t="str">
        <f>IF(_xlfn.XLOOKUP(F420,PhpAggrFunc!A:A,PhpAggrFunc!B:B,"") = "", _xlfn.XLOOKUP(G420,PhpAggrFunc!A:A,PhpAggrFunc!B:B,""), _xlfn.XLOOKUP(F420,PhpAggrFunc!A:A,PhpAggrFunc!B:B,""))</f>
        <v/>
      </c>
      <c r="P420" t="str">
        <f t="shared" si="38"/>
        <v>UNRESERVED</v>
      </c>
      <c r="Q420" t="str">
        <f t="shared" si="39"/>
        <v>static const String^ TOK_SECURITY = "SECURITY";</v>
      </c>
      <c r="R420" t="str">
        <f t="shared" si="40"/>
        <v>static const int TOK_SECURITY = 754;</v>
      </c>
      <c r="S420" t="str">
        <f t="shared" si="41"/>
        <v>// _Tokens-&gt;Add((String^)GramVals::TOK_SECURITY, gcnew Token(GramKeys::TOK_SECURITY, EnumTokenCategory::UNRESERVED,BARE_LABEL, i++));</v>
      </c>
    </row>
    <row r="421" spans="1:19" x14ac:dyDescent="0.25">
      <c r="A421" s="3" t="s">
        <v>1784</v>
      </c>
      <c r="B421" s="5" t="s">
        <v>1298</v>
      </c>
      <c r="C421" s="3" t="s">
        <v>2312</v>
      </c>
      <c r="D421" s="3" t="s">
        <v>2423</v>
      </c>
      <c r="F421" t="str">
        <f t="shared" si="36"/>
        <v>SEGMENT</v>
      </c>
      <c r="G421" t="s">
        <v>3809</v>
      </c>
      <c r="I421" s="3" t="str">
        <f>IF(_xlfn.XLOOKUP(F421,PgSqlRaw!B:B,PgSqlRaw!E:E,"") = "",_xlfn.XLOOKUP(G421,PgSqlRaw!B:B,PgSqlRaw!E:E,""),_xlfn.XLOOKUP(F421,PgSqlRaw!B:B,PgSqlRaw!E:E,""))</f>
        <v/>
      </c>
      <c r="J421" t="str">
        <f>IF(_xlfn.XLOOKUP(F421,PgSqlRaw!B:B,PgSqlRaw!F:F,"") = "", _xlfn.XLOOKUP(G421,PgSqlRaw!B:B,PgSqlRaw!F:F,""), _xlfn.XLOOKUP(F421,PgSqlRaw!B:B,PgSqlRaw!F:F,""))</f>
        <v/>
      </c>
      <c r="K421" t="str">
        <f t="shared" si="37"/>
        <v>BARE_LABEL</v>
      </c>
      <c r="L421" t="str">
        <f>IF(_xlfn.XLOOKUP(F421,PhpReserved!A:A,PhpReserved!B:B,"") = "", _xlfn.XLOOKUP(G421,PhpReserved!A:A,PhpReserved!B:B,""),_xlfn.XLOOKUP(F421,PhpReserved!A:A,PhpReserved!B:B,""))</f>
        <v/>
      </c>
      <c r="M421" t="str">
        <f>IF(_xlfn.XLOOKUP(F421,PhpFunctions!A:A,PhpFunctions!B:B,"") =  "", _xlfn.XLOOKUP(G421,PhpFunctions!A:A,PhpFunctions!B:B,""), _xlfn.XLOOKUP(F421,PhpFunctions!A:A,PhpFunctions!B:B,""))</f>
        <v/>
      </c>
      <c r="N421" t="str">
        <f>IF(_xlfn.XLOOKUP(F421,PhpParamFunc!A:A,PhpParamFunc!B:B,"") = "", _xlfn.XLOOKUP(G421,PhpParamFunc!A:A,PhpParamFunc!B:B,""), _xlfn.XLOOKUP(F421,PhpParamFunc!A:A,PhpParamFunc!B:B,""))</f>
        <v/>
      </c>
      <c r="O421" t="str">
        <f>IF(_xlfn.XLOOKUP(F421,PhpAggrFunc!A:A,PhpAggrFunc!B:B,"") = "", _xlfn.XLOOKUP(G421,PhpAggrFunc!A:A,PhpAggrFunc!B:B,""), _xlfn.XLOOKUP(F421,PhpAggrFunc!A:A,PhpAggrFunc!B:B,""))</f>
        <v/>
      </c>
      <c r="P421" t="str">
        <f t="shared" si="38"/>
        <v>UNRESERVED</v>
      </c>
      <c r="Q421" t="str">
        <f t="shared" si="39"/>
        <v>static const String^ TOK_SEGMENT = "SEGMENT";</v>
      </c>
      <c r="R421" t="str">
        <f t="shared" si="40"/>
        <v>static const int TOK_SEGMENT = 399;</v>
      </c>
      <c r="S421" t="str">
        <f t="shared" si="41"/>
        <v>// _Tokens-&gt;Add((String^)GramVals::TOK_SEGMENT, gcnew Token(GramKeys::TOK_SEGMENT, EnumTokenCategory::UNRESERVED,BARE_LABEL, i++));</v>
      </c>
    </row>
    <row r="422" spans="1:19" x14ac:dyDescent="0.25">
      <c r="A422" s="3" t="s">
        <v>1785</v>
      </c>
      <c r="B422" s="5" t="s">
        <v>1299</v>
      </c>
      <c r="C422" s="3" t="s">
        <v>2313</v>
      </c>
      <c r="D422" s="3" t="s">
        <v>881</v>
      </c>
      <c r="F422" t="str">
        <f t="shared" si="36"/>
        <v>SELECT</v>
      </c>
      <c r="G422" t="s">
        <v>3228</v>
      </c>
      <c r="I422" s="3" t="str">
        <f>IF(_xlfn.XLOOKUP(F422,PgSqlRaw!B:B,PgSqlRaw!E:E,"") = "",_xlfn.XLOOKUP(G422,PgSqlRaw!B:B,PgSqlRaw!E:E,""),_xlfn.XLOOKUP(F422,PgSqlRaw!B:B,PgSqlRaw!E:E,""))</f>
        <v>RESERVED</v>
      </c>
      <c r="J422" t="str">
        <f>IF(_xlfn.XLOOKUP(F422,PgSqlRaw!B:B,PgSqlRaw!F:F,"") = "", _xlfn.XLOOKUP(G422,PgSqlRaw!B:B,PgSqlRaw!F:F,""), _xlfn.XLOOKUP(F422,PgSqlRaw!B:B,PgSqlRaw!F:F,""))</f>
        <v>BARE_LABEL</v>
      </c>
      <c r="K422" t="str">
        <f t="shared" si="37"/>
        <v>BARE_LABEL</v>
      </c>
      <c r="L422" t="str">
        <f>IF(_xlfn.XLOOKUP(F422,PhpReserved!A:A,PhpReserved!B:B,"") = "", _xlfn.XLOOKUP(G422,PhpReserved!A:A,PhpReserved!B:B,""),_xlfn.XLOOKUP(F422,PhpReserved!A:A,PhpReserved!B:B,""))</f>
        <v>RESERVED</v>
      </c>
      <c r="M422" t="str">
        <f>IF(_xlfn.XLOOKUP(F422,PhpFunctions!A:A,PhpFunctions!B:B,"") =  "", _xlfn.XLOOKUP(G422,PhpFunctions!A:A,PhpFunctions!B:B,""), _xlfn.XLOOKUP(F422,PhpFunctions!A:A,PhpFunctions!B:B,""))</f>
        <v/>
      </c>
      <c r="N422" t="str">
        <f>IF(_xlfn.XLOOKUP(F422,PhpParamFunc!A:A,PhpParamFunc!B:B,"") = "", _xlfn.XLOOKUP(G422,PhpParamFunc!A:A,PhpParamFunc!B:B,""), _xlfn.XLOOKUP(F422,PhpParamFunc!A:A,PhpParamFunc!B:B,""))</f>
        <v/>
      </c>
      <c r="O422" t="str">
        <f>IF(_xlfn.XLOOKUP(F422,PhpAggrFunc!A:A,PhpAggrFunc!B:B,"") = "", _xlfn.XLOOKUP(G422,PhpAggrFunc!A:A,PhpAggrFunc!B:B,""), _xlfn.XLOOKUP(F422,PhpAggrFunc!A:A,PhpAggrFunc!B:B,""))</f>
        <v/>
      </c>
      <c r="P422" t="str">
        <f t="shared" si="38"/>
        <v>RESERVED</v>
      </c>
      <c r="Q422" t="str">
        <f t="shared" si="39"/>
        <v>static const String^ TOK_SELECT = "SELECT";</v>
      </c>
      <c r="R422" t="str">
        <f t="shared" si="40"/>
        <v>static const int TOK_SELECT = 400;</v>
      </c>
      <c r="S422" t="str">
        <f t="shared" si="41"/>
        <v>_Tokens-&gt;Add((String^)GramVals::TOK_SELECT, gcnew Token(GramKeys::TOK_SELECT, EnumTokenCategory::RESERVED,BARE_LABEL, i++));</v>
      </c>
    </row>
    <row r="423" spans="1:19" x14ac:dyDescent="0.25">
      <c r="A423" s="3" t="s">
        <v>1786</v>
      </c>
      <c r="B423" s="5" t="s">
        <v>1300</v>
      </c>
      <c r="C423" s="3" t="s">
        <v>2314</v>
      </c>
      <c r="D423" s="3" t="s">
        <v>881</v>
      </c>
      <c r="F423" t="str">
        <f t="shared" si="36"/>
        <v>SENSITIVE</v>
      </c>
      <c r="G423" t="s">
        <v>3229</v>
      </c>
      <c r="I423" s="3" t="str">
        <f>IF(_xlfn.XLOOKUP(F423,PgSqlRaw!B:B,PgSqlRaw!E:E,"") = "",_xlfn.XLOOKUP(G423,PgSqlRaw!B:B,PgSqlRaw!E:E,""),_xlfn.XLOOKUP(F423,PgSqlRaw!B:B,PgSqlRaw!E:E,""))</f>
        <v/>
      </c>
      <c r="J423" t="str">
        <f>IF(_xlfn.XLOOKUP(F423,PgSqlRaw!B:B,PgSqlRaw!F:F,"") = "", _xlfn.XLOOKUP(G423,PgSqlRaw!B:B,PgSqlRaw!F:F,""), _xlfn.XLOOKUP(F423,PgSqlRaw!B:B,PgSqlRaw!F:F,""))</f>
        <v/>
      </c>
      <c r="K423" t="str">
        <f t="shared" si="37"/>
        <v>BARE_LABEL</v>
      </c>
      <c r="L423" t="str">
        <f>IF(_xlfn.XLOOKUP(F423,PhpReserved!A:A,PhpReserved!B:B,"") = "", _xlfn.XLOOKUP(G423,PhpReserved!A:A,PhpReserved!B:B,""),_xlfn.XLOOKUP(F423,PhpReserved!A:A,PhpReserved!B:B,""))</f>
        <v>RESERVED</v>
      </c>
      <c r="M423" t="str">
        <f>IF(_xlfn.XLOOKUP(F423,PhpFunctions!A:A,PhpFunctions!B:B,"") =  "", _xlfn.XLOOKUP(G423,PhpFunctions!A:A,PhpFunctions!B:B,""), _xlfn.XLOOKUP(F423,PhpFunctions!A:A,PhpFunctions!B:B,""))</f>
        <v/>
      </c>
      <c r="N423" t="str">
        <f>IF(_xlfn.XLOOKUP(F423,PhpParamFunc!A:A,PhpParamFunc!B:B,"") = "", _xlfn.XLOOKUP(G423,PhpParamFunc!A:A,PhpParamFunc!B:B,""), _xlfn.XLOOKUP(F423,PhpParamFunc!A:A,PhpParamFunc!B:B,""))</f>
        <v/>
      </c>
      <c r="O423" t="str">
        <f>IF(_xlfn.XLOOKUP(F423,PhpAggrFunc!A:A,PhpAggrFunc!B:B,"") = "", _xlfn.XLOOKUP(G423,PhpAggrFunc!A:A,PhpAggrFunc!B:B,""), _xlfn.XLOOKUP(F423,PhpAggrFunc!A:A,PhpAggrFunc!B:B,""))</f>
        <v/>
      </c>
      <c r="P423" t="str">
        <f t="shared" si="38"/>
        <v>RESERVED</v>
      </c>
      <c r="Q423" t="str">
        <f t="shared" si="39"/>
        <v>static const String^ TOK_SENSITIVE = "SENSITIVE";</v>
      </c>
      <c r="R423" t="str">
        <f t="shared" si="40"/>
        <v>static const int TOK_SENSITIVE = 578;</v>
      </c>
      <c r="S423" t="str">
        <f t="shared" si="41"/>
        <v>_Tokens-&gt;Add((String^)GramVals::TOK_SENSITIVE, gcnew Token(GramKeys::TOK_SENSITIVE, EnumTokenCategory::RESERVED,BARE_LABEL, i++));</v>
      </c>
    </row>
    <row r="424" spans="1:19" x14ac:dyDescent="0.25">
      <c r="A424" s="3" t="s">
        <v>1787</v>
      </c>
      <c r="B424" s="5" t="s">
        <v>1301</v>
      </c>
      <c r="C424" s="3" t="s">
        <v>2315</v>
      </c>
      <c r="D424" s="3" t="s">
        <v>2423</v>
      </c>
      <c r="F424" t="str">
        <f t="shared" si="36"/>
        <v>SEQUENCE</v>
      </c>
      <c r="G424" t="s">
        <v>3540</v>
      </c>
      <c r="I424" s="3" t="str">
        <f>IF(_xlfn.XLOOKUP(F424,PgSqlRaw!B:B,PgSqlRaw!E:E,"") = "",_xlfn.XLOOKUP(G424,PgSqlRaw!B:B,PgSqlRaw!E:E,""),_xlfn.XLOOKUP(F424,PgSqlRaw!B:B,PgSqlRaw!E:E,""))</f>
        <v/>
      </c>
      <c r="J424" t="str">
        <f>IF(_xlfn.XLOOKUP(F424,PgSqlRaw!B:B,PgSqlRaw!F:F,"") = "", _xlfn.XLOOKUP(G424,PgSqlRaw!B:B,PgSqlRaw!F:F,""), _xlfn.XLOOKUP(F424,PgSqlRaw!B:B,PgSqlRaw!F:F,""))</f>
        <v>BARE_LABEL</v>
      </c>
      <c r="K424" t="str">
        <f t="shared" si="37"/>
        <v>BARE_LABEL</v>
      </c>
      <c r="L424" t="str">
        <f>IF(_xlfn.XLOOKUP(F424,PhpReserved!A:A,PhpReserved!B:B,"") = "", _xlfn.XLOOKUP(G424,PhpReserved!A:A,PhpReserved!B:B,""),_xlfn.XLOOKUP(F424,PhpReserved!A:A,PhpReserved!B:B,""))</f>
        <v/>
      </c>
      <c r="M424" t="str">
        <f>IF(_xlfn.XLOOKUP(F424,PhpFunctions!A:A,PhpFunctions!B:B,"") =  "", _xlfn.XLOOKUP(G424,PhpFunctions!A:A,PhpFunctions!B:B,""), _xlfn.XLOOKUP(F424,PhpFunctions!A:A,PhpFunctions!B:B,""))</f>
        <v/>
      </c>
      <c r="N424" t="str">
        <f>IF(_xlfn.XLOOKUP(F424,PhpParamFunc!A:A,PhpParamFunc!B:B,"") = "", _xlfn.XLOOKUP(G424,PhpParamFunc!A:A,PhpParamFunc!B:B,""), _xlfn.XLOOKUP(F424,PhpParamFunc!A:A,PhpParamFunc!B:B,""))</f>
        <v/>
      </c>
      <c r="O424" t="str">
        <f>IF(_xlfn.XLOOKUP(F424,PhpAggrFunc!A:A,PhpAggrFunc!B:B,"") = "", _xlfn.XLOOKUP(G424,PhpAggrFunc!A:A,PhpAggrFunc!B:B,""), _xlfn.XLOOKUP(F424,PhpAggrFunc!A:A,PhpAggrFunc!B:B,""))</f>
        <v/>
      </c>
      <c r="P424" t="str">
        <f t="shared" si="38"/>
        <v>UNRESERVED</v>
      </c>
      <c r="Q424" t="str">
        <f t="shared" si="39"/>
        <v>static const String^ TOK_SEQUENCE = "SEQUENCE";</v>
      </c>
      <c r="R424" t="str">
        <f t="shared" si="40"/>
        <v>static const int TOK_SEQUENCE = 506;</v>
      </c>
      <c r="S424" t="str">
        <f t="shared" si="41"/>
        <v>// _Tokens-&gt;Add((String^)GramVals::TOK_SEQUENCE, gcnew Token(GramKeys::TOK_SEQUENCE, EnumTokenCategory::UNRESERVED,BARE_LABEL, i++));</v>
      </c>
    </row>
    <row r="425" spans="1:19" x14ac:dyDescent="0.25">
      <c r="A425" s="3" t="s">
        <v>1788</v>
      </c>
      <c r="B425" s="5">
        <v>755</v>
      </c>
      <c r="C425" s="3" t="s">
        <v>2316</v>
      </c>
      <c r="D425" s="3" t="s">
        <v>2423</v>
      </c>
      <c r="F425" t="str">
        <f t="shared" si="36"/>
        <v>SERVERWIDE</v>
      </c>
      <c r="G425" t="s">
        <v>3810</v>
      </c>
      <c r="I425" s="3" t="str">
        <f>IF(_xlfn.XLOOKUP(F425,PgSqlRaw!B:B,PgSqlRaw!E:E,"") = "",_xlfn.XLOOKUP(G425,PgSqlRaw!B:B,PgSqlRaw!E:E,""),_xlfn.XLOOKUP(F425,PgSqlRaw!B:B,PgSqlRaw!E:E,""))</f>
        <v/>
      </c>
      <c r="J425" t="str">
        <f>IF(_xlfn.XLOOKUP(F425,PgSqlRaw!B:B,PgSqlRaw!F:F,"") = "", _xlfn.XLOOKUP(G425,PgSqlRaw!B:B,PgSqlRaw!F:F,""), _xlfn.XLOOKUP(F425,PgSqlRaw!B:B,PgSqlRaw!F:F,""))</f>
        <v/>
      </c>
      <c r="K425" t="str">
        <f t="shared" si="37"/>
        <v>BARE_LABEL</v>
      </c>
      <c r="L425" t="str">
        <f>IF(_xlfn.XLOOKUP(F425,PhpReserved!A:A,PhpReserved!B:B,"") = "", _xlfn.XLOOKUP(G425,PhpReserved!A:A,PhpReserved!B:B,""),_xlfn.XLOOKUP(F425,PhpReserved!A:A,PhpReserved!B:B,""))</f>
        <v/>
      </c>
      <c r="M425" t="str">
        <f>IF(_xlfn.XLOOKUP(F425,PhpFunctions!A:A,PhpFunctions!B:B,"") =  "", _xlfn.XLOOKUP(G425,PhpFunctions!A:A,PhpFunctions!B:B,""), _xlfn.XLOOKUP(F425,PhpFunctions!A:A,PhpFunctions!B:B,""))</f>
        <v/>
      </c>
      <c r="N425" t="str">
        <f>IF(_xlfn.XLOOKUP(F425,PhpParamFunc!A:A,PhpParamFunc!B:B,"") = "", _xlfn.XLOOKUP(G425,PhpParamFunc!A:A,PhpParamFunc!B:B,""), _xlfn.XLOOKUP(F425,PhpParamFunc!A:A,PhpParamFunc!B:B,""))</f>
        <v/>
      </c>
      <c r="O425" t="str">
        <f>IF(_xlfn.XLOOKUP(F425,PhpAggrFunc!A:A,PhpAggrFunc!B:B,"") = "", _xlfn.XLOOKUP(G425,PhpAggrFunc!A:A,PhpAggrFunc!B:B,""), _xlfn.XLOOKUP(F425,PhpAggrFunc!A:A,PhpAggrFunc!B:B,""))</f>
        <v/>
      </c>
      <c r="P425" t="str">
        <f t="shared" si="38"/>
        <v>UNRESERVED</v>
      </c>
      <c r="Q425" t="str">
        <f t="shared" si="39"/>
        <v>static const String^ TOK_SERVERWIDE = "SERVERWIDE";</v>
      </c>
      <c r="R425" t="str">
        <f t="shared" si="40"/>
        <v>static const int TOK_SERVERWIDE = 755;</v>
      </c>
      <c r="S425" t="str">
        <f t="shared" si="41"/>
        <v>// _Tokens-&gt;Add((String^)GramVals::TOK_SERVERWIDE, gcnew Token(GramKeys::TOK_SERVERWIDE, EnumTokenCategory::UNRESERVED,BARE_LABEL, i++));</v>
      </c>
    </row>
    <row r="426" spans="1:19" x14ac:dyDescent="0.25">
      <c r="A426" s="3" t="s">
        <v>1789</v>
      </c>
      <c r="B426" s="5">
        <v>756</v>
      </c>
      <c r="C426" s="3" t="s">
        <v>2317</v>
      </c>
      <c r="D426" s="3" t="s">
        <v>2423</v>
      </c>
      <c r="F426" t="str">
        <f t="shared" si="36"/>
        <v>SESSION</v>
      </c>
      <c r="G426" t="s">
        <v>3544</v>
      </c>
      <c r="I426" s="3" t="str">
        <f>IF(_xlfn.XLOOKUP(F426,PgSqlRaw!B:B,PgSqlRaw!E:E,"") = "",_xlfn.XLOOKUP(G426,PgSqlRaw!B:B,PgSqlRaw!E:E,""),_xlfn.XLOOKUP(F426,PgSqlRaw!B:B,PgSqlRaw!E:E,""))</f>
        <v/>
      </c>
      <c r="J426" t="str">
        <f>IF(_xlfn.XLOOKUP(F426,PgSqlRaw!B:B,PgSqlRaw!F:F,"") = "", _xlfn.XLOOKUP(G426,PgSqlRaw!B:B,PgSqlRaw!F:F,""), _xlfn.XLOOKUP(F426,PgSqlRaw!B:B,PgSqlRaw!F:F,""))</f>
        <v>BARE_LABEL</v>
      </c>
      <c r="K426" t="str">
        <f t="shared" si="37"/>
        <v>BARE_LABEL</v>
      </c>
      <c r="L426" t="str">
        <f>IF(_xlfn.XLOOKUP(F426,PhpReserved!A:A,PhpReserved!B:B,"") = "", _xlfn.XLOOKUP(G426,PhpReserved!A:A,PhpReserved!B:B,""),_xlfn.XLOOKUP(F426,PhpReserved!A:A,PhpReserved!B:B,""))</f>
        <v/>
      </c>
      <c r="M426" t="str">
        <f>IF(_xlfn.XLOOKUP(F426,PhpFunctions!A:A,PhpFunctions!B:B,"") =  "", _xlfn.XLOOKUP(G426,PhpFunctions!A:A,PhpFunctions!B:B,""), _xlfn.XLOOKUP(F426,PhpFunctions!A:A,PhpFunctions!B:B,""))</f>
        <v/>
      </c>
      <c r="N426" t="str">
        <f>IF(_xlfn.XLOOKUP(F426,PhpParamFunc!A:A,PhpParamFunc!B:B,"") = "", _xlfn.XLOOKUP(G426,PhpParamFunc!A:A,PhpParamFunc!B:B,""), _xlfn.XLOOKUP(F426,PhpParamFunc!A:A,PhpParamFunc!B:B,""))</f>
        <v/>
      </c>
      <c r="O426" t="str">
        <f>IF(_xlfn.XLOOKUP(F426,PhpAggrFunc!A:A,PhpAggrFunc!B:B,"") = "", _xlfn.XLOOKUP(G426,PhpAggrFunc!A:A,PhpAggrFunc!B:B,""), _xlfn.XLOOKUP(F426,PhpAggrFunc!A:A,PhpAggrFunc!B:B,""))</f>
        <v/>
      </c>
      <c r="P426" t="str">
        <f t="shared" si="38"/>
        <v>UNRESERVED</v>
      </c>
      <c r="Q426" t="str">
        <f t="shared" si="39"/>
        <v>static const String^ TOK_SESSION = "SESSION";</v>
      </c>
      <c r="R426" t="str">
        <f t="shared" si="40"/>
        <v>static const int TOK_SESSION = 756;</v>
      </c>
      <c r="S426" t="str">
        <f t="shared" si="41"/>
        <v>// _Tokens-&gt;Add((String^)GramVals::TOK_SESSION, gcnew Token(GramKeys::TOK_SESSION, EnumTokenCategory::UNRESERVED,BARE_LABEL, i++));</v>
      </c>
    </row>
    <row r="427" spans="1:19" x14ac:dyDescent="0.25">
      <c r="A427" s="3" t="s">
        <v>1790</v>
      </c>
      <c r="B427" s="5" t="s">
        <v>1302</v>
      </c>
      <c r="C427" s="3" t="s">
        <v>2318</v>
      </c>
      <c r="D427" s="3" t="s">
        <v>881</v>
      </c>
      <c r="F427" t="str">
        <f t="shared" si="36"/>
        <v>SET</v>
      </c>
      <c r="G427" t="s">
        <v>3231</v>
      </c>
      <c r="I427" s="3" t="str">
        <f>IF(_xlfn.XLOOKUP(F427,PgSqlRaw!B:B,PgSqlRaw!E:E,"") = "",_xlfn.XLOOKUP(G427,PgSqlRaw!B:B,PgSqlRaw!E:E,""),_xlfn.XLOOKUP(F427,PgSqlRaw!B:B,PgSqlRaw!E:E,""))</f>
        <v/>
      </c>
      <c r="J427" t="str">
        <f>IF(_xlfn.XLOOKUP(F427,PgSqlRaw!B:B,PgSqlRaw!F:F,"") = "", _xlfn.XLOOKUP(G427,PgSqlRaw!B:B,PgSqlRaw!F:F,""), _xlfn.XLOOKUP(F427,PgSqlRaw!B:B,PgSqlRaw!F:F,""))</f>
        <v>BARE_LABEL</v>
      </c>
      <c r="K427" t="str">
        <f t="shared" si="37"/>
        <v>BARE_LABEL</v>
      </c>
      <c r="L427" t="str">
        <f>IF(_xlfn.XLOOKUP(F427,PhpReserved!A:A,PhpReserved!B:B,"") = "", _xlfn.XLOOKUP(G427,PhpReserved!A:A,PhpReserved!B:B,""),_xlfn.XLOOKUP(F427,PhpReserved!A:A,PhpReserved!B:B,""))</f>
        <v>RESERVED</v>
      </c>
      <c r="M427" t="str">
        <f>IF(_xlfn.XLOOKUP(F427,PhpFunctions!A:A,PhpFunctions!B:B,"") =  "", _xlfn.XLOOKUP(G427,PhpFunctions!A:A,PhpFunctions!B:B,""), _xlfn.XLOOKUP(F427,PhpFunctions!A:A,PhpFunctions!B:B,""))</f>
        <v/>
      </c>
      <c r="N427" t="str">
        <f>IF(_xlfn.XLOOKUP(F427,PhpParamFunc!A:A,PhpParamFunc!B:B,"") = "", _xlfn.XLOOKUP(G427,PhpParamFunc!A:A,PhpParamFunc!B:B,""), _xlfn.XLOOKUP(F427,PhpParamFunc!A:A,PhpParamFunc!B:B,""))</f>
        <v/>
      </c>
      <c r="O427" t="str">
        <f>IF(_xlfn.XLOOKUP(F427,PhpAggrFunc!A:A,PhpAggrFunc!B:B,"") = "", _xlfn.XLOOKUP(G427,PhpAggrFunc!A:A,PhpAggrFunc!B:B,""), _xlfn.XLOOKUP(F427,PhpAggrFunc!A:A,PhpAggrFunc!B:B,""))</f>
        <v/>
      </c>
      <c r="P427" t="str">
        <f t="shared" si="38"/>
        <v>RESERVED</v>
      </c>
      <c r="Q427" t="str">
        <f t="shared" si="39"/>
        <v>static const String^ TOK_SET = "SET";</v>
      </c>
      <c r="R427" t="str">
        <f t="shared" si="40"/>
        <v>static const int TOK_SET = 401;</v>
      </c>
      <c r="S427" t="str">
        <f t="shared" si="41"/>
        <v>_Tokens-&gt;Add((String^)GramVals::TOK_SET, gcnew Token(GramKeys::TOK_SET, EnumTokenCategory::RESERVED,BARE_LABEL, i++));</v>
      </c>
    </row>
    <row r="428" spans="1:19" x14ac:dyDescent="0.25">
      <c r="A428" s="3" t="s">
        <v>1791</v>
      </c>
      <c r="B428" s="5" t="s">
        <v>1303</v>
      </c>
      <c r="C428" s="3" t="s">
        <v>2319</v>
      </c>
      <c r="D428" s="3" t="s">
        <v>2423</v>
      </c>
      <c r="F428" t="str">
        <f t="shared" si="36"/>
        <v>SHADOW</v>
      </c>
      <c r="G428" t="s">
        <v>3811</v>
      </c>
      <c r="I428" s="3" t="str">
        <f>IF(_xlfn.XLOOKUP(F428,PgSqlRaw!B:B,PgSqlRaw!E:E,"") = "",_xlfn.XLOOKUP(G428,PgSqlRaw!B:B,PgSqlRaw!E:E,""),_xlfn.XLOOKUP(F428,PgSqlRaw!B:B,PgSqlRaw!E:E,""))</f>
        <v/>
      </c>
      <c r="J428" t="str">
        <f>IF(_xlfn.XLOOKUP(F428,PgSqlRaw!B:B,PgSqlRaw!F:F,"") = "", _xlfn.XLOOKUP(G428,PgSqlRaw!B:B,PgSqlRaw!F:F,""), _xlfn.XLOOKUP(F428,PgSqlRaw!B:B,PgSqlRaw!F:F,""))</f>
        <v/>
      </c>
      <c r="K428" t="str">
        <f t="shared" si="37"/>
        <v>BARE_LABEL</v>
      </c>
      <c r="L428" t="str">
        <f>IF(_xlfn.XLOOKUP(F428,PhpReserved!A:A,PhpReserved!B:B,"") = "", _xlfn.XLOOKUP(G428,PhpReserved!A:A,PhpReserved!B:B,""),_xlfn.XLOOKUP(F428,PhpReserved!A:A,PhpReserved!B:B,""))</f>
        <v/>
      </c>
      <c r="M428" t="str">
        <f>IF(_xlfn.XLOOKUP(F428,PhpFunctions!A:A,PhpFunctions!B:B,"") =  "", _xlfn.XLOOKUP(G428,PhpFunctions!A:A,PhpFunctions!B:B,""), _xlfn.XLOOKUP(F428,PhpFunctions!A:A,PhpFunctions!B:B,""))</f>
        <v/>
      </c>
      <c r="N428" t="str">
        <f>IF(_xlfn.XLOOKUP(F428,PhpParamFunc!A:A,PhpParamFunc!B:B,"") = "", _xlfn.XLOOKUP(G428,PhpParamFunc!A:A,PhpParamFunc!B:B,""), _xlfn.XLOOKUP(F428,PhpParamFunc!A:A,PhpParamFunc!B:B,""))</f>
        <v/>
      </c>
      <c r="O428" t="str">
        <f>IF(_xlfn.XLOOKUP(F428,PhpAggrFunc!A:A,PhpAggrFunc!B:B,"") = "", _xlfn.XLOOKUP(G428,PhpAggrFunc!A:A,PhpAggrFunc!B:B,""), _xlfn.XLOOKUP(F428,PhpAggrFunc!A:A,PhpAggrFunc!B:B,""))</f>
        <v/>
      </c>
      <c r="P428" t="str">
        <f t="shared" si="38"/>
        <v>UNRESERVED</v>
      </c>
      <c r="Q428" t="str">
        <f t="shared" si="39"/>
        <v>static const String^ TOK_SHADOW = "SHADOW";</v>
      </c>
      <c r="R428" t="str">
        <f t="shared" si="40"/>
        <v>static const int TOK_SHADOW = 402;</v>
      </c>
      <c r="S428" t="str">
        <f t="shared" si="41"/>
        <v>// _Tokens-&gt;Add((String^)GramVals::TOK_SHADOW, gcnew Token(GramKeys::TOK_SHADOW, EnumTokenCategory::UNRESERVED,BARE_LABEL, i++));</v>
      </c>
    </row>
    <row r="429" spans="1:19" x14ac:dyDescent="0.25">
      <c r="A429" s="3" t="s">
        <v>1792</v>
      </c>
      <c r="B429" s="5" t="s">
        <v>1304</v>
      </c>
      <c r="C429" s="3" t="s">
        <v>2320</v>
      </c>
      <c r="D429" s="3" t="s">
        <v>2423</v>
      </c>
      <c r="F429" t="str">
        <f t="shared" si="36"/>
        <v>SHARED</v>
      </c>
      <c r="G429" t="s">
        <v>3812</v>
      </c>
      <c r="I429" s="3" t="str">
        <f>IF(_xlfn.XLOOKUP(F429,PgSqlRaw!B:B,PgSqlRaw!E:E,"") = "",_xlfn.XLOOKUP(G429,PgSqlRaw!B:B,PgSqlRaw!E:E,""),_xlfn.XLOOKUP(F429,PgSqlRaw!B:B,PgSqlRaw!E:E,""))</f>
        <v/>
      </c>
      <c r="J429" t="str">
        <f>IF(_xlfn.XLOOKUP(F429,PgSqlRaw!B:B,PgSqlRaw!F:F,"") = "", _xlfn.XLOOKUP(G429,PgSqlRaw!B:B,PgSqlRaw!F:F,""), _xlfn.XLOOKUP(F429,PgSqlRaw!B:B,PgSqlRaw!F:F,""))</f>
        <v/>
      </c>
      <c r="K429" t="str">
        <f t="shared" si="37"/>
        <v>BARE_LABEL</v>
      </c>
      <c r="L429" t="str">
        <f>IF(_xlfn.XLOOKUP(F429,PhpReserved!A:A,PhpReserved!B:B,"") = "", _xlfn.XLOOKUP(G429,PhpReserved!A:A,PhpReserved!B:B,""),_xlfn.XLOOKUP(F429,PhpReserved!A:A,PhpReserved!B:B,""))</f>
        <v/>
      </c>
      <c r="M429" t="str">
        <f>IF(_xlfn.XLOOKUP(F429,PhpFunctions!A:A,PhpFunctions!B:B,"") =  "", _xlfn.XLOOKUP(G429,PhpFunctions!A:A,PhpFunctions!B:B,""), _xlfn.XLOOKUP(F429,PhpFunctions!A:A,PhpFunctions!B:B,""))</f>
        <v/>
      </c>
      <c r="N429" t="str">
        <f>IF(_xlfn.XLOOKUP(F429,PhpParamFunc!A:A,PhpParamFunc!B:B,"") = "", _xlfn.XLOOKUP(G429,PhpParamFunc!A:A,PhpParamFunc!B:B,""), _xlfn.XLOOKUP(F429,PhpParamFunc!A:A,PhpParamFunc!B:B,""))</f>
        <v/>
      </c>
      <c r="O429" t="str">
        <f>IF(_xlfn.XLOOKUP(F429,PhpAggrFunc!A:A,PhpAggrFunc!B:B,"") = "", _xlfn.XLOOKUP(G429,PhpAggrFunc!A:A,PhpAggrFunc!B:B,""), _xlfn.XLOOKUP(F429,PhpAggrFunc!A:A,PhpAggrFunc!B:B,""))</f>
        <v/>
      </c>
      <c r="P429" t="str">
        <f t="shared" si="38"/>
        <v>UNRESERVED</v>
      </c>
      <c r="Q429" t="str">
        <f t="shared" si="39"/>
        <v>static const String^ TOK_SHARED = "SHARED";</v>
      </c>
      <c r="R429" t="str">
        <f t="shared" si="40"/>
        <v>static const int TOK_SHARED = 403;</v>
      </c>
      <c r="S429" t="str">
        <f t="shared" si="41"/>
        <v>// _Tokens-&gt;Add((String^)GramVals::TOK_SHARED, gcnew Token(GramKeys::TOK_SHARED, EnumTokenCategory::UNRESERVED,BARE_LABEL, i++));</v>
      </c>
    </row>
    <row r="430" spans="1:19" x14ac:dyDescent="0.25">
      <c r="A430" s="3" t="s">
        <v>1793</v>
      </c>
      <c r="B430" s="5" t="s">
        <v>1305</v>
      </c>
      <c r="C430" s="3" t="s">
        <v>2321</v>
      </c>
      <c r="D430" s="3" t="s">
        <v>2423</v>
      </c>
      <c r="F430" t="str">
        <f t="shared" si="36"/>
        <v>SIGN</v>
      </c>
      <c r="G430" t="s">
        <v>3035</v>
      </c>
      <c r="I430" s="3" t="str">
        <f>IF(_xlfn.XLOOKUP(F430,PgSqlRaw!B:B,PgSqlRaw!E:E,"") = "",_xlfn.XLOOKUP(G430,PgSqlRaw!B:B,PgSqlRaw!E:E,""),_xlfn.XLOOKUP(F430,PgSqlRaw!B:B,PgSqlRaw!E:E,""))</f>
        <v/>
      </c>
      <c r="J430" t="str">
        <f>IF(_xlfn.XLOOKUP(F430,PgSqlRaw!B:B,PgSqlRaw!F:F,"") = "", _xlfn.XLOOKUP(G430,PgSqlRaw!B:B,PgSqlRaw!F:F,""), _xlfn.XLOOKUP(F430,PgSqlRaw!B:B,PgSqlRaw!F:F,""))</f>
        <v/>
      </c>
      <c r="K430" t="str">
        <f t="shared" si="37"/>
        <v>BARE_LABEL</v>
      </c>
      <c r="L430" t="str">
        <f>IF(_xlfn.XLOOKUP(F430,PhpReserved!A:A,PhpReserved!B:B,"") = "", _xlfn.XLOOKUP(G430,PhpReserved!A:A,PhpReserved!B:B,""),_xlfn.XLOOKUP(F430,PhpReserved!A:A,PhpReserved!B:B,""))</f>
        <v>RESERVED</v>
      </c>
      <c r="M430" t="str">
        <f>IF(_xlfn.XLOOKUP(F430,PhpFunctions!A:A,PhpFunctions!B:B,"") =  "", _xlfn.XLOOKUP(G430,PhpFunctions!A:A,PhpFunctions!B:B,""), _xlfn.XLOOKUP(F430,PhpFunctions!A:A,PhpFunctions!B:B,""))</f>
        <v>FUNCTION</v>
      </c>
      <c r="N430" t="str">
        <f>IF(_xlfn.XLOOKUP(F430,PhpParamFunc!A:A,PhpParamFunc!B:B,"") = "", _xlfn.XLOOKUP(G430,PhpParamFunc!A:A,PhpParamFunc!B:B,""), _xlfn.XLOOKUP(F430,PhpParamFunc!A:A,PhpParamFunc!B:B,""))</f>
        <v>PARAM_FUNCTION</v>
      </c>
      <c r="O430" t="str">
        <f>IF(_xlfn.XLOOKUP(F430,PhpAggrFunc!A:A,PhpAggrFunc!B:B,"") = "", _xlfn.XLOOKUP(G430,PhpAggrFunc!A:A,PhpAggrFunc!B:B,""), _xlfn.XLOOKUP(F430,PhpAggrFunc!A:A,PhpAggrFunc!B:B,""))</f>
        <v/>
      </c>
      <c r="P430" t="str">
        <f t="shared" si="38"/>
        <v>PARAM_FUNCTION</v>
      </c>
      <c r="Q430" t="str">
        <f t="shared" si="39"/>
        <v>static const String^ TOK_SIGN = "SIGN";</v>
      </c>
      <c r="R430" t="str">
        <f t="shared" si="40"/>
        <v>static const int TOK_SIGN = 579;</v>
      </c>
      <c r="S430" t="str">
        <f t="shared" si="41"/>
        <v>_Tokens-&gt;Add((String^)GramVals::TOK_SIGN, gcnew Token(GramKeys::TOK_SIGN, EnumTokenCategory::PARAM_FUNCTION,BARE_LABEL, i++));</v>
      </c>
    </row>
    <row r="431" spans="1:19" x14ac:dyDescent="0.25">
      <c r="A431" s="3" t="s">
        <v>1794</v>
      </c>
      <c r="B431" s="5">
        <v>757</v>
      </c>
      <c r="C431" s="3" t="s">
        <v>2322</v>
      </c>
      <c r="D431" s="3" t="s">
        <v>2423</v>
      </c>
      <c r="F431" t="str">
        <f t="shared" si="36"/>
        <v>SIGNATURE</v>
      </c>
      <c r="G431" t="s">
        <v>3813</v>
      </c>
      <c r="I431" s="3" t="str">
        <f>IF(_xlfn.XLOOKUP(F431,PgSqlRaw!B:B,PgSqlRaw!E:E,"") = "",_xlfn.XLOOKUP(G431,PgSqlRaw!B:B,PgSqlRaw!E:E,""),_xlfn.XLOOKUP(F431,PgSqlRaw!B:B,PgSqlRaw!E:E,""))</f>
        <v/>
      </c>
      <c r="J431" t="str">
        <f>IF(_xlfn.XLOOKUP(F431,PgSqlRaw!B:B,PgSqlRaw!F:F,"") = "", _xlfn.XLOOKUP(G431,PgSqlRaw!B:B,PgSqlRaw!F:F,""), _xlfn.XLOOKUP(F431,PgSqlRaw!B:B,PgSqlRaw!F:F,""))</f>
        <v/>
      </c>
      <c r="K431" t="str">
        <f t="shared" si="37"/>
        <v>BARE_LABEL</v>
      </c>
      <c r="L431" t="str">
        <f>IF(_xlfn.XLOOKUP(F431,PhpReserved!A:A,PhpReserved!B:B,"") = "", _xlfn.XLOOKUP(G431,PhpReserved!A:A,PhpReserved!B:B,""),_xlfn.XLOOKUP(F431,PhpReserved!A:A,PhpReserved!B:B,""))</f>
        <v/>
      </c>
      <c r="M431" t="str">
        <f>IF(_xlfn.XLOOKUP(F431,PhpFunctions!A:A,PhpFunctions!B:B,"") =  "", _xlfn.XLOOKUP(G431,PhpFunctions!A:A,PhpFunctions!B:B,""), _xlfn.XLOOKUP(F431,PhpFunctions!A:A,PhpFunctions!B:B,""))</f>
        <v/>
      </c>
      <c r="N431" t="str">
        <f>IF(_xlfn.XLOOKUP(F431,PhpParamFunc!A:A,PhpParamFunc!B:B,"") = "", _xlfn.XLOOKUP(G431,PhpParamFunc!A:A,PhpParamFunc!B:B,""), _xlfn.XLOOKUP(F431,PhpParamFunc!A:A,PhpParamFunc!B:B,""))</f>
        <v/>
      </c>
      <c r="O431" t="str">
        <f>IF(_xlfn.XLOOKUP(F431,PhpAggrFunc!A:A,PhpAggrFunc!B:B,"") = "", _xlfn.XLOOKUP(G431,PhpAggrFunc!A:A,PhpAggrFunc!B:B,""), _xlfn.XLOOKUP(F431,PhpAggrFunc!A:A,PhpAggrFunc!B:B,""))</f>
        <v/>
      </c>
      <c r="P431" t="str">
        <f t="shared" si="38"/>
        <v>UNRESERVED</v>
      </c>
      <c r="Q431" t="str">
        <f t="shared" si="39"/>
        <v>static const String^ TOK_SIGNATURE = "SIGNATURE";</v>
      </c>
      <c r="R431" t="str">
        <f t="shared" si="40"/>
        <v>static const int TOK_SIGNATURE = 757;</v>
      </c>
      <c r="S431" t="str">
        <f t="shared" si="41"/>
        <v>// _Tokens-&gt;Add((String^)GramVals::TOK_SIGNATURE, gcnew Token(GramKeys::TOK_SIGNATURE, EnumTokenCategory::UNRESERVED,BARE_LABEL, i++));</v>
      </c>
    </row>
    <row r="432" spans="1:19" x14ac:dyDescent="0.25">
      <c r="A432" s="3" t="s">
        <v>1795</v>
      </c>
      <c r="B432" s="5" t="s">
        <v>1306</v>
      </c>
      <c r="C432" s="3" t="s">
        <v>2323</v>
      </c>
      <c r="D432" s="3" t="s">
        <v>881</v>
      </c>
      <c r="F432" t="str">
        <f t="shared" si="36"/>
        <v>SIMILAR</v>
      </c>
      <c r="G432" t="s">
        <v>3548</v>
      </c>
      <c r="I432" s="3" t="str">
        <f>IF(_xlfn.XLOOKUP(F432,PgSqlRaw!B:B,PgSqlRaw!E:E,"") = "",_xlfn.XLOOKUP(G432,PgSqlRaw!B:B,PgSqlRaw!E:E,""),_xlfn.XLOOKUP(F432,PgSqlRaw!B:B,PgSqlRaw!E:E,""))</f>
        <v>FUNCTION</v>
      </c>
      <c r="J432" t="str">
        <f>IF(_xlfn.XLOOKUP(F432,PgSqlRaw!B:B,PgSqlRaw!F:F,"") = "", _xlfn.XLOOKUP(G432,PgSqlRaw!B:B,PgSqlRaw!F:F,""), _xlfn.XLOOKUP(F432,PgSqlRaw!B:B,PgSqlRaw!F:F,""))</f>
        <v>BARE_LABEL</v>
      </c>
      <c r="K432" t="str">
        <f t="shared" si="37"/>
        <v>BARE_LABEL</v>
      </c>
      <c r="L432" t="str">
        <f>IF(_xlfn.XLOOKUP(F432,PhpReserved!A:A,PhpReserved!B:B,"") = "", _xlfn.XLOOKUP(G432,PhpReserved!A:A,PhpReserved!B:B,""),_xlfn.XLOOKUP(F432,PhpReserved!A:A,PhpReserved!B:B,""))</f>
        <v/>
      </c>
      <c r="M432" t="str">
        <f>IF(_xlfn.XLOOKUP(F432,PhpFunctions!A:A,PhpFunctions!B:B,"") =  "", _xlfn.XLOOKUP(G432,PhpFunctions!A:A,PhpFunctions!B:B,""), _xlfn.XLOOKUP(F432,PhpFunctions!A:A,PhpFunctions!B:B,""))</f>
        <v/>
      </c>
      <c r="N432" t="str">
        <f>IF(_xlfn.XLOOKUP(F432,PhpParamFunc!A:A,PhpParamFunc!B:B,"") = "", _xlfn.XLOOKUP(G432,PhpParamFunc!A:A,PhpParamFunc!B:B,""), _xlfn.XLOOKUP(F432,PhpParamFunc!A:A,PhpParamFunc!B:B,""))</f>
        <v/>
      </c>
      <c r="O432" t="str">
        <f>IF(_xlfn.XLOOKUP(F432,PhpAggrFunc!A:A,PhpAggrFunc!B:B,"") = "", _xlfn.XLOOKUP(G432,PhpAggrFunc!A:A,PhpAggrFunc!B:B,""), _xlfn.XLOOKUP(F432,PhpAggrFunc!A:A,PhpAggrFunc!B:B,""))</f>
        <v/>
      </c>
      <c r="P432" t="str">
        <f t="shared" si="38"/>
        <v>FUNCTION</v>
      </c>
      <c r="Q432" t="str">
        <f t="shared" si="39"/>
        <v>static const String^ TOK_SIMILAR = "SIMILAR";</v>
      </c>
      <c r="R432" t="str">
        <f t="shared" si="40"/>
        <v>static const int TOK_SIMILAR = 598;</v>
      </c>
      <c r="S432" t="str">
        <f t="shared" si="41"/>
        <v>_Tokens-&gt;Add((String^)GramVals::TOK_SIMILAR, gcnew Token(GramKeys::TOK_SIMILAR, EnumTokenCategory::FUNCTION,BARE_LABEL, i++));</v>
      </c>
    </row>
    <row r="433" spans="1:19" x14ac:dyDescent="0.25">
      <c r="A433" s="3" t="s">
        <v>1796</v>
      </c>
      <c r="B433" s="5" t="s">
        <v>1307</v>
      </c>
      <c r="C433" s="3" t="s">
        <v>2324</v>
      </c>
      <c r="D433" s="3" t="s">
        <v>2423</v>
      </c>
      <c r="F433" t="str">
        <f t="shared" si="36"/>
        <v>SIN</v>
      </c>
      <c r="G433" t="s">
        <v>3814</v>
      </c>
      <c r="I433" s="3" t="str">
        <f>IF(_xlfn.XLOOKUP(F433,PgSqlRaw!B:B,PgSqlRaw!E:E,"") = "",_xlfn.XLOOKUP(G433,PgSqlRaw!B:B,PgSqlRaw!E:E,""),_xlfn.XLOOKUP(F433,PgSqlRaw!B:B,PgSqlRaw!E:E,""))</f>
        <v/>
      </c>
      <c r="J433" t="str">
        <f>IF(_xlfn.XLOOKUP(F433,PgSqlRaw!B:B,PgSqlRaw!F:F,"") = "", _xlfn.XLOOKUP(G433,PgSqlRaw!B:B,PgSqlRaw!F:F,""), _xlfn.XLOOKUP(F433,PgSqlRaw!B:B,PgSqlRaw!F:F,""))</f>
        <v/>
      </c>
      <c r="K433" t="str">
        <f t="shared" si="37"/>
        <v>BARE_LABEL</v>
      </c>
      <c r="L433" t="str">
        <f>IF(_xlfn.XLOOKUP(F433,PhpReserved!A:A,PhpReserved!B:B,"") = "", _xlfn.XLOOKUP(G433,PhpReserved!A:A,PhpReserved!B:B,""),_xlfn.XLOOKUP(F433,PhpReserved!A:A,PhpReserved!B:B,""))</f>
        <v/>
      </c>
      <c r="M433" t="str">
        <f>IF(_xlfn.XLOOKUP(F433,PhpFunctions!A:A,PhpFunctions!B:B,"") =  "", _xlfn.XLOOKUP(G433,PhpFunctions!A:A,PhpFunctions!B:B,""), _xlfn.XLOOKUP(F433,PhpFunctions!A:A,PhpFunctions!B:B,""))</f>
        <v/>
      </c>
      <c r="N433" t="str">
        <f>IF(_xlfn.XLOOKUP(F433,PhpParamFunc!A:A,PhpParamFunc!B:B,"") = "", _xlfn.XLOOKUP(G433,PhpParamFunc!A:A,PhpParamFunc!B:B,""), _xlfn.XLOOKUP(F433,PhpParamFunc!A:A,PhpParamFunc!B:B,""))</f>
        <v/>
      </c>
      <c r="O433" t="str">
        <f>IF(_xlfn.XLOOKUP(F433,PhpAggrFunc!A:A,PhpAggrFunc!B:B,"") = "", _xlfn.XLOOKUP(G433,PhpAggrFunc!A:A,PhpAggrFunc!B:B,""), _xlfn.XLOOKUP(F433,PhpAggrFunc!A:A,PhpAggrFunc!B:B,""))</f>
        <v/>
      </c>
      <c r="P433" t="str">
        <f t="shared" si="38"/>
        <v>UNRESERVED</v>
      </c>
      <c r="Q433" t="str">
        <f t="shared" si="39"/>
        <v>static const String^ TOK_SIN = "SIN";</v>
      </c>
      <c r="R433" t="str">
        <f t="shared" si="40"/>
        <v>static const int TOK_SIN = 580;</v>
      </c>
      <c r="S433" t="str">
        <f t="shared" si="41"/>
        <v>// _Tokens-&gt;Add((String^)GramVals::TOK_SIN, gcnew Token(GramKeys::TOK_SIN, EnumTokenCategory::UNRESERVED,BARE_LABEL, i++));</v>
      </c>
    </row>
    <row r="434" spans="1:19" x14ac:dyDescent="0.25">
      <c r="A434" s="3" t="s">
        <v>1797</v>
      </c>
      <c r="B434" s="5" t="s">
        <v>1308</v>
      </c>
      <c r="C434" s="3" t="s">
        <v>2325</v>
      </c>
      <c r="D434" s="3" t="s">
        <v>2423</v>
      </c>
      <c r="F434" t="str">
        <f t="shared" si="36"/>
        <v>SINGULAR</v>
      </c>
      <c r="G434" t="s">
        <v>3815</v>
      </c>
      <c r="I434" s="3" t="str">
        <f>IF(_xlfn.XLOOKUP(F434,PgSqlRaw!B:B,PgSqlRaw!E:E,"") = "",_xlfn.XLOOKUP(G434,PgSqlRaw!B:B,PgSqlRaw!E:E,""),_xlfn.XLOOKUP(F434,PgSqlRaw!B:B,PgSqlRaw!E:E,""))</f>
        <v/>
      </c>
      <c r="J434" t="str">
        <f>IF(_xlfn.XLOOKUP(F434,PgSqlRaw!B:B,PgSqlRaw!F:F,"") = "", _xlfn.XLOOKUP(G434,PgSqlRaw!B:B,PgSqlRaw!F:F,""), _xlfn.XLOOKUP(F434,PgSqlRaw!B:B,PgSqlRaw!F:F,""))</f>
        <v/>
      </c>
      <c r="K434" t="str">
        <f t="shared" si="37"/>
        <v>BARE_LABEL</v>
      </c>
      <c r="L434" t="str">
        <f>IF(_xlfn.XLOOKUP(F434,PhpReserved!A:A,PhpReserved!B:B,"") = "", _xlfn.XLOOKUP(G434,PhpReserved!A:A,PhpReserved!B:B,""),_xlfn.XLOOKUP(F434,PhpReserved!A:A,PhpReserved!B:B,""))</f>
        <v/>
      </c>
      <c r="M434" t="str">
        <f>IF(_xlfn.XLOOKUP(F434,PhpFunctions!A:A,PhpFunctions!B:B,"") =  "", _xlfn.XLOOKUP(G434,PhpFunctions!A:A,PhpFunctions!B:B,""), _xlfn.XLOOKUP(F434,PhpFunctions!A:A,PhpFunctions!B:B,""))</f>
        <v/>
      </c>
      <c r="N434" t="str">
        <f>IF(_xlfn.XLOOKUP(F434,PhpParamFunc!A:A,PhpParamFunc!B:B,"") = "", _xlfn.XLOOKUP(G434,PhpParamFunc!A:A,PhpParamFunc!B:B,""), _xlfn.XLOOKUP(F434,PhpParamFunc!A:A,PhpParamFunc!B:B,""))</f>
        <v/>
      </c>
      <c r="O434" t="str">
        <f>IF(_xlfn.XLOOKUP(F434,PhpAggrFunc!A:A,PhpAggrFunc!B:B,"") = "", _xlfn.XLOOKUP(G434,PhpAggrFunc!A:A,PhpAggrFunc!B:B,""), _xlfn.XLOOKUP(F434,PhpAggrFunc!A:A,PhpAggrFunc!B:B,""))</f>
        <v/>
      </c>
      <c r="P434" t="str">
        <f t="shared" si="38"/>
        <v>UNRESERVED</v>
      </c>
      <c r="Q434" t="str">
        <f t="shared" si="39"/>
        <v>static const String^ TOK_SINGULAR = "SINGULAR";</v>
      </c>
      <c r="R434" t="str">
        <f t="shared" si="40"/>
        <v>static const int TOK_SINGULAR = 404;</v>
      </c>
      <c r="S434" t="str">
        <f t="shared" si="41"/>
        <v>// _Tokens-&gt;Add((String^)GramVals::TOK_SINGULAR, gcnew Token(GramKeys::TOK_SINGULAR, EnumTokenCategory::UNRESERVED,BARE_LABEL, i++));</v>
      </c>
    </row>
    <row r="435" spans="1:19" x14ac:dyDescent="0.25">
      <c r="A435" s="3" t="s">
        <v>1798</v>
      </c>
      <c r="B435" s="5" t="s">
        <v>1309</v>
      </c>
      <c r="C435" s="3" t="s">
        <v>2326</v>
      </c>
      <c r="D435" s="3" t="s">
        <v>2423</v>
      </c>
      <c r="F435" t="str">
        <f t="shared" si="36"/>
        <v>SINH</v>
      </c>
      <c r="G435" t="s">
        <v>3816</v>
      </c>
      <c r="I435" s="3" t="str">
        <f>IF(_xlfn.XLOOKUP(F435,PgSqlRaw!B:B,PgSqlRaw!E:E,"") = "",_xlfn.XLOOKUP(G435,PgSqlRaw!B:B,PgSqlRaw!E:E,""),_xlfn.XLOOKUP(F435,PgSqlRaw!B:B,PgSqlRaw!E:E,""))</f>
        <v/>
      </c>
      <c r="J435" t="str">
        <f>IF(_xlfn.XLOOKUP(F435,PgSqlRaw!B:B,PgSqlRaw!F:F,"") = "", _xlfn.XLOOKUP(G435,PgSqlRaw!B:B,PgSqlRaw!F:F,""), _xlfn.XLOOKUP(F435,PgSqlRaw!B:B,PgSqlRaw!F:F,""))</f>
        <v/>
      </c>
      <c r="K435" t="str">
        <f t="shared" si="37"/>
        <v>BARE_LABEL</v>
      </c>
      <c r="L435" t="str">
        <f>IF(_xlfn.XLOOKUP(F435,PhpReserved!A:A,PhpReserved!B:B,"") = "", _xlfn.XLOOKUP(G435,PhpReserved!A:A,PhpReserved!B:B,""),_xlfn.XLOOKUP(F435,PhpReserved!A:A,PhpReserved!B:B,""))</f>
        <v/>
      </c>
      <c r="M435" t="str">
        <f>IF(_xlfn.XLOOKUP(F435,PhpFunctions!A:A,PhpFunctions!B:B,"") =  "", _xlfn.XLOOKUP(G435,PhpFunctions!A:A,PhpFunctions!B:B,""), _xlfn.XLOOKUP(F435,PhpFunctions!A:A,PhpFunctions!B:B,""))</f>
        <v/>
      </c>
      <c r="N435" t="str">
        <f>IF(_xlfn.XLOOKUP(F435,PhpParamFunc!A:A,PhpParamFunc!B:B,"") = "", _xlfn.XLOOKUP(G435,PhpParamFunc!A:A,PhpParamFunc!B:B,""), _xlfn.XLOOKUP(F435,PhpParamFunc!A:A,PhpParamFunc!B:B,""))</f>
        <v/>
      </c>
      <c r="O435" t="str">
        <f>IF(_xlfn.XLOOKUP(F435,PhpAggrFunc!A:A,PhpAggrFunc!B:B,"") = "", _xlfn.XLOOKUP(G435,PhpAggrFunc!A:A,PhpAggrFunc!B:B,""), _xlfn.XLOOKUP(F435,PhpAggrFunc!A:A,PhpAggrFunc!B:B,""))</f>
        <v/>
      </c>
      <c r="P435" t="str">
        <f t="shared" si="38"/>
        <v>UNRESERVED</v>
      </c>
      <c r="Q435" t="str">
        <f t="shared" si="39"/>
        <v>static const String^ TOK_SINH = "SINH";</v>
      </c>
      <c r="R435" t="str">
        <f t="shared" si="40"/>
        <v>static const int TOK_SINH = 581;</v>
      </c>
      <c r="S435" t="str">
        <f t="shared" si="41"/>
        <v>// _Tokens-&gt;Add((String^)GramVals::TOK_SINH, gcnew Token(GramKeys::TOK_SINH, EnumTokenCategory::UNRESERVED,BARE_LABEL, i++));</v>
      </c>
    </row>
    <row r="436" spans="1:19" x14ac:dyDescent="0.25">
      <c r="A436" s="3" t="s">
        <v>1799</v>
      </c>
      <c r="B436" s="5" t="s">
        <v>1310</v>
      </c>
      <c r="C436" s="3" t="s">
        <v>2327</v>
      </c>
      <c r="D436" s="3" t="s">
        <v>2423</v>
      </c>
      <c r="F436" t="str">
        <f t="shared" si="36"/>
        <v>SIZE</v>
      </c>
      <c r="G436" t="s">
        <v>3817</v>
      </c>
      <c r="I436" s="3" t="str">
        <f>IF(_xlfn.XLOOKUP(F436,PgSqlRaw!B:B,PgSqlRaw!E:E,"") = "",_xlfn.XLOOKUP(G436,PgSqlRaw!B:B,PgSqlRaw!E:E,""),_xlfn.XLOOKUP(F436,PgSqlRaw!B:B,PgSqlRaw!E:E,""))</f>
        <v/>
      </c>
      <c r="J436" t="str">
        <f>IF(_xlfn.XLOOKUP(F436,PgSqlRaw!B:B,PgSqlRaw!F:F,"") = "", _xlfn.XLOOKUP(G436,PgSqlRaw!B:B,PgSqlRaw!F:F,""), _xlfn.XLOOKUP(F436,PgSqlRaw!B:B,PgSqlRaw!F:F,""))</f>
        <v/>
      </c>
      <c r="K436" t="str">
        <f t="shared" si="37"/>
        <v>BARE_LABEL</v>
      </c>
      <c r="L436" t="str">
        <f>IF(_xlfn.XLOOKUP(F436,PhpReserved!A:A,PhpReserved!B:B,"") = "", _xlfn.XLOOKUP(G436,PhpReserved!A:A,PhpReserved!B:B,""),_xlfn.XLOOKUP(F436,PhpReserved!A:A,PhpReserved!B:B,""))</f>
        <v/>
      </c>
      <c r="M436" t="str">
        <f>IF(_xlfn.XLOOKUP(F436,PhpFunctions!A:A,PhpFunctions!B:B,"") =  "", _xlfn.XLOOKUP(G436,PhpFunctions!A:A,PhpFunctions!B:B,""), _xlfn.XLOOKUP(F436,PhpFunctions!A:A,PhpFunctions!B:B,""))</f>
        <v/>
      </c>
      <c r="N436" t="str">
        <f>IF(_xlfn.XLOOKUP(F436,PhpParamFunc!A:A,PhpParamFunc!B:B,"") = "", _xlfn.XLOOKUP(G436,PhpParamFunc!A:A,PhpParamFunc!B:B,""), _xlfn.XLOOKUP(F436,PhpParamFunc!A:A,PhpParamFunc!B:B,""))</f>
        <v/>
      </c>
      <c r="O436" t="str">
        <f>IF(_xlfn.XLOOKUP(F436,PhpAggrFunc!A:A,PhpAggrFunc!B:B,"") = "", _xlfn.XLOOKUP(G436,PhpAggrFunc!A:A,PhpAggrFunc!B:B,""), _xlfn.XLOOKUP(F436,PhpAggrFunc!A:A,PhpAggrFunc!B:B,""))</f>
        <v/>
      </c>
      <c r="P436" t="str">
        <f t="shared" si="38"/>
        <v>UNRESERVED</v>
      </c>
      <c r="Q436" t="str">
        <f t="shared" si="39"/>
        <v>static const String^ TOK_SIZE = "SIZE";</v>
      </c>
      <c r="R436" t="str">
        <f t="shared" si="40"/>
        <v>static const int TOK_SIZE = 405;</v>
      </c>
      <c r="S436" t="str">
        <f t="shared" si="41"/>
        <v>// _Tokens-&gt;Add((String^)GramVals::TOK_SIZE, gcnew Token(GramKeys::TOK_SIZE, EnumTokenCategory::UNRESERVED,BARE_LABEL, i++));</v>
      </c>
    </row>
    <row r="437" spans="1:19" x14ac:dyDescent="0.25">
      <c r="A437" s="3" t="s">
        <v>1800</v>
      </c>
      <c r="B437" s="5" t="s">
        <v>1311</v>
      </c>
      <c r="C437" s="3" t="s">
        <v>2328</v>
      </c>
      <c r="D437" s="3" t="s">
        <v>2423</v>
      </c>
      <c r="F437" t="str">
        <f t="shared" si="36"/>
        <v>SKIP</v>
      </c>
      <c r="G437" t="s">
        <v>3550</v>
      </c>
      <c r="I437" s="3" t="str">
        <f>IF(_xlfn.XLOOKUP(F437,PgSqlRaw!B:B,PgSqlRaw!E:E,"") = "",_xlfn.XLOOKUP(G437,PgSqlRaw!B:B,PgSqlRaw!E:E,""),_xlfn.XLOOKUP(F437,PgSqlRaw!B:B,PgSqlRaw!E:E,""))</f>
        <v/>
      </c>
      <c r="J437" t="str">
        <f>IF(_xlfn.XLOOKUP(F437,PgSqlRaw!B:B,PgSqlRaw!F:F,"") = "", _xlfn.XLOOKUP(G437,PgSqlRaw!B:B,PgSqlRaw!F:F,""), _xlfn.XLOOKUP(F437,PgSqlRaw!B:B,PgSqlRaw!F:F,""))</f>
        <v>BARE_LABEL</v>
      </c>
      <c r="K437" t="str">
        <f t="shared" si="37"/>
        <v>BARE_LABEL</v>
      </c>
      <c r="L437" t="str">
        <f>IF(_xlfn.XLOOKUP(F437,PhpReserved!A:A,PhpReserved!B:B,"") = "", _xlfn.XLOOKUP(G437,PhpReserved!A:A,PhpReserved!B:B,""),_xlfn.XLOOKUP(F437,PhpReserved!A:A,PhpReserved!B:B,""))</f>
        <v/>
      </c>
      <c r="M437" t="str">
        <f>IF(_xlfn.XLOOKUP(F437,PhpFunctions!A:A,PhpFunctions!B:B,"") =  "", _xlfn.XLOOKUP(G437,PhpFunctions!A:A,PhpFunctions!B:B,""), _xlfn.XLOOKUP(F437,PhpFunctions!A:A,PhpFunctions!B:B,""))</f>
        <v/>
      </c>
      <c r="N437" t="str">
        <f>IF(_xlfn.XLOOKUP(F437,PhpParamFunc!A:A,PhpParamFunc!B:B,"") = "", _xlfn.XLOOKUP(G437,PhpParamFunc!A:A,PhpParamFunc!B:B,""), _xlfn.XLOOKUP(F437,PhpParamFunc!A:A,PhpParamFunc!B:B,""))</f>
        <v/>
      </c>
      <c r="O437" t="str">
        <f>IF(_xlfn.XLOOKUP(F437,PhpAggrFunc!A:A,PhpAggrFunc!B:B,"") = "", _xlfn.XLOOKUP(G437,PhpAggrFunc!A:A,PhpAggrFunc!B:B,""), _xlfn.XLOOKUP(F437,PhpAggrFunc!A:A,PhpAggrFunc!B:B,""))</f>
        <v/>
      </c>
      <c r="P437" t="str">
        <f t="shared" si="38"/>
        <v>UNRESERVED</v>
      </c>
      <c r="Q437" t="str">
        <f t="shared" si="39"/>
        <v>static const String^ TOK_SKIP = "SKIP";</v>
      </c>
      <c r="R437" t="str">
        <f t="shared" si="40"/>
        <v>static const int TOK_SKIP = 476;</v>
      </c>
      <c r="S437" t="str">
        <f t="shared" si="41"/>
        <v>// _Tokens-&gt;Add((String^)GramVals::TOK_SKIP, gcnew Token(GramKeys::TOK_SKIP, EnumTokenCategory::UNRESERVED,BARE_LABEL, i++));</v>
      </c>
    </row>
    <row r="438" spans="1:19" x14ac:dyDescent="0.25">
      <c r="A438" s="3" t="s">
        <v>1801</v>
      </c>
      <c r="B438" s="5" t="s">
        <v>1312</v>
      </c>
      <c r="C438" s="3" t="s">
        <v>2329</v>
      </c>
      <c r="D438" s="3" t="s">
        <v>881</v>
      </c>
      <c r="F438" t="str">
        <f t="shared" si="36"/>
        <v>SMALLINT</v>
      </c>
      <c r="G438" t="s">
        <v>3233</v>
      </c>
      <c r="I438" s="3" t="str">
        <f>IF(_xlfn.XLOOKUP(F438,PgSqlRaw!B:B,PgSqlRaw!E:E,"") = "",_xlfn.XLOOKUP(G438,PgSqlRaw!B:B,PgSqlRaw!E:E,""),_xlfn.XLOOKUP(F438,PgSqlRaw!B:B,PgSqlRaw!E:E,""))</f>
        <v>COLNAME_KEYWORD</v>
      </c>
      <c r="J438" t="str">
        <f>IF(_xlfn.XLOOKUP(F438,PgSqlRaw!B:B,PgSqlRaw!F:F,"") = "", _xlfn.XLOOKUP(G438,PgSqlRaw!B:B,PgSqlRaw!F:F,""), _xlfn.XLOOKUP(F438,PgSqlRaw!B:B,PgSqlRaw!F:F,""))</f>
        <v>BARE_LABEL</v>
      </c>
      <c r="K438" t="str">
        <f t="shared" si="37"/>
        <v>BARE_LABEL</v>
      </c>
      <c r="L438" t="str">
        <f>IF(_xlfn.XLOOKUP(F438,PhpReserved!A:A,PhpReserved!B:B,"") = "", _xlfn.XLOOKUP(G438,PhpReserved!A:A,PhpReserved!B:B,""),_xlfn.XLOOKUP(F438,PhpReserved!A:A,PhpReserved!B:B,""))</f>
        <v>RESERVED</v>
      </c>
      <c r="M438" t="str">
        <f>IF(_xlfn.XLOOKUP(F438,PhpFunctions!A:A,PhpFunctions!B:B,"") =  "", _xlfn.XLOOKUP(G438,PhpFunctions!A:A,PhpFunctions!B:B,""), _xlfn.XLOOKUP(F438,PhpFunctions!A:A,PhpFunctions!B:B,""))</f>
        <v/>
      </c>
      <c r="N438" t="str">
        <f>IF(_xlfn.XLOOKUP(F438,PhpParamFunc!A:A,PhpParamFunc!B:B,"") = "", _xlfn.XLOOKUP(G438,PhpParamFunc!A:A,PhpParamFunc!B:B,""), _xlfn.XLOOKUP(F438,PhpParamFunc!A:A,PhpParamFunc!B:B,""))</f>
        <v/>
      </c>
      <c r="O438" t="str">
        <f>IF(_xlfn.XLOOKUP(F438,PhpAggrFunc!A:A,PhpAggrFunc!B:B,"") = "", _xlfn.XLOOKUP(G438,PhpAggrFunc!A:A,PhpAggrFunc!B:B,""), _xlfn.XLOOKUP(F438,PhpAggrFunc!A:A,PhpAggrFunc!B:B,""))</f>
        <v/>
      </c>
      <c r="P438" t="str">
        <f t="shared" si="38"/>
        <v>RESERVED</v>
      </c>
      <c r="Q438" t="str">
        <f t="shared" si="39"/>
        <v>static const String^ TOK_SMALLINT = "SMALLINT";</v>
      </c>
      <c r="R438" t="str">
        <f t="shared" si="40"/>
        <v>static const int TOK_SMALLINT = 406;</v>
      </c>
      <c r="S438" t="str">
        <f t="shared" si="41"/>
        <v>_Tokens-&gt;Add((String^)GramVals::TOK_SMALLINT, gcnew Token(GramKeys::TOK_SMALLINT, EnumTokenCategory::RESERVED,BARE_LABEL, i++));</v>
      </c>
    </row>
    <row r="439" spans="1:19" x14ac:dyDescent="0.25">
      <c r="A439" s="3" t="s">
        <v>1802</v>
      </c>
      <c r="B439" s="5" t="s">
        <v>1313</v>
      </c>
      <c r="C439" s="3" t="s">
        <v>2330</v>
      </c>
      <c r="D439" s="3" t="s">
        <v>2423</v>
      </c>
      <c r="F439" t="str">
        <f t="shared" si="36"/>
        <v>SNAPSHOT</v>
      </c>
      <c r="G439" t="s">
        <v>3551</v>
      </c>
      <c r="I439" s="3" t="str">
        <f>IF(_xlfn.XLOOKUP(F439,PgSqlRaw!B:B,PgSqlRaw!E:E,"") = "",_xlfn.XLOOKUP(G439,PgSqlRaw!B:B,PgSqlRaw!E:E,""),_xlfn.XLOOKUP(F439,PgSqlRaw!B:B,PgSqlRaw!E:E,""))</f>
        <v/>
      </c>
      <c r="J439" t="str">
        <f>IF(_xlfn.XLOOKUP(F439,PgSqlRaw!B:B,PgSqlRaw!F:F,"") = "", _xlfn.XLOOKUP(G439,PgSqlRaw!B:B,PgSqlRaw!F:F,""), _xlfn.XLOOKUP(F439,PgSqlRaw!B:B,PgSqlRaw!F:F,""))</f>
        <v>BARE_LABEL</v>
      </c>
      <c r="K439" t="str">
        <f t="shared" si="37"/>
        <v>BARE_LABEL</v>
      </c>
      <c r="L439" t="str">
        <f>IF(_xlfn.XLOOKUP(F439,PhpReserved!A:A,PhpReserved!B:B,"") = "", _xlfn.XLOOKUP(G439,PhpReserved!A:A,PhpReserved!B:B,""),_xlfn.XLOOKUP(F439,PhpReserved!A:A,PhpReserved!B:B,""))</f>
        <v/>
      </c>
      <c r="M439" t="str">
        <f>IF(_xlfn.XLOOKUP(F439,PhpFunctions!A:A,PhpFunctions!B:B,"") =  "", _xlfn.XLOOKUP(G439,PhpFunctions!A:A,PhpFunctions!B:B,""), _xlfn.XLOOKUP(F439,PhpFunctions!A:A,PhpFunctions!B:B,""))</f>
        <v/>
      </c>
      <c r="N439" t="str">
        <f>IF(_xlfn.XLOOKUP(F439,PhpParamFunc!A:A,PhpParamFunc!B:B,"") = "", _xlfn.XLOOKUP(G439,PhpParamFunc!A:A,PhpParamFunc!B:B,""), _xlfn.XLOOKUP(F439,PhpParamFunc!A:A,PhpParamFunc!B:B,""))</f>
        <v/>
      </c>
      <c r="O439" t="str">
        <f>IF(_xlfn.XLOOKUP(F439,PhpAggrFunc!A:A,PhpAggrFunc!B:B,"") = "", _xlfn.XLOOKUP(G439,PhpAggrFunc!A:A,PhpAggrFunc!B:B,""), _xlfn.XLOOKUP(F439,PhpAggrFunc!A:A,PhpAggrFunc!B:B,""))</f>
        <v/>
      </c>
      <c r="P439" t="str">
        <f t="shared" si="38"/>
        <v>UNRESERVED</v>
      </c>
      <c r="Q439" t="str">
        <f t="shared" si="39"/>
        <v>static const String^ TOK_SNAPSHOT = "SNAPSHOT";</v>
      </c>
      <c r="R439" t="str">
        <f t="shared" si="40"/>
        <v>static const int TOK_SNAPSHOT = 407;</v>
      </c>
      <c r="S439" t="str">
        <f t="shared" si="41"/>
        <v>// _Tokens-&gt;Add((String^)GramVals::TOK_SNAPSHOT, gcnew Token(GramKeys::TOK_SNAPSHOT, EnumTokenCategory::UNRESERVED,BARE_LABEL, i++));</v>
      </c>
    </row>
    <row r="440" spans="1:19" x14ac:dyDescent="0.25">
      <c r="A440" s="3" t="s">
        <v>1803</v>
      </c>
      <c r="B440" s="5" t="s">
        <v>1314</v>
      </c>
      <c r="C440" s="3" t="s">
        <v>2331</v>
      </c>
      <c r="D440" s="3" t="s">
        <v>881</v>
      </c>
      <c r="F440" t="str">
        <f t="shared" si="36"/>
        <v>SOME</v>
      </c>
      <c r="G440" t="s">
        <v>3234</v>
      </c>
      <c r="I440" s="3" t="str">
        <f>IF(_xlfn.XLOOKUP(F440,PgSqlRaw!B:B,PgSqlRaw!E:E,"") = "",_xlfn.XLOOKUP(G440,PgSqlRaw!B:B,PgSqlRaw!E:E,""),_xlfn.XLOOKUP(F440,PgSqlRaw!B:B,PgSqlRaw!E:E,""))</f>
        <v>RESERVED</v>
      </c>
      <c r="J440" t="str">
        <f>IF(_xlfn.XLOOKUP(F440,PgSqlRaw!B:B,PgSqlRaw!F:F,"") = "", _xlfn.XLOOKUP(G440,PgSqlRaw!B:B,PgSqlRaw!F:F,""), _xlfn.XLOOKUP(F440,PgSqlRaw!B:B,PgSqlRaw!F:F,""))</f>
        <v>BARE_LABEL</v>
      </c>
      <c r="K440" t="str">
        <f t="shared" si="37"/>
        <v>BARE_LABEL</v>
      </c>
      <c r="L440" t="str">
        <f>IF(_xlfn.XLOOKUP(F440,PhpReserved!A:A,PhpReserved!B:B,"") = "", _xlfn.XLOOKUP(G440,PhpReserved!A:A,PhpReserved!B:B,""),_xlfn.XLOOKUP(F440,PhpReserved!A:A,PhpReserved!B:B,""))</f>
        <v>RESERVED</v>
      </c>
      <c r="M440" t="str">
        <f>IF(_xlfn.XLOOKUP(F440,PhpFunctions!A:A,PhpFunctions!B:B,"") =  "", _xlfn.XLOOKUP(G440,PhpFunctions!A:A,PhpFunctions!B:B,""), _xlfn.XLOOKUP(F440,PhpFunctions!A:A,PhpFunctions!B:B,""))</f>
        <v/>
      </c>
      <c r="N440" t="str">
        <f>IF(_xlfn.XLOOKUP(F440,PhpParamFunc!A:A,PhpParamFunc!B:B,"") = "", _xlfn.XLOOKUP(G440,PhpParamFunc!A:A,PhpParamFunc!B:B,""), _xlfn.XLOOKUP(F440,PhpParamFunc!A:A,PhpParamFunc!B:B,""))</f>
        <v/>
      </c>
      <c r="O440" t="str">
        <f>IF(_xlfn.XLOOKUP(F440,PhpAggrFunc!A:A,PhpAggrFunc!B:B,"") = "", _xlfn.XLOOKUP(G440,PhpAggrFunc!A:A,PhpAggrFunc!B:B,""), _xlfn.XLOOKUP(F440,PhpAggrFunc!A:A,PhpAggrFunc!B:B,""))</f>
        <v/>
      </c>
      <c r="P440" t="str">
        <f t="shared" si="38"/>
        <v>RESERVED</v>
      </c>
      <c r="Q440" t="str">
        <f t="shared" si="39"/>
        <v>static const String^ TOK_SOME = "SOME";</v>
      </c>
      <c r="R440" t="str">
        <f t="shared" si="40"/>
        <v>static const int TOK_SOME = 408;</v>
      </c>
      <c r="S440" t="str">
        <f t="shared" si="41"/>
        <v>_Tokens-&gt;Add((String^)GramVals::TOK_SOME, gcnew Token(GramKeys::TOK_SOME, EnumTokenCategory::RESERVED,BARE_LABEL, i++));</v>
      </c>
    </row>
    <row r="441" spans="1:19" x14ac:dyDescent="0.25">
      <c r="A441" s="3" t="s">
        <v>1804</v>
      </c>
      <c r="B441" s="5" t="s">
        <v>1315</v>
      </c>
      <c r="C441" s="3" t="s">
        <v>2332</v>
      </c>
      <c r="D441" s="3" t="s">
        <v>2423</v>
      </c>
      <c r="F441" t="str">
        <f t="shared" si="36"/>
        <v>SORT</v>
      </c>
      <c r="G441" t="s">
        <v>3818</v>
      </c>
      <c r="I441" s="3" t="str">
        <f>IF(_xlfn.XLOOKUP(F441,PgSqlRaw!B:B,PgSqlRaw!E:E,"") = "",_xlfn.XLOOKUP(G441,PgSqlRaw!B:B,PgSqlRaw!E:E,""),_xlfn.XLOOKUP(F441,PgSqlRaw!B:B,PgSqlRaw!E:E,""))</f>
        <v/>
      </c>
      <c r="J441" t="str">
        <f>IF(_xlfn.XLOOKUP(F441,PgSqlRaw!B:B,PgSqlRaw!F:F,"") = "", _xlfn.XLOOKUP(G441,PgSqlRaw!B:B,PgSqlRaw!F:F,""), _xlfn.XLOOKUP(F441,PgSqlRaw!B:B,PgSqlRaw!F:F,""))</f>
        <v/>
      </c>
      <c r="K441" t="str">
        <f t="shared" si="37"/>
        <v>BARE_LABEL</v>
      </c>
      <c r="L441" t="str">
        <f>IF(_xlfn.XLOOKUP(F441,PhpReserved!A:A,PhpReserved!B:B,"") = "", _xlfn.XLOOKUP(G441,PhpReserved!A:A,PhpReserved!B:B,""),_xlfn.XLOOKUP(F441,PhpReserved!A:A,PhpReserved!B:B,""))</f>
        <v/>
      </c>
      <c r="M441" t="str">
        <f>IF(_xlfn.XLOOKUP(F441,PhpFunctions!A:A,PhpFunctions!B:B,"") =  "", _xlfn.XLOOKUP(G441,PhpFunctions!A:A,PhpFunctions!B:B,""), _xlfn.XLOOKUP(F441,PhpFunctions!A:A,PhpFunctions!B:B,""))</f>
        <v/>
      </c>
      <c r="N441" t="str">
        <f>IF(_xlfn.XLOOKUP(F441,PhpParamFunc!A:A,PhpParamFunc!B:B,"") = "", _xlfn.XLOOKUP(G441,PhpParamFunc!A:A,PhpParamFunc!B:B,""), _xlfn.XLOOKUP(F441,PhpParamFunc!A:A,PhpParamFunc!B:B,""))</f>
        <v/>
      </c>
      <c r="O441" t="str">
        <f>IF(_xlfn.XLOOKUP(F441,PhpAggrFunc!A:A,PhpAggrFunc!B:B,"") = "", _xlfn.XLOOKUP(G441,PhpAggrFunc!A:A,PhpAggrFunc!B:B,""), _xlfn.XLOOKUP(F441,PhpAggrFunc!A:A,PhpAggrFunc!B:B,""))</f>
        <v/>
      </c>
      <c r="P441" t="str">
        <f t="shared" si="38"/>
        <v>UNRESERVED</v>
      </c>
      <c r="Q441" t="str">
        <f t="shared" si="39"/>
        <v>static const String^ TOK_SORT = "SORT";</v>
      </c>
      <c r="R441" t="str">
        <f t="shared" si="40"/>
        <v>static const int TOK_SORT = 409;</v>
      </c>
      <c r="S441" t="str">
        <f t="shared" si="41"/>
        <v>// _Tokens-&gt;Add((String^)GramVals::TOK_SORT, gcnew Token(GramKeys::TOK_SORT, EnumTokenCategory::UNRESERVED,BARE_LABEL, i++));</v>
      </c>
    </row>
    <row r="442" spans="1:19" x14ac:dyDescent="0.25">
      <c r="A442" s="3" t="s">
        <v>1805</v>
      </c>
      <c r="B442" s="5" t="s">
        <v>1316</v>
      </c>
      <c r="C442" s="3" t="s">
        <v>2333</v>
      </c>
      <c r="D442" s="3" t="s">
        <v>2423</v>
      </c>
      <c r="F442" t="str">
        <f t="shared" si="36"/>
        <v>SOURCE</v>
      </c>
      <c r="G442" t="s">
        <v>3819</v>
      </c>
      <c r="I442" s="3" t="str">
        <f>IF(_xlfn.XLOOKUP(F442,PgSqlRaw!B:B,PgSqlRaw!E:E,"") = "",_xlfn.XLOOKUP(G442,PgSqlRaw!B:B,PgSqlRaw!E:E,""),_xlfn.XLOOKUP(F442,PgSqlRaw!B:B,PgSqlRaw!E:E,""))</f>
        <v/>
      </c>
      <c r="J442" t="str">
        <f>IF(_xlfn.XLOOKUP(F442,PgSqlRaw!B:B,PgSqlRaw!F:F,"") = "", _xlfn.XLOOKUP(G442,PgSqlRaw!B:B,PgSqlRaw!F:F,""), _xlfn.XLOOKUP(F442,PgSqlRaw!B:B,PgSqlRaw!F:F,""))</f>
        <v/>
      </c>
      <c r="K442" t="str">
        <f t="shared" si="37"/>
        <v>BARE_LABEL</v>
      </c>
      <c r="L442" t="str">
        <f>IF(_xlfn.XLOOKUP(F442,PhpReserved!A:A,PhpReserved!B:B,"") = "", _xlfn.XLOOKUP(G442,PhpReserved!A:A,PhpReserved!B:B,""),_xlfn.XLOOKUP(F442,PhpReserved!A:A,PhpReserved!B:B,""))</f>
        <v/>
      </c>
      <c r="M442" t="str">
        <f>IF(_xlfn.XLOOKUP(F442,PhpFunctions!A:A,PhpFunctions!B:B,"") =  "", _xlfn.XLOOKUP(G442,PhpFunctions!A:A,PhpFunctions!B:B,""), _xlfn.XLOOKUP(F442,PhpFunctions!A:A,PhpFunctions!B:B,""))</f>
        <v/>
      </c>
      <c r="N442" t="str">
        <f>IF(_xlfn.XLOOKUP(F442,PhpParamFunc!A:A,PhpParamFunc!B:B,"") = "", _xlfn.XLOOKUP(G442,PhpParamFunc!A:A,PhpParamFunc!B:B,""), _xlfn.XLOOKUP(F442,PhpParamFunc!A:A,PhpParamFunc!B:B,""))</f>
        <v/>
      </c>
      <c r="O442" t="str">
        <f>IF(_xlfn.XLOOKUP(F442,PhpAggrFunc!A:A,PhpAggrFunc!B:B,"") = "", _xlfn.XLOOKUP(G442,PhpAggrFunc!A:A,PhpAggrFunc!B:B,""), _xlfn.XLOOKUP(F442,PhpAggrFunc!A:A,PhpAggrFunc!B:B,""))</f>
        <v/>
      </c>
      <c r="P442" t="str">
        <f t="shared" si="38"/>
        <v>UNRESERVED</v>
      </c>
      <c r="Q442" t="str">
        <f t="shared" si="39"/>
        <v>static const String^ TOK_SOURCE = "SOURCE";</v>
      </c>
      <c r="R442" t="str">
        <f t="shared" si="40"/>
        <v>static const int TOK_SOURCE = 603;</v>
      </c>
      <c r="S442" t="str">
        <f t="shared" si="41"/>
        <v>// _Tokens-&gt;Add((String^)GramVals::TOK_SOURCE, gcnew Token(GramKeys::TOK_SOURCE, EnumTokenCategory::UNRESERVED,BARE_LABEL, i++));</v>
      </c>
    </row>
    <row r="443" spans="1:19" x14ac:dyDescent="0.25">
      <c r="A443" s="3" t="s">
        <v>1806</v>
      </c>
      <c r="B443" s="5" t="s">
        <v>1317</v>
      </c>
      <c r="C443" s="3" t="s">
        <v>2334</v>
      </c>
      <c r="D443" s="3" t="s">
        <v>2423</v>
      </c>
      <c r="F443" t="str">
        <f t="shared" si="36"/>
        <v>SPACE</v>
      </c>
      <c r="G443" t="s">
        <v>3037</v>
      </c>
      <c r="I443" s="3" t="str">
        <f>IF(_xlfn.XLOOKUP(F443,PgSqlRaw!B:B,PgSqlRaw!E:E,"") = "",_xlfn.XLOOKUP(G443,PgSqlRaw!B:B,PgSqlRaw!E:E,""),_xlfn.XLOOKUP(F443,PgSqlRaw!B:B,PgSqlRaw!E:E,""))</f>
        <v/>
      </c>
      <c r="J443" t="str">
        <f>IF(_xlfn.XLOOKUP(F443,PgSqlRaw!B:B,PgSqlRaw!F:F,"") = "", _xlfn.XLOOKUP(G443,PgSqlRaw!B:B,PgSqlRaw!F:F,""), _xlfn.XLOOKUP(F443,PgSqlRaw!B:B,PgSqlRaw!F:F,""))</f>
        <v/>
      </c>
      <c r="K443" t="str">
        <f t="shared" si="37"/>
        <v>BARE_LABEL</v>
      </c>
      <c r="L443" t="str">
        <f>IF(_xlfn.XLOOKUP(F443,PhpReserved!A:A,PhpReserved!B:B,"") = "", _xlfn.XLOOKUP(G443,PhpReserved!A:A,PhpReserved!B:B,""),_xlfn.XLOOKUP(F443,PhpReserved!A:A,PhpReserved!B:B,""))</f>
        <v>RESERVED</v>
      </c>
      <c r="M443" t="str">
        <f>IF(_xlfn.XLOOKUP(F443,PhpFunctions!A:A,PhpFunctions!B:B,"") =  "", _xlfn.XLOOKUP(G443,PhpFunctions!A:A,PhpFunctions!B:B,""), _xlfn.XLOOKUP(F443,PhpFunctions!A:A,PhpFunctions!B:B,""))</f>
        <v>FUNCTION</v>
      </c>
      <c r="N443" t="str">
        <f>IF(_xlfn.XLOOKUP(F443,PhpParamFunc!A:A,PhpParamFunc!B:B,"") = "", _xlfn.XLOOKUP(G443,PhpParamFunc!A:A,PhpParamFunc!B:B,""), _xlfn.XLOOKUP(F443,PhpParamFunc!A:A,PhpParamFunc!B:B,""))</f>
        <v>PARAM_FUNCTION</v>
      </c>
      <c r="O443" t="str">
        <f>IF(_xlfn.XLOOKUP(F443,PhpAggrFunc!A:A,PhpAggrFunc!B:B,"") = "", _xlfn.XLOOKUP(G443,PhpAggrFunc!A:A,PhpAggrFunc!B:B,""), _xlfn.XLOOKUP(F443,PhpAggrFunc!A:A,PhpAggrFunc!B:B,""))</f>
        <v/>
      </c>
      <c r="P443" t="str">
        <f t="shared" si="38"/>
        <v>PARAM_FUNCTION</v>
      </c>
      <c r="Q443" t="str">
        <f t="shared" si="39"/>
        <v>static const String^ TOK_SPACE = "SPACE";</v>
      </c>
      <c r="R443" t="str">
        <f t="shared" si="40"/>
        <v>static const int TOK_SPACE = 582;</v>
      </c>
      <c r="S443" t="str">
        <f t="shared" si="41"/>
        <v>_Tokens-&gt;Add((String^)GramVals::TOK_SPACE, gcnew Token(GramKeys::TOK_SPACE, EnumTokenCategory::PARAM_FUNCTION,BARE_LABEL, i++));</v>
      </c>
    </row>
    <row r="444" spans="1:19" x14ac:dyDescent="0.25">
      <c r="A444" s="3" t="s">
        <v>1807</v>
      </c>
      <c r="B444" s="5">
        <v>758</v>
      </c>
      <c r="C444" s="3" t="s">
        <v>2335</v>
      </c>
      <c r="D444" s="3" t="s">
        <v>2423</v>
      </c>
      <c r="F444" t="str">
        <f t="shared" si="36"/>
        <v>SQL</v>
      </c>
      <c r="G444" t="s">
        <v>3238</v>
      </c>
      <c r="I444" s="3" t="str">
        <f>IF(_xlfn.XLOOKUP(F444,PgSqlRaw!B:B,PgSqlRaw!E:E,"") = "",_xlfn.XLOOKUP(G444,PgSqlRaw!B:B,PgSqlRaw!E:E,""),_xlfn.XLOOKUP(F444,PgSqlRaw!B:B,PgSqlRaw!E:E,""))</f>
        <v/>
      </c>
      <c r="J444" t="str">
        <f>IF(_xlfn.XLOOKUP(F444,PgSqlRaw!B:B,PgSqlRaw!F:F,"") = "", _xlfn.XLOOKUP(G444,PgSqlRaw!B:B,PgSqlRaw!F:F,""), _xlfn.XLOOKUP(F444,PgSqlRaw!B:B,PgSqlRaw!F:F,""))</f>
        <v>BARE_LABEL</v>
      </c>
      <c r="K444" t="str">
        <f t="shared" si="37"/>
        <v>BARE_LABEL</v>
      </c>
      <c r="L444" t="str">
        <f>IF(_xlfn.XLOOKUP(F444,PhpReserved!A:A,PhpReserved!B:B,"") = "", _xlfn.XLOOKUP(G444,PhpReserved!A:A,PhpReserved!B:B,""),_xlfn.XLOOKUP(F444,PhpReserved!A:A,PhpReserved!B:B,""))</f>
        <v>RESERVED</v>
      </c>
      <c r="M444" t="str">
        <f>IF(_xlfn.XLOOKUP(F444,PhpFunctions!A:A,PhpFunctions!B:B,"") =  "", _xlfn.XLOOKUP(G444,PhpFunctions!A:A,PhpFunctions!B:B,""), _xlfn.XLOOKUP(F444,PhpFunctions!A:A,PhpFunctions!B:B,""))</f>
        <v/>
      </c>
      <c r="N444" t="str">
        <f>IF(_xlfn.XLOOKUP(F444,PhpParamFunc!A:A,PhpParamFunc!B:B,"") = "", _xlfn.XLOOKUP(G444,PhpParamFunc!A:A,PhpParamFunc!B:B,""), _xlfn.XLOOKUP(F444,PhpParamFunc!A:A,PhpParamFunc!B:B,""))</f>
        <v/>
      </c>
      <c r="O444" t="str">
        <f>IF(_xlfn.XLOOKUP(F444,PhpAggrFunc!A:A,PhpAggrFunc!B:B,"") = "", _xlfn.XLOOKUP(G444,PhpAggrFunc!A:A,PhpAggrFunc!B:B,""), _xlfn.XLOOKUP(F444,PhpAggrFunc!A:A,PhpAggrFunc!B:B,""))</f>
        <v/>
      </c>
      <c r="P444" t="str">
        <f t="shared" si="38"/>
        <v>RESERVED</v>
      </c>
      <c r="Q444" t="str">
        <f t="shared" si="39"/>
        <v>static const String^ TOK_SQL = "SQL";</v>
      </c>
      <c r="R444" t="str">
        <f t="shared" si="40"/>
        <v>static const int TOK_SQL = 758;</v>
      </c>
      <c r="S444" t="str">
        <f t="shared" si="41"/>
        <v>_Tokens-&gt;Add((String^)GramVals::TOK_SQL, gcnew Token(GramKeys::TOK_SQL, EnumTokenCategory::RESERVED,BARE_LABEL, i++));</v>
      </c>
    </row>
    <row r="445" spans="1:19" x14ac:dyDescent="0.25">
      <c r="A445" s="3" t="s">
        <v>1808</v>
      </c>
      <c r="B445" s="5" t="s">
        <v>1318</v>
      </c>
      <c r="C445" s="3" t="s">
        <v>2336</v>
      </c>
      <c r="D445" s="3" t="s">
        <v>881</v>
      </c>
      <c r="F445" t="str">
        <f t="shared" si="36"/>
        <v>SQLCODE</v>
      </c>
      <c r="G445" t="s">
        <v>3820</v>
      </c>
      <c r="I445" s="3" t="str">
        <f>IF(_xlfn.XLOOKUP(F445,PgSqlRaw!B:B,PgSqlRaw!E:E,"") = "",_xlfn.XLOOKUP(G445,PgSqlRaw!B:B,PgSqlRaw!E:E,""),_xlfn.XLOOKUP(F445,PgSqlRaw!B:B,PgSqlRaw!E:E,""))</f>
        <v/>
      </c>
      <c r="J445" t="str">
        <f>IF(_xlfn.XLOOKUP(F445,PgSqlRaw!B:B,PgSqlRaw!F:F,"") = "", _xlfn.XLOOKUP(G445,PgSqlRaw!B:B,PgSqlRaw!F:F,""), _xlfn.XLOOKUP(F445,PgSqlRaw!B:B,PgSqlRaw!F:F,""))</f>
        <v/>
      </c>
      <c r="K445" t="str">
        <f t="shared" si="37"/>
        <v>BARE_LABEL</v>
      </c>
      <c r="L445" t="str">
        <f>IF(_xlfn.XLOOKUP(F445,PhpReserved!A:A,PhpReserved!B:B,"") = "", _xlfn.XLOOKUP(G445,PhpReserved!A:A,PhpReserved!B:B,""),_xlfn.XLOOKUP(F445,PhpReserved!A:A,PhpReserved!B:B,""))</f>
        <v/>
      </c>
      <c r="M445" t="str">
        <f>IF(_xlfn.XLOOKUP(F445,PhpFunctions!A:A,PhpFunctions!B:B,"") =  "", _xlfn.XLOOKUP(G445,PhpFunctions!A:A,PhpFunctions!B:B,""), _xlfn.XLOOKUP(F445,PhpFunctions!A:A,PhpFunctions!B:B,""))</f>
        <v/>
      </c>
      <c r="N445" t="str">
        <f>IF(_xlfn.XLOOKUP(F445,PhpParamFunc!A:A,PhpParamFunc!B:B,"") = "", _xlfn.XLOOKUP(G445,PhpParamFunc!A:A,PhpParamFunc!B:B,""), _xlfn.XLOOKUP(F445,PhpParamFunc!A:A,PhpParamFunc!B:B,""))</f>
        <v/>
      </c>
      <c r="O445" t="str">
        <f>IF(_xlfn.XLOOKUP(F445,PhpAggrFunc!A:A,PhpAggrFunc!B:B,"") = "", _xlfn.XLOOKUP(G445,PhpAggrFunc!A:A,PhpAggrFunc!B:B,""), _xlfn.XLOOKUP(F445,PhpAggrFunc!A:A,PhpAggrFunc!B:B,""))</f>
        <v/>
      </c>
      <c r="P445" t="str">
        <f t="shared" si="38"/>
        <v>UNRESERVED</v>
      </c>
      <c r="Q445" t="str">
        <f t="shared" si="39"/>
        <v>static const String^ TOK_SQLCODE = "SQLCODE";</v>
      </c>
      <c r="R445" t="str">
        <f t="shared" si="40"/>
        <v>static const int TOK_SQLCODE = 410;</v>
      </c>
      <c r="S445" t="str">
        <f t="shared" si="41"/>
        <v>// _Tokens-&gt;Add((String^)GramVals::TOK_SQLCODE, gcnew Token(GramKeys::TOK_SQLCODE, EnumTokenCategory::UNRESERVED,BARE_LABEL, i++));</v>
      </c>
    </row>
    <row r="446" spans="1:19" x14ac:dyDescent="0.25">
      <c r="A446" s="3" t="s">
        <v>1809</v>
      </c>
      <c r="B446" s="5" t="s">
        <v>1319</v>
      </c>
      <c r="C446" s="3" t="s">
        <v>2337</v>
      </c>
      <c r="D446" s="3" t="s">
        <v>881</v>
      </c>
      <c r="F446" t="str">
        <f t="shared" si="36"/>
        <v>SQLSTATE</v>
      </c>
      <c r="G446" t="s">
        <v>3240</v>
      </c>
      <c r="I446" s="3" t="str">
        <f>IF(_xlfn.XLOOKUP(F446,PgSqlRaw!B:B,PgSqlRaw!E:E,"") = "",_xlfn.XLOOKUP(G446,PgSqlRaw!B:B,PgSqlRaw!E:E,""),_xlfn.XLOOKUP(F446,PgSqlRaw!B:B,PgSqlRaw!E:E,""))</f>
        <v/>
      </c>
      <c r="J446" t="str">
        <f>IF(_xlfn.XLOOKUP(F446,PgSqlRaw!B:B,PgSqlRaw!F:F,"") = "", _xlfn.XLOOKUP(G446,PgSqlRaw!B:B,PgSqlRaw!F:F,""), _xlfn.XLOOKUP(F446,PgSqlRaw!B:B,PgSqlRaw!F:F,""))</f>
        <v/>
      </c>
      <c r="K446" t="str">
        <f t="shared" si="37"/>
        <v>BARE_LABEL</v>
      </c>
      <c r="L446" t="str">
        <f>IF(_xlfn.XLOOKUP(F446,PhpReserved!A:A,PhpReserved!B:B,"") = "", _xlfn.XLOOKUP(G446,PhpReserved!A:A,PhpReserved!B:B,""),_xlfn.XLOOKUP(F446,PhpReserved!A:A,PhpReserved!B:B,""))</f>
        <v>RESERVED</v>
      </c>
      <c r="M446" t="str">
        <f>IF(_xlfn.XLOOKUP(F446,PhpFunctions!A:A,PhpFunctions!B:B,"") =  "", _xlfn.XLOOKUP(G446,PhpFunctions!A:A,PhpFunctions!B:B,""), _xlfn.XLOOKUP(F446,PhpFunctions!A:A,PhpFunctions!B:B,""))</f>
        <v/>
      </c>
      <c r="N446" t="str">
        <f>IF(_xlfn.XLOOKUP(F446,PhpParamFunc!A:A,PhpParamFunc!B:B,"") = "", _xlfn.XLOOKUP(G446,PhpParamFunc!A:A,PhpParamFunc!B:B,""), _xlfn.XLOOKUP(F446,PhpParamFunc!A:A,PhpParamFunc!B:B,""))</f>
        <v/>
      </c>
      <c r="O446" t="str">
        <f>IF(_xlfn.XLOOKUP(F446,PhpAggrFunc!A:A,PhpAggrFunc!B:B,"") = "", _xlfn.XLOOKUP(G446,PhpAggrFunc!A:A,PhpAggrFunc!B:B,""), _xlfn.XLOOKUP(F446,PhpAggrFunc!A:A,PhpAggrFunc!B:B,""))</f>
        <v/>
      </c>
      <c r="P446" t="str">
        <f t="shared" si="38"/>
        <v>RESERVED</v>
      </c>
      <c r="Q446" t="str">
        <f t="shared" si="39"/>
        <v>static const String^ TOK_SQLSTATE = "SQLSTATE";</v>
      </c>
      <c r="R446" t="str">
        <f t="shared" si="40"/>
        <v>static const int TOK_SQLSTATE = 637;</v>
      </c>
      <c r="S446" t="str">
        <f t="shared" si="41"/>
        <v>_Tokens-&gt;Add((String^)GramVals::TOK_SQLSTATE, gcnew Token(GramKeys::TOK_SQLSTATE, EnumTokenCategory::RESERVED,BARE_LABEL, i++));</v>
      </c>
    </row>
    <row r="447" spans="1:19" x14ac:dyDescent="0.25">
      <c r="A447" s="3" t="s">
        <v>1810</v>
      </c>
      <c r="B447" s="5" t="s">
        <v>1320</v>
      </c>
      <c r="C447" s="3" t="s">
        <v>2338</v>
      </c>
      <c r="D447" s="3" t="s">
        <v>2423</v>
      </c>
      <c r="F447" t="str">
        <f t="shared" si="36"/>
        <v>SQRT</v>
      </c>
      <c r="G447" t="s">
        <v>3038</v>
      </c>
      <c r="I447" s="3" t="str">
        <f>IF(_xlfn.XLOOKUP(F447,PgSqlRaw!B:B,PgSqlRaw!E:E,"") = "",_xlfn.XLOOKUP(G447,PgSqlRaw!B:B,PgSqlRaw!E:E,""),_xlfn.XLOOKUP(F447,PgSqlRaw!B:B,PgSqlRaw!E:E,""))</f>
        <v/>
      </c>
      <c r="J447" t="str">
        <f>IF(_xlfn.XLOOKUP(F447,PgSqlRaw!B:B,PgSqlRaw!F:F,"") = "", _xlfn.XLOOKUP(G447,PgSqlRaw!B:B,PgSqlRaw!F:F,""), _xlfn.XLOOKUP(F447,PgSqlRaw!B:B,PgSqlRaw!F:F,""))</f>
        <v/>
      </c>
      <c r="K447" t="str">
        <f t="shared" si="37"/>
        <v>BARE_LABEL</v>
      </c>
      <c r="L447" t="str">
        <f>IF(_xlfn.XLOOKUP(F447,PhpReserved!A:A,PhpReserved!B:B,"") = "", _xlfn.XLOOKUP(G447,PhpReserved!A:A,PhpReserved!B:B,""),_xlfn.XLOOKUP(F447,PhpReserved!A:A,PhpReserved!B:B,""))</f>
        <v>RESERVED</v>
      </c>
      <c r="M447" t="str">
        <f>IF(_xlfn.XLOOKUP(F447,PhpFunctions!A:A,PhpFunctions!B:B,"") =  "", _xlfn.XLOOKUP(G447,PhpFunctions!A:A,PhpFunctions!B:B,""), _xlfn.XLOOKUP(F447,PhpFunctions!A:A,PhpFunctions!B:B,""))</f>
        <v>FUNCTION</v>
      </c>
      <c r="N447" t="str">
        <f>IF(_xlfn.XLOOKUP(F447,PhpParamFunc!A:A,PhpParamFunc!B:B,"") = "", _xlfn.XLOOKUP(G447,PhpParamFunc!A:A,PhpParamFunc!B:B,""), _xlfn.XLOOKUP(F447,PhpParamFunc!A:A,PhpParamFunc!B:B,""))</f>
        <v>PARAM_FUNCTION</v>
      </c>
      <c r="O447" t="str">
        <f>IF(_xlfn.XLOOKUP(F447,PhpAggrFunc!A:A,PhpAggrFunc!B:B,"") = "", _xlfn.XLOOKUP(G447,PhpAggrFunc!A:A,PhpAggrFunc!B:B,""), _xlfn.XLOOKUP(F447,PhpAggrFunc!A:A,PhpAggrFunc!B:B,""))</f>
        <v/>
      </c>
      <c r="P447" t="str">
        <f t="shared" si="38"/>
        <v>PARAM_FUNCTION</v>
      </c>
      <c r="Q447" t="str">
        <f t="shared" si="39"/>
        <v>static const String^ TOK_SQRT = "SQRT";</v>
      </c>
      <c r="R447" t="str">
        <f t="shared" si="40"/>
        <v>static const int TOK_SQRT = 583;</v>
      </c>
      <c r="S447" t="str">
        <f t="shared" si="41"/>
        <v>_Tokens-&gt;Add((String^)GramVals::TOK_SQRT, gcnew Token(GramKeys::TOK_SQRT, EnumTokenCategory::PARAM_FUNCTION,BARE_LABEL, i++));</v>
      </c>
    </row>
    <row r="448" spans="1:19" x14ac:dyDescent="0.25">
      <c r="A448" s="3" t="s">
        <v>1811</v>
      </c>
      <c r="B448" s="5" t="s">
        <v>1321</v>
      </c>
      <c r="C448" s="3" t="s">
        <v>2339</v>
      </c>
      <c r="D448" s="3" t="s">
        <v>2423</v>
      </c>
      <c r="F448" t="str">
        <f t="shared" si="36"/>
        <v>STABILITY</v>
      </c>
      <c r="G448" t="s">
        <v>3821</v>
      </c>
      <c r="I448" s="3" t="str">
        <f>IF(_xlfn.XLOOKUP(F448,PgSqlRaw!B:B,PgSqlRaw!E:E,"") = "",_xlfn.XLOOKUP(G448,PgSqlRaw!B:B,PgSqlRaw!E:E,""),_xlfn.XLOOKUP(F448,PgSqlRaw!B:B,PgSqlRaw!E:E,""))</f>
        <v/>
      </c>
      <c r="J448" t="str">
        <f>IF(_xlfn.XLOOKUP(F448,PgSqlRaw!B:B,PgSqlRaw!F:F,"") = "", _xlfn.XLOOKUP(G448,PgSqlRaw!B:B,PgSqlRaw!F:F,""), _xlfn.XLOOKUP(F448,PgSqlRaw!B:B,PgSqlRaw!F:F,""))</f>
        <v/>
      </c>
      <c r="K448" t="str">
        <f t="shared" si="37"/>
        <v>BARE_LABEL</v>
      </c>
      <c r="L448" t="str">
        <f>IF(_xlfn.XLOOKUP(F448,PhpReserved!A:A,PhpReserved!B:B,"") = "", _xlfn.XLOOKUP(G448,PhpReserved!A:A,PhpReserved!B:B,""),_xlfn.XLOOKUP(F448,PhpReserved!A:A,PhpReserved!B:B,""))</f>
        <v/>
      </c>
      <c r="M448" t="str">
        <f>IF(_xlfn.XLOOKUP(F448,PhpFunctions!A:A,PhpFunctions!B:B,"") =  "", _xlfn.XLOOKUP(G448,PhpFunctions!A:A,PhpFunctions!B:B,""), _xlfn.XLOOKUP(F448,PhpFunctions!A:A,PhpFunctions!B:B,""))</f>
        <v/>
      </c>
      <c r="N448" t="str">
        <f>IF(_xlfn.XLOOKUP(F448,PhpParamFunc!A:A,PhpParamFunc!B:B,"") = "", _xlfn.XLOOKUP(G448,PhpParamFunc!A:A,PhpParamFunc!B:B,""), _xlfn.XLOOKUP(F448,PhpParamFunc!A:A,PhpParamFunc!B:B,""))</f>
        <v/>
      </c>
      <c r="O448" t="str">
        <f>IF(_xlfn.XLOOKUP(F448,PhpAggrFunc!A:A,PhpAggrFunc!B:B,"") = "", _xlfn.XLOOKUP(G448,PhpAggrFunc!A:A,PhpAggrFunc!B:B,""), _xlfn.XLOOKUP(F448,PhpAggrFunc!A:A,PhpAggrFunc!B:B,""))</f>
        <v/>
      </c>
      <c r="P448" t="str">
        <f t="shared" si="38"/>
        <v>UNRESERVED</v>
      </c>
      <c r="Q448" t="str">
        <f t="shared" si="39"/>
        <v>static const String^ TOK_STABILITY = "STABILITY";</v>
      </c>
      <c r="R448" t="str">
        <f t="shared" si="40"/>
        <v>static const int TOK_STABILITY = 411;</v>
      </c>
      <c r="S448" t="str">
        <f t="shared" si="41"/>
        <v>// _Tokens-&gt;Add((String^)GramVals::TOK_STABILITY, gcnew Token(GramKeys::TOK_STABILITY, EnumTokenCategory::UNRESERVED,BARE_LABEL, i++));</v>
      </c>
    </row>
    <row r="449" spans="1:19" x14ac:dyDescent="0.25">
      <c r="A449" s="3" t="s">
        <v>1812</v>
      </c>
      <c r="B449" s="5" t="s">
        <v>1322</v>
      </c>
      <c r="C449" s="3" t="s">
        <v>2340</v>
      </c>
      <c r="D449" s="3" t="s">
        <v>881</v>
      </c>
      <c r="F449" t="str">
        <f t="shared" si="36"/>
        <v>START</v>
      </c>
      <c r="G449" t="s">
        <v>3554</v>
      </c>
      <c r="I449" s="3" t="str">
        <f>IF(_xlfn.XLOOKUP(F449,PgSqlRaw!B:B,PgSqlRaw!E:E,"") = "",_xlfn.XLOOKUP(G449,PgSqlRaw!B:B,PgSqlRaw!E:E,""),_xlfn.XLOOKUP(F449,PgSqlRaw!B:B,PgSqlRaw!E:E,""))</f>
        <v/>
      </c>
      <c r="J449" t="str">
        <f>IF(_xlfn.XLOOKUP(F449,PgSqlRaw!B:B,PgSqlRaw!F:F,"") = "", _xlfn.XLOOKUP(G449,PgSqlRaw!B:B,PgSqlRaw!F:F,""), _xlfn.XLOOKUP(F449,PgSqlRaw!B:B,PgSqlRaw!F:F,""))</f>
        <v>BARE_LABEL</v>
      </c>
      <c r="K449" t="str">
        <f t="shared" si="37"/>
        <v>BARE_LABEL</v>
      </c>
      <c r="L449" t="str">
        <f>IF(_xlfn.XLOOKUP(F449,PhpReserved!A:A,PhpReserved!B:B,"") = "", _xlfn.XLOOKUP(G449,PhpReserved!A:A,PhpReserved!B:B,""),_xlfn.XLOOKUP(F449,PhpReserved!A:A,PhpReserved!B:B,""))</f>
        <v/>
      </c>
      <c r="M449" t="str">
        <f>IF(_xlfn.XLOOKUP(F449,PhpFunctions!A:A,PhpFunctions!B:B,"") =  "", _xlfn.XLOOKUP(G449,PhpFunctions!A:A,PhpFunctions!B:B,""), _xlfn.XLOOKUP(F449,PhpFunctions!A:A,PhpFunctions!B:B,""))</f>
        <v/>
      </c>
      <c r="N449" t="str">
        <f>IF(_xlfn.XLOOKUP(F449,PhpParamFunc!A:A,PhpParamFunc!B:B,"") = "", _xlfn.XLOOKUP(G449,PhpParamFunc!A:A,PhpParamFunc!B:B,""), _xlfn.XLOOKUP(F449,PhpParamFunc!A:A,PhpParamFunc!B:B,""))</f>
        <v/>
      </c>
      <c r="O449" t="str">
        <f>IF(_xlfn.XLOOKUP(F449,PhpAggrFunc!A:A,PhpAggrFunc!B:B,"") = "", _xlfn.XLOOKUP(G449,PhpAggrFunc!A:A,PhpAggrFunc!B:B,""), _xlfn.XLOOKUP(F449,PhpAggrFunc!A:A,PhpAggrFunc!B:B,""))</f>
        <v/>
      </c>
      <c r="P449" t="str">
        <f t="shared" si="38"/>
        <v>UNRESERVED</v>
      </c>
      <c r="Q449" t="str">
        <f t="shared" si="39"/>
        <v>static const String^ TOK_START = "START";</v>
      </c>
      <c r="R449" t="str">
        <f t="shared" si="40"/>
        <v>static const int TOK_START = 584;</v>
      </c>
      <c r="S449" t="str">
        <f t="shared" si="41"/>
        <v>// _Tokens-&gt;Add((String^)GramVals::TOK_START, gcnew Token(GramKeys::TOK_START, EnumTokenCategory::UNRESERVED,BARE_LABEL, i++));</v>
      </c>
    </row>
    <row r="450" spans="1:19" x14ac:dyDescent="0.25">
      <c r="A450" s="3" t="s">
        <v>1813</v>
      </c>
      <c r="B450" s="5" t="s">
        <v>1323</v>
      </c>
      <c r="C450" s="3" t="s">
        <v>2341</v>
      </c>
      <c r="D450" s="3" t="s">
        <v>2423</v>
      </c>
      <c r="F450" t="str">
        <f t="shared" si="36"/>
        <v>STARTING</v>
      </c>
      <c r="G450" t="s">
        <v>3255</v>
      </c>
      <c r="I450" s="3" t="str">
        <f>IF(_xlfn.XLOOKUP(F450,PgSqlRaw!B:B,PgSqlRaw!E:E,"") = "",_xlfn.XLOOKUP(G450,PgSqlRaw!B:B,PgSqlRaw!E:E,""),_xlfn.XLOOKUP(F450,PgSqlRaw!B:B,PgSqlRaw!E:E,""))</f>
        <v/>
      </c>
      <c r="J450" t="str">
        <f>IF(_xlfn.XLOOKUP(F450,PgSqlRaw!B:B,PgSqlRaw!F:F,"") = "", _xlfn.XLOOKUP(G450,PgSqlRaw!B:B,PgSqlRaw!F:F,""), _xlfn.XLOOKUP(F450,PgSqlRaw!B:B,PgSqlRaw!F:F,""))</f>
        <v/>
      </c>
      <c r="K450" t="str">
        <f t="shared" si="37"/>
        <v>BARE_LABEL</v>
      </c>
      <c r="L450" t="str">
        <f>IF(_xlfn.XLOOKUP(F450,PhpReserved!A:A,PhpReserved!B:B,"") = "", _xlfn.XLOOKUP(G450,PhpReserved!A:A,PhpReserved!B:B,""),_xlfn.XLOOKUP(F450,PhpReserved!A:A,PhpReserved!B:B,""))</f>
        <v>RESERVED</v>
      </c>
      <c r="M450" t="str">
        <f>IF(_xlfn.XLOOKUP(F450,PhpFunctions!A:A,PhpFunctions!B:B,"") =  "", _xlfn.XLOOKUP(G450,PhpFunctions!A:A,PhpFunctions!B:B,""), _xlfn.XLOOKUP(F450,PhpFunctions!A:A,PhpFunctions!B:B,""))</f>
        <v/>
      </c>
      <c r="N450" t="str">
        <f>IF(_xlfn.XLOOKUP(F450,PhpParamFunc!A:A,PhpParamFunc!B:B,"") = "", _xlfn.XLOOKUP(G450,PhpParamFunc!A:A,PhpParamFunc!B:B,""), _xlfn.XLOOKUP(F450,PhpParamFunc!A:A,PhpParamFunc!B:B,""))</f>
        <v/>
      </c>
      <c r="O450" t="str">
        <f>IF(_xlfn.XLOOKUP(F450,PhpAggrFunc!A:A,PhpAggrFunc!B:B,"") = "", _xlfn.XLOOKUP(G450,PhpAggrFunc!A:A,PhpAggrFunc!B:B,""), _xlfn.XLOOKUP(F450,PhpAggrFunc!A:A,PhpAggrFunc!B:B,""))</f>
        <v/>
      </c>
      <c r="P450" t="str">
        <f t="shared" si="38"/>
        <v>RESERVED</v>
      </c>
      <c r="Q450" t="str">
        <f t="shared" si="39"/>
        <v>static const String^ TOK_STARTING = "STARTING";</v>
      </c>
      <c r="R450" t="str">
        <f t="shared" si="40"/>
        <v>static const int TOK_STARTING = 412;</v>
      </c>
      <c r="S450" t="str">
        <f t="shared" si="41"/>
        <v>_Tokens-&gt;Add((String^)GramVals::TOK_STARTING, gcnew Token(GramKeys::TOK_STARTING, EnumTokenCategory::RESERVED,BARE_LABEL, i++));</v>
      </c>
    </row>
    <row r="451" spans="1:19" x14ac:dyDescent="0.25">
      <c r="A451" s="3" t="s">
        <v>1814</v>
      </c>
      <c r="B451" s="5" t="s">
        <v>1323</v>
      </c>
      <c r="C451" s="3" t="s">
        <v>2342</v>
      </c>
      <c r="D451" s="3" t="s">
        <v>2423</v>
      </c>
      <c r="F451" t="str">
        <f t="shared" si="36"/>
        <v>STARTS</v>
      </c>
      <c r="G451" t="s">
        <v>3822</v>
      </c>
      <c r="I451" s="3" t="str">
        <f>IF(_xlfn.XLOOKUP(F451,PgSqlRaw!B:B,PgSqlRaw!E:E,"") = "",_xlfn.XLOOKUP(G451,PgSqlRaw!B:B,PgSqlRaw!E:E,""),_xlfn.XLOOKUP(F451,PgSqlRaw!B:B,PgSqlRaw!E:E,""))</f>
        <v/>
      </c>
      <c r="J451" t="str">
        <f>IF(_xlfn.XLOOKUP(F451,PgSqlRaw!B:B,PgSqlRaw!F:F,"") = "", _xlfn.XLOOKUP(G451,PgSqlRaw!B:B,PgSqlRaw!F:F,""), _xlfn.XLOOKUP(F451,PgSqlRaw!B:B,PgSqlRaw!F:F,""))</f>
        <v/>
      </c>
      <c r="K451" t="str">
        <f t="shared" si="37"/>
        <v>BARE_LABEL</v>
      </c>
      <c r="L451" t="str">
        <f>IF(_xlfn.XLOOKUP(F451,PhpReserved!A:A,PhpReserved!B:B,"") = "", _xlfn.XLOOKUP(G451,PhpReserved!A:A,PhpReserved!B:B,""),_xlfn.XLOOKUP(F451,PhpReserved!A:A,PhpReserved!B:B,""))</f>
        <v/>
      </c>
      <c r="M451" t="str">
        <f>IF(_xlfn.XLOOKUP(F451,PhpFunctions!A:A,PhpFunctions!B:B,"") =  "", _xlfn.XLOOKUP(G451,PhpFunctions!A:A,PhpFunctions!B:B,""), _xlfn.XLOOKUP(F451,PhpFunctions!A:A,PhpFunctions!B:B,""))</f>
        <v/>
      </c>
      <c r="N451" t="str">
        <f>IF(_xlfn.XLOOKUP(F451,PhpParamFunc!A:A,PhpParamFunc!B:B,"") = "", _xlfn.XLOOKUP(G451,PhpParamFunc!A:A,PhpParamFunc!B:B,""), _xlfn.XLOOKUP(F451,PhpParamFunc!A:A,PhpParamFunc!B:B,""))</f>
        <v/>
      </c>
      <c r="O451" t="str">
        <f>IF(_xlfn.XLOOKUP(F451,PhpAggrFunc!A:A,PhpAggrFunc!B:B,"") = "", _xlfn.XLOOKUP(G451,PhpAggrFunc!A:A,PhpAggrFunc!B:B,""), _xlfn.XLOOKUP(F451,PhpAggrFunc!A:A,PhpAggrFunc!B:B,""))</f>
        <v/>
      </c>
      <c r="P451" t="str">
        <f t="shared" si="38"/>
        <v>UNRESERVED</v>
      </c>
      <c r="Q451" t="str">
        <f t="shared" si="39"/>
        <v>static const String^ TOK_STARTS = "STARTS";</v>
      </c>
      <c r="R451" t="str">
        <f t="shared" si="40"/>
        <v>static const int TOK_STARTS = 412;</v>
      </c>
      <c r="S451" t="str">
        <f t="shared" si="41"/>
        <v>// _Tokens-&gt;Add((String^)GramVals::TOK_STARTS, gcnew Token(GramKeys::TOK_STARTS, EnumTokenCategory::UNRESERVED,BARE_LABEL, i++));</v>
      </c>
    </row>
    <row r="452" spans="1:19" x14ac:dyDescent="0.25">
      <c r="A452" s="3" t="s">
        <v>1815</v>
      </c>
      <c r="B452" s="5" t="s">
        <v>1324</v>
      </c>
      <c r="C452" s="3" t="s">
        <v>2343</v>
      </c>
      <c r="D452" s="3" t="s">
        <v>2423</v>
      </c>
      <c r="F452" t="str">
        <f t="shared" ref="F452:F515" si="42">MID(A452,5,99)</f>
        <v>STATEMENT</v>
      </c>
      <c r="G452" t="s">
        <v>3555</v>
      </c>
      <c r="I452" s="3" t="str">
        <f>IF(_xlfn.XLOOKUP(F452,PgSqlRaw!B:B,PgSqlRaw!E:E,"") = "",_xlfn.XLOOKUP(G452,PgSqlRaw!B:B,PgSqlRaw!E:E,""),_xlfn.XLOOKUP(F452,PgSqlRaw!B:B,PgSqlRaw!E:E,""))</f>
        <v/>
      </c>
      <c r="J452" t="str">
        <f>IF(_xlfn.XLOOKUP(F452,PgSqlRaw!B:B,PgSqlRaw!F:F,"") = "", _xlfn.XLOOKUP(G452,PgSqlRaw!B:B,PgSqlRaw!F:F,""), _xlfn.XLOOKUP(F452,PgSqlRaw!B:B,PgSqlRaw!F:F,""))</f>
        <v>BARE_LABEL</v>
      </c>
      <c r="K452" t="str">
        <f t="shared" ref="K452:K515" si="43">IF(J452 = "", "BARE_LABEL", J452)</f>
        <v>BARE_LABEL</v>
      </c>
      <c r="L452" t="str">
        <f>IF(_xlfn.XLOOKUP(F452,PhpReserved!A:A,PhpReserved!B:B,"") = "", _xlfn.XLOOKUP(G452,PhpReserved!A:A,PhpReserved!B:B,""),_xlfn.XLOOKUP(F452,PhpReserved!A:A,PhpReserved!B:B,""))</f>
        <v/>
      </c>
      <c r="M452" t="str">
        <f>IF(_xlfn.XLOOKUP(F452,PhpFunctions!A:A,PhpFunctions!B:B,"") =  "", _xlfn.XLOOKUP(G452,PhpFunctions!A:A,PhpFunctions!B:B,""), _xlfn.XLOOKUP(F452,PhpFunctions!A:A,PhpFunctions!B:B,""))</f>
        <v/>
      </c>
      <c r="N452" t="str">
        <f>IF(_xlfn.XLOOKUP(F452,PhpParamFunc!A:A,PhpParamFunc!B:B,"") = "", _xlfn.XLOOKUP(G452,PhpParamFunc!A:A,PhpParamFunc!B:B,""), _xlfn.XLOOKUP(F452,PhpParamFunc!A:A,PhpParamFunc!B:B,""))</f>
        <v/>
      </c>
      <c r="O452" t="str">
        <f>IF(_xlfn.XLOOKUP(F452,PhpAggrFunc!A:A,PhpAggrFunc!B:B,"") = "", _xlfn.XLOOKUP(G452,PhpAggrFunc!A:A,PhpAggrFunc!B:B,""), _xlfn.XLOOKUP(F452,PhpAggrFunc!A:A,PhpAggrFunc!B:B,""))</f>
        <v/>
      </c>
      <c r="P452" t="str">
        <f t="shared" ref="P452:P515" si="44">IF(O452 = "",IF(N452 = "", IF(M452 = "", IF(L452 = "", IF(I452 = "",IF(E452 = "","UNRESERVED",E452),I452),L452),M452),N452),O452)</f>
        <v>UNRESERVED</v>
      </c>
      <c r="Q452" t="str">
        <f t="shared" ref="Q452:Q515" si="45">_xlfn.CONCAT("static const String^ ", A452, " = ", C452, ";")</f>
        <v>static const String^ TOK_STATEMENT = "STATEMENT";</v>
      </c>
      <c r="R452" t="str">
        <f t="shared" ref="R452:R515" si="46">_xlfn.CONCAT("static const int ", A452, " = ", B452, ";")</f>
        <v>static const int TOK_STATEMENT = 490;</v>
      </c>
      <c r="S452" t="str">
        <f t="shared" ref="S452:S515" si="47">_xlfn.CONCAT(IF(P452 = "UNRESERVED", "// ", ""),"_Tokens-&gt;Add((String^)GramVals::", A452, ", gcnew Token(GramKeys::", A452, ", EnumTokenCategory::", P452, ",",K452, ", i++));")</f>
        <v>// _Tokens-&gt;Add((String^)GramVals::TOK_STATEMENT, gcnew Token(GramKeys::TOK_STATEMENT, EnumTokenCategory::UNRESERVED,BARE_LABEL, i++));</v>
      </c>
    </row>
    <row r="453" spans="1:19" x14ac:dyDescent="0.25">
      <c r="A453" s="3" t="s">
        <v>1816</v>
      </c>
      <c r="B453" s="5" t="s">
        <v>1325</v>
      </c>
      <c r="C453" s="3" t="s">
        <v>2344</v>
      </c>
      <c r="D453" s="3" t="s">
        <v>2423</v>
      </c>
      <c r="F453" t="str">
        <f t="shared" si="42"/>
        <v>STATISTICS</v>
      </c>
      <c r="G453" t="s">
        <v>3556</v>
      </c>
      <c r="I453" s="3" t="str">
        <f>IF(_xlfn.XLOOKUP(F453,PgSqlRaw!B:B,PgSqlRaw!E:E,"") = "",_xlfn.XLOOKUP(G453,PgSqlRaw!B:B,PgSqlRaw!E:E,""),_xlfn.XLOOKUP(F453,PgSqlRaw!B:B,PgSqlRaw!E:E,""))</f>
        <v/>
      </c>
      <c r="J453" t="str">
        <f>IF(_xlfn.XLOOKUP(F453,PgSqlRaw!B:B,PgSqlRaw!F:F,"") = "", _xlfn.XLOOKUP(G453,PgSqlRaw!B:B,PgSqlRaw!F:F,""), _xlfn.XLOOKUP(F453,PgSqlRaw!B:B,PgSqlRaw!F:F,""))</f>
        <v>BARE_LABEL</v>
      </c>
      <c r="K453" t="str">
        <f t="shared" si="43"/>
        <v>BARE_LABEL</v>
      </c>
      <c r="L453" t="str">
        <f>IF(_xlfn.XLOOKUP(F453,PhpReserved!A:A,PhpReserved!B:B,"") = "", _xlfn.XLOOKUP(G453,PhpReserved!A:A,PhpReserved!B:B,""),_xlfn.XLOOKUP(F453,PhpReserved!A:A,PhpReserved!B:B,""))</f>
        <v/>
      </c>
      <c r="M453" t="str">
        <f>IF(_xlfn.XLOOKUP(F453,PhpFunctions!A:A,PhpFunctions!B:B,"") =  "", _xlfn.XLOOKUP(G453,PhpFunctions!A:A,PhpFunctions!B:B,""), _xlfn.XLOOKUP(F453,PhpFunctions!A:A,PhpFunctions!B:B,""))</f>
        <v/>
      </c>
      <c r="N453" t="str">
        <f>IF(_xlfn.XLOOKUP(F453,PhpParamFunc!A:A,PhpParamFunc!B:B,"") = "", _xlfn.XLOOKUP(G453,PhpParamFunc!A:A,PhpParamFunc!B:B,""), _xlfn.XLOOKUP(F453,PhpParamFunc!A:A,PhpParamFunc!B:B,""))</f>
        <v/>
      </c>
      <c r="O453" t="str">
        <f>IF(_xlfn.XLOOKUP(F453,PhpAggrFunc!A:A,PhpAggrFunc!B:B,"") = "", _xlfn.XLOOKUP(G453,PhpAggrFunc!A:A,PhpAggrFunc!B:B,""), _xlfn.XLOOKUP(F453,PhpAggrFunc!A:A,PhpAggrFunc!B:B,""))</f>
        <v/>
      </c>
      <c r="P453" t="str">
        <f t="shared" si="44"/>
        <v>UNRESERVED</v>
      </c>
      <c r="Q453" t="str">
        <f t="shared" si="45"/>
        <v>static const String^ TOK_STATISTICS = "STATISTICS";</v>
      </c>
      <c r="R453" t="str">
        <f t="shared" si="46"/>
        <v>static const int TOK_STATISTICS = 413;</v>
      </c>
      <c r="S453" t="str">
        <f t="shared" si="47"/>
        <v>// _Tokens-&gt;Add((String^)GramVals::TOK_STATISTICS, gcnew Token(GramKeys::TOK_STATISTICS, EnumTokenCategory::UNRESERVED,BARE_LABEL, i++));</v>
      </c>
    </row>
    <row r="454" spans="1:19" x14ac:dyDescent="0.25">
      <c r="A454" s="3" t="s">
        <v>1817</v>
      </c>
      <c r="B454" s="5">
        <v>759</v>
      </c>
      <c r="C454" s="3" t="s">
        <v>2345</v>
      </c>
      <c r="D454" s="3" t="s">
        <v>881</v>
      </c>
      <c r="F454" t="str">
        <f t="shared" si="42"/>
        <v>STDDEV_POP</v>
      </c>
      <c r="G454" t="s">
        <v>3041</v>
      </c>
      <c r="I454" s="3" t="str">
        <f>IF(_xlfn.XLOOKUP(F454,PgSqlRaw!B:B,PgSqlRaw!E:E,"") = "",_xlfn.XLOOKUP(G454,PgSqlRaw!B:B,PgSqlRaw!E:E,""),_xlfn.XLOOKUP(F454,PgSqlRaw!B:B,PgSqlRaw!E:E,""))</f>
        <v/>
      </c>
      <c r="J454" t="str">
        <f>IF(_xlfn.XLOOKUP(F454,PgSqlRaw!B:B,PgSqlRaw!F:F,"") = "", _xlfn.XLOOKUP(G454,PgSqlRaw!B:B,PgSqlRaw!F:F,""), _xlfn.XLOOKUP(F454,PgSqlRaw!B:B,PgSqlRaw!F:F,""))</f>
        <v/>
      </c>
      <c r="K454" t="str">
        <f t="shared" si="43"/>
        <v>BARE_LABEL</v>
      </c>
      <c r="L454" t="str">
        <f>IF(_xlfn.XLOOKUP(F454,PhpReserved!A:A,PhpReserved!B:B,"") = "", _xlfn.XLOOKUP(G454,PhpReserved!A:A,PhpReserved!B:B,""),_xlfn.XLOOKUP(F454,PhpReserved!A:A,PhpReserved!B:B,""))</f>
        <v>RESERVED</v>
      </c>
      <c r="M454" t="str">
        <f>IF(_xlfn.XLOOKUP(F454,PhpFunctions!A:A,PhpFunctions!B:B,"") =  "", _xlfn.XLOOKUP(G454,PhpFunctions!A:A,PhpFunctions!B:B,""), _xlfn.XLOOKUP(F454,PhpFunctions!A:A,PhpFunctions!B:B,""))</f>
        <v>FUNCTION</v>
      </c>
      <c r="N454" t="str">
        <f>IF(_xlfn.XLOOKUP(F454,PhpParamFunc!A:A,PhpParamFunc!B:B,"") = "", _xlfn.XLOOKUP(G454,PhpParamFunc!A:A,PhpParamFunc!B:B,""), _xlfn.XLOOKUP(F454,PhpParamFunc!A:A,PhpParamFunc!B:B,""))</f>
        <v>PARAM_FUNCTION</v>
      </c>
      <c r="O454" t="str">
        <f>IF(_xlfn.XLOOKUP(F454,PhpAggrFunc!A:A,PhpAggrFunc!B:B,"") = "", _xlfn.XLOOKUP(G454,PhpAggrFunc!A:A,PhpAggrFunc!B:B,""), _xlfn.XLOOKUP(F454,PhpAggrFunc!A:A,PhpAggrFunc!B:B,""))</f>
        <v>AGGR_FUNCTION</v>
      </c>
      <c r="P454" t="str">
        <f t="shared" si="44"/>
        <v>AGGR_FUNCTION</v>
      </c>
      <c r="Q454" t="str">
        <f t="shared" si="45"/>
        <v>static const String^ TOK_STDDEV_POP = "STDDEV_POP";</v>
      </c>
      <c r="R454" t="str">
        <f t="shared" si="46"/>
        <v>static const int TOK_STDDEV_POP = 759;</v>
      </c>
      <c r="S454" t="str">
        <f t="shared" si="47"/>
        <v>_Tokens-&gt;Add((String^)GramVals::TOK_STDDEV_POP, gcnew Token(GramKeys::TOK_STDDEV_POP, EnumTokenCategory::AGGR_FUNCTION,BARE_LABEL, i++));</v>
      </c>
    </row>
    <row r="455" spans="1:19" x14ac:dyDescent="0.25">
      <c r="A455" s="3" t="s">
        <v>1818</v>
      </c>
      <c r="B455" s="5">
        <v>760</v>
      </c>
      <c r="C455" s="3" t="s">
        <v>2346</v>
      </c>
      <c r="D455" s="3" t="s">
        <v>881</v>
      </c>
      <c r="F455" t="str">
        <f t="shared" si="42"/>
        <v>STDDEV_SAMP</v>
      </c>
      <c r="G455" t="s">
        <v>3042</v>
      </c>
      <c r="I455" s="3" t="str">
        <f>IF(_xlfn.XLOOKUP(F455,PgSqlRaw!B:B,PgSqlRaw!E:E,"") = "",_xlfn.XLOOKUP(G455,PgSqlRaw!B:B,PgSqlRaw!E:E,""),_xlfn.XLOOKUP(F455,PgSqlRaw!B:B,PgSqlRaw!E:E,""))</f>
        <v/>
      </c>
      <c r="J455" t="str">
        <f>IF(_xlfn.XLOOKUP(F455,PgSqlRaw!B:B,PgSqlRaw!F:F,"") = "", _xlfn.XLOOKUP(G455,PgSqlRaw!B:B,PgSqlRaw!F:F,""), _xlfn.XLOOKUP(F455,PgSqlRaw!B:B,PgSqlRaw!F:F,""))</f>
        <v/>
      </c>
      <c r="K455" t="str">
        <f t="shared" si="43"/>
        <v>BARE_LABEL</v>
      </c>
      <c r="L455" t="str">
        <f>IF(_xlfn.XLOOKUP(F455,PhpReserved!A:A,PhpReserved!B:B,"") = "", _xlfn.XLOOKUP(G455,PhpReserved!A:A,PhpReserved!B:B,""),_xlfn.XLOOKUP(F455,PhpReserved!A:A,PhpReserved!B:B,""))</f>
        <v>RESERVED</v>
      </c>
      <c r="M455" t="str">
        <f>IF(_xlfn.XLOOKUP(F455,PhpFunctions!A:A,PhpFunctions!B:B,"") =  "", _xlfn.XLOOKUP(G455,PhpFunctions!A:A,PhpFunctions!B:B,""), _xlfn.XLOOKUP(F455,PhpFunctions!A:A,PhpFunctions!B:B,""))</f>
        <v>FUNCTION</v>
      </c>
      <c r="N455" t="str">
        <f>IF(_xlfn.XLOOKUP(F455,PhpParamFunc!A:A,PhpParamFunc!B:B,"") = "", _xlfn.XLOOKUP(G455,PhpParamFunc!A:A,PhpParamFunc!B:B,""), _xlfn.XLOOKUP(F455,PhpParamFunc!A:A,PhpParamFunc!B:B,""))</f>
        <v>PARAM_FUNCTION</v>
      </c>
      <c r="O455" t="str">
        <f>IF(_xlfn.XLOOKUP(F455,PhpAggrFunc!A:A,PhpAggrFunc!B:B,"") = "", _xlfn.XLOOKUP(G455,PhpAggrFunc!A:A,PhpAggrFunc!B:B,""), _xlfn.XLOOKUP(F455,PhpAggrFunc!A:A,PhpAggrFunc!B:B,""))</f>
        <v>AGGR_FUNCTION</v>
      </c>
      <c r="P455" t="str">
        <f t="shared" si="44"/>
        <v>AGGR_FUNCTION</v>
      </c>
      <c r="Q455" t="str">
        <f t="shared" si="45"/>
        <v>static const String^ TOK_STDDEV_SAMP = "STDDEV_SAMP";</v>
      </c>
      <c r="R455" t="str">
        <f t="shared" si="46"/>
        <v>static const int TOK_STDDEV_SAMP = 760;</v>
      </c>
      <c r="S455" t="str">
        <f t="shared" si="47"/>
        <v>_Tokens-&gt;Add((String^)GramVals::TOK_STDDEV_SAMP, gcnew Token(GramKeys::TOK_STDDEV_SAMP, EnumTokenCategory::AGGR_FUNCTION,BARE_LABEL, i++));</v>
      </c>
    </row>
    <row r="456" spans="1:19" x14ac:dyDescent="0.25">
      <c r="A456" s="3" t="s">
        <v>1819</v>
      </c>
      <c r="B456" s="5" t="s">
        <v>1326</v>
      </c>
      <c r="C456" s="3" t="s">
        <v>2347</v>
      </c>
      <c r="D456" s="3" t="s">
        <v>2423</v>
      </c>
      <c r="F456" t="str">
        <f t="shared" si="42"/>
        <v>STRING</v>
      </c>
      <c r="G456" t="s">
        <v>3823</v>
      </c>
      <c r="I456" s="3" t="str">
        <f>IF(_xlfn.XLOOKUP(F456,PgSqlRaw!B:B,PgSqlRaw!E:E,"") = "",_xlfn.XLOOKUP(G456,PgSqlRaw!B:B,PgSqlRaw!E:E,""),_xlfn.XLOOKUP(F456,PgSqlRaw!B:B,PgSqlRaw!E:E,""))</f>
        <v/>
      </c>
      <c r="J456" t="str">
        <f>IF(_xlfn.XLOOKUP(F456,PgSqlRaw!B:B,PgSqlRaw!F:F,"") = "", _xlfn.XLOOKUP(G456,PgSqlRaw!B:B,PgSqlRaw!F:F,""), _xlfn.XLOOKUP(F456,PgSqlRaw!B:B,PgSqlRaw!F:F,""))</f>
        <v/>
      </c>
      <c r="K456" t="str">
        <f t="shared" si="43"/>
        <v>BARE_LABEL</v>
      </c>
      <c r="L456" t="str">
        <f>IF(_xlfn.XLOOKUP(F456,PhpReserved!A:A,PhpReserved!B:B,"") = "", _xlfn.XLOOKUP(G456,PhpReserved!A:A,PhpReserved!B:B,""),_xlfn.XLOOKUP(F456,PhpReserved!A:A,PhpReserved!B:B,""))</f>
        <v/>
      </c>
      <c r="M456" t="str">
        <f>IF(_xlfn.XLOOKUP(F456,PhpFunctions!A:A,PhpFunctions!B:B,"") =  "", _xlfn.XLOOKUP(G456,PhpFunctions!A:A,PhpFunctions!B:B,""), _xlfn.XLOOKUP(F456,PhpFunctions!A:A,PhpFunctions!B:B,""))</f>
        <v/>
      </c>
      <c r="N456" t="str">
        <f>IF(_xlfn.XLOOKUP(F456,PhpParamFunc!A:A,PhpParamFunc!B:B,"") = "", _xlfn.XLOOKUP(G456,PhpParamFunc!A:A,PhpParamFunc!B:B,""), _xlfn.XLOOKUP(F456,PhpParamFunc!A:A,PhpParamFunc!B:B,""))</f>
        <v/>
      </c>
      <c r="O456" t="str">
        <f>IF(_xlfn.XLOOKUP(F456,PhpAggrFunc!A:A,PhpAggrFunc!B:B,"") = "", _xlfn.XLOOKUP(G456,PhpAggrFunc!A:A,PhpAggrFunc!B:B,""), _xlfn.XLOOKUP(F456,PhpAggrFunc!A:A,PhpAggrFunc!B:B,""))</f>
        <v/>
      </c>
      <c r="P456" t="str">
        <f t="shared" si="44"/>
        <v>UNRESERVED</v>
      </c>
      <c r="Q456" t="str">
        <f t="shared" si="45"/>
        <v>static const String^ TOK_STRING = "STRING";</v>
      </c>
      <c r="R456" t="str">
        <f t="shared" si="46"/>
        <v>static const int TOK_STRING = 443;</v>
      </c>
      <c r="S456" t="str">
        <f t="shared" si="47"/>
        <v>// _Tokens-&gt;Add((String^)GramVals::TOK_STRING, gcnew Token(GramKeys::TOK_STRING, EnumTokenCategory::UNRESERVED,BARE_LABEL, i++));</v>
      </c>
    </row>
    <row r="457" spans="1:19" x14ac:dyDescent="0.25">
      <c r="A457" s="3" t="s">
        <v>1820</v>
      </c>
      <c r="B457" s="5" t="s">
        <v>1327</v>
      </c>
      <c r="C457" s="3" t="s">
        <v>2348</v>
      </c>
      <c r="D457" s="3" t="s">
        <v>2423</v>
      </c>
      <c r="F457" t="str">
        <f t="shared" si="42"/>
        <v>SUB_TYPE</v>
      </c>
      <c r="G457" t="s">
        <v>3824</v>
      </c>
      <c r="I457" s="3" t="str">
        <f>IF(_xlfn.XLOOKUP(F457,PgSqlRaw!B:B,PgSqlRaw!E:E,"") = "",_xlfn.XLOOKUP(G457,PgSqlRaw!B:B,PgSqlRaw!E:E,""),_xlfn.XLOOKUP(F457,PgSqlRaw!B:B,PgSqlRaw!E:E,""))</f>
        <v/>
      </c>
      <c r="J457" t="str">
        <f>IF(_xlfn.XLOOKUP(F457,PgSqlRaw!B:B,PgSqlRaw!F:F,"") = "", _xlfn.XLOOKUP(G457,PgSqlRaw!B:B,PgSqlRaw!F:F,""), _xlfn.XLOOKUP(F457,PgSqlRaw!B:B,PgSqlRaw!F:F,""))</f>
        <v/>
      </c>
      <c r="K457" t="str">
        <f t="shared" si="43"/>
        <v>BARE_LABEL</v>
      </c>
      <c r="L457" t="str">
        <f>IF(_xlfn.XLOOKUP(F457,PhpReserved!A:A,PhpReserved!B:B,"") = "", _xlfn.XLOOKUP(G457,PhpReserved!A:A,PhpReserved!B:B,""),_xlfn.XLOOKUP(F457,PhpReserved!A:A,PhpReserved!B:B,""))</f>
        <v/>
      </c>
      <c r="M457" t="str">
        <f>IF(_xlfn.XLOOKUP(F457,PhpFunctions!A:A,PhpFunctions!B:B,"") =  "", _xlfn.XLOOKUP(G457,PhpFunctions!A:A,PhpFunctions!B:B,""), _xlfn.XLOOKUP(F457,PhpFunctions!A:A,PhpFunctions!B:B,""))</f>
        <v/>
      </c>
      <c r="N457" t="str">
        <f>IF(_xlfn.XLOOKUP(F457,PhpParamFunc!A:A,PhpParamFunc!B:B,"") = "", _xlfn.XLOOKUP(G457,PhpParamFunc!A:A,PhpParamFunc!B:B,""), _xlfn.XLOOKUP(F457,PhpParamFunc!A:A,PhpParamFunc!B:B,""))</f>
        <v/>
      </c>
      <c r="O457" t="str">
        <f>IF(_xlfn.XLOOKUP(F457,PhpAggrFunc!A:A,PhpAggrFunc!B:B,"") = "", _xlfn.XLOOKUP(G457,PhpAggrFunc!A:A,PhpAggrFunc!B:B,""), _xlfn.XLOOKUP(F457,PhpAggrFunc!A:A,PhpAggrFunc!B:B,""))</f>
        <v/>
      </c>
      <c r="P457" t="str">
        <f t="shared" si="44"/>
        <v>UNRESERVED</v>
      </c>
      <c r="Q457" t="str">
        <f t="shared" si="45"/>
        <v>static const String^ TOK_SUB_TYPE = "SUB_TYPE";</v>
      </c>
      <c r="R457" t="str">
        <f t="shared" si="46"/>
        <v>static const int TOK_SUB_TYPE = 414;</v>
      </c>
      <c r="S457" t="str">
        <f t="shared" si="47"/>
        <v>// _Tokens-&gt;Add((String^)GramVals::TOK_SUB_TYPE, gcnew Token(GramKeys::TOK_SUB_TYPE, EnumTokenCategory::UNRESERVED,BARE_LABEL, i++));</v>
      </c>
    </row>
    <row r="458" spans="1:19" x14ac:dyDescent="0.25">
      <c r="A458" s="3" t="s">
        <v>1821</v>
      </c>
      <c r="B458" s="5" t="s">
        <v>1328</v>
      </c>
      <c r="C458" s="3" t="s">
        <v>2349</v>
      </c>
      <c r="D458" s="3" t="s">
        <v>2423</v>
      </c>
      <c r="F458" t="str">
        <f t="shared" si="42"/>
        <v>SUBSTRING</v>
      </c>
      <c r="G458" t="s">
        <v>3046</v>
      </c>
      <c r="I458" s="3" t="str">
        <f>IF(_xlfn.XLOOKUP(F458,PgSqlRaw!B:B,PgSqlRaw!E:E,"") = "",_xlfn.XLOOKUP(G458,PgSqlRaw!B:B,PgSqlRaw!E:E,""),_xlfn.XLOOKUP(F458,PgSqlRaw!B:B,PgSqlRaw!E:E,""))</f>
        <v>COLNAME_KEYWORD</v>
      </c>
      <c r="J458" t="str">
        <f>IF(_xlfn.XLOOKUP(F458,PgSqlRaw!B:B,PgSqlRaw!F:F,"") = "", _xlfn.XLOOKUP(G458,PgSqlRaw!B:B,PgSqlRaw!F:F,""), _xlfn.XLOOKUP(F458,PgSqlRaw!B:B,PgSqlRaw!F:F,""))</f>
        <v>BARE_LABEL</v>
      </c>
      <c r="K458" t="str">
        <f t="shared" si="43"/>
        <v>BARE_LABEL</v>
      </c>
      <c r="L458" t="str">
        <f>IF(_xlfn.XLOOKUP(F458,PhpReserved!A:A,PhpReserved!B:B,"") = "", _xlfn.XLOOKUP(G458,PhpReserved!A:A,PhpReserved!B:B,""),_xlfn.XLOOKUP(F458,PhpReserved!A:A,PhpReserved!B:B,""))</f>
        <v>RESERVED</v>
      </c>
      <c r="M458" t="str">
        <f>IF(_xlfn.XLOOKUP(F458,PhpFunctions!A:A,PhpFunctions!B:B,"") =  "", _xlfn.XLOOKUP(G458,PhpFunctions!A:A,PhpFunctions!B:B,""), _xlfn.XLOOKUP(F458,PhpFunctions!A:A,PhpFunctions!B:B,""))</f>
        <v>FUNCTION</v>
      </c>
      <c r="N458" t="str">
        <f>IF(_xlfn.XLOOKUP(F458,PhpParamFunc!A:A,PhpParamFunc!B:B,"") = "", _xlfn.XLOOKUP(G458,PhpParamFunc!A:A,PhpParamFunc!B:B,""), _xlfn.XLOOKUP(F458,PhpParamFunc!A:A,PhpParamFunc!B:B,""))</f>
        <v>PARAM_FUNCTION</v>
      </c>
      <c r="O458" t="str">
        <f>IF(_xlfn.XLOOKUP(F458,PhpAggrFunc!A:A,PhpAggrFunc!B:B,"") = "", _xlfn.XLOOKUP(G458,PhpAggrFunc!A:A,PhpAggrFunc!B:B,""), _xlfn.XLOOKUP(F458,PhpAggrFunc!A:A,PhpAggrFunc!B:B,""))</f>
        <v/>
      </c>
      <c r="P458" t="str">
        <f t="shared" si="44"/>
        <v>PARAM_FUNCTION</v>
      </c>
      <c r="Q458" t="str">
        <f t="shared" si="45"/>
        <v>static const String^ TOK_SUBSTRING = "SUBSTRING";</v>
      </c>
      <c r="R458" t="str">
        <f t="shared" si="46"/>
        <v>static const int TOK_SUBSTRING = 472;</v>
      </c>
      <c r="S458" t="str">
        <f t="shared" si="47"/>
        <v>_Tokens-&gt;Add((String^)GramVals::TOK_SUBSTRING, gcnew Token(GramKeys::TOK_SUBSTRING, EnumTokenCategory::PARAM_FUNCTION,BARE_LABEL, i++));</v>
      </c>
    </row>
    <row r="459" spans="1:19" x14ac:dyDescent="0.25">
      <c r="A459" s="3" t="s">
        <v>1822</v>
      </c>
      <c r="B459" s="5" t="s">
        <v>1329</v>
      </c>
      <c r="C459" s="3" t="s">
        <v>2350</v>
      </c>
      <c r="D459" s="3" t="s">
        <v>881</v>
      </c>
      <c r="F459" t="str">
        <f t="shared" si="42"/>
        <v>SUM</v>
      </c>
      <c r="G459" t="s">
        <v>3049</v>
      </c>
      <c r="I459" s="3" t="str">
        <f>IF(_xlfn.XLOOKUP(F459,PgSqlRaw!B:B,PgSqlRaw!E:E,"") = "",_xlfn.XLOOKUP(G459,PgSqlRaw!B:B,PgSqlRaw!E:E,""),_xlfn.XLOOKUP(F459,PgSqlRaw!B:B,PgSqlRaw!E:E,""))</f>
        <v/>
      </c>
      <c r="J459" t="str">
        <f>IF(_xlfn.XLOOKUP(F459,PgSqlRaw!B:B,PgSqlRaw!F:F,"") = "", _xlfn.XLOOKUP(G459,PgSqlRaw!B:B,PgSqlRaw!F:F,""), _xlfn.XLOOKUP(F459,PgSqlRaw!B:B,PgSqlRaw!F:F,""))</f>
        <v/>
      </c>
      <c r="K459" t="str">
        <f t="shared" si="43"/>
        <v>BARE_LABEL</v>
      </c>
      <c r="L459" t="str">
        <f>IF(_xlfn.XLOOKUP(F459,PhpReserved!A:A,PhpReserved!B:B,"") = "", _xlfn.XLOOKUP(G459,PhpReserved!A:A,PhpReserved!B:B,""),_xlfn.XLOOKUP(F459,PhpReserved!A:A,PhpReserved!B:B,""))</f>
        <v>RESERVED</v>
      </c>
      <c r="M459" t="str">
        <f>IF(_xlfn.XLOOKUP(F459,PhpFunctions!A:A,PhpFunctions!B:B,"") =  "", _xlfn.XLOOKUP(G459,PhpFunctions!A:A,PhpFunctions!B:B,""), _xlfn.XLOOKUP(F459,PhpFunctions!A:A,PhpFunctions!B:B,""))</f>
        <v>FUNCTION</v>
      </c>
      <c r="N459" t="str">
        <f>IF(_xlfn.XLOOKUP(F459,PhpParamFunc!A:A,PhpParamFunc!B:B,"") = "", _xlfn.XLOOKUP(G459,PhpParamFunc!A:A,PhpParamFunc!B:B,""), _xlfn.XLOOKUP(F459,PhpParamFunc!A:A,PhpParamFunc!B:B,""))</f>
        <v>PARAM_FUNCTION</v>
      </c>
      <c r="O459" t="str">
        <f>IF(_xlfn.XLOOKUP(F459,PhpAggrFunc!A:A,PhpAggrFunc!B:B,"") = "", _xlfn.XLOOKUP(G459,PhpAggrFunc!A:A,PhpAggrFunc!B:B,""), _xlfn.XLOOKUP(F459,PhpAggrFunc!A:A,PhpAggrFunc!B:B,""))</f>
        <v>AGGR_FUNCTION</v>
      </c>
      <c r="P459" t="str">
        <f t="shared" si="44"/>
        <v>AGGR_FUNCTION</v>
      </c>
      <c r="Q459" t="str">
        <f t="shared" si="45"/>
        <v>static const String^ TOK_SUM = "SUM";</v>
      </c>
      <c r="R459" t="str">
        <f t="shared" si="46"/>
        <v>static const int TOK_SUM = 416;</v>
      </c>
      <c r="S459" t="str">
        <f t="shared" si="47"/>
        <v>_Tokens-&gt;Add((String^)GramVals::TOK_SUM, gcnew Token(GramKeys::TOK_SUM, EnumTokenCategory::AGGR_FUNCTION,BARE_LABEL, i++));</v>
      </c>
    </row>
    <row r="460" spans="1:19" x14ac:dyDescent="0.25">
      <c r="A460" s="3" t="s">
        <v>1823</v>
      </c>
      <c r="B460" s="5" t="s">
        <v>1330</v>
      </c>
      <c r="C460" s="3" t="s">
        <v>2351</v>
      </c>
      <c r="D460" s="3" t="s">
        <v>2423</v>
      </c>
      <c r="F460" t="str">
        <f t="shared" si="42"/>
        <v>SUSPEND</v>
      </c>
      <c r="G460" t="s">
        <v>3825</v>
      </c>
      <c r="I460" s="3" t="str">
        <f>IF(_xlfn.XLOOKUP(F460,PgSqlRaw!B:B,PgSqlRaw!E:E,"") = "",_xlfn.XLOOKUP(G460,PgSqlRaw!B:B,PgSqlRaw!E:E,""),_xlfn.XLOOKUP(F460,PgSqlRaw!B:B,PgSqlRaw!E:E,""))</f>
        <v/>
      </c>
      <c r="J460" t="str">
        <f>IF(_xlfn.XLOOKUP(F460,PgSqlRaw!B:B,PgSqlRaw!F:F,"") = "", _xlfn.XLOOKUP(G460,PgSqlRaw!B:B,PgSqlRaw!F:F,""), _xlfn.XLOOKUP(F460,PgSqlRaw!B:B,PgSqlRaw!F:F,""))</f>
        <v/>
      </c>
      <c r="K460" t="str">
        <f t="shared" si="43"/>
        <v>BARE_LABEL</v>
      </c>
      <c r="L460" t="str">
        <f>IF(_xlfn.XLOOKUP(F460,PhpReserved!A:A,PhpReserved!B:B,"") = "", _xlfn.XLOOKUP(G460,PhpReserved!A:A,PhpReserved!B:B,""),_xlfn.XLOOKUP(F460,PhpReserved!A:A,PhpReserved!B:B,""))</f>
        <v/>
      </c>
      <c r="M460" t="str">
        <f>IF(_xlfn.XLOOKUP(F460,PhpFunctions!A:A,PhpFunctions!B:B,"") =  "", _xlfn.XLOOKUP(G460,PhpFunctions!A:A,PhpFunctions!B:B,""), _xlfn.XLOOKUP(F460,PhpFunctions!A:A,PhpFunctions!B:B,""))</f>
        <v/>
      </c>
      <c r="N460" t="str">
        <f>IF(_xlfn.XLOOKUP(F460,PhpParamFunc!A:A,PhpParamFunc!B:B,"") = "", _xlfn.XLOOKUP(G460,PhpParamFunc!A:A,PhpParamFunc!B:B,""), _xlfn.XLOOKUP(F460,PhpParamFunc!A:A,PhpParamFunc!B:B,""))</f>
        <v/>
      </c>
      <c r="O460" t="str">
        <f>IF(_xlfn.XLOOKUP(F460,PhpAggrFunc!A:A,PhpAggrFunc!B:B,"") = "", _xlfn.XLOOKUP(G460,PhpAggrFunc!A:A,PhpAggrFunc!B:B,""), _xlfn.XLOOKUP(F460,PhpAggrFunc!A:A,PhpAggrFunc!B:B,""))</f>
        <v/>
      </c>
      <c r="P460" t="str">
        <f t="shared" si="44"/>
        <v>UNRESERVED</v>
      </c>
      <c r="Q460" t="str">
        <f t="shared" si="45"/>
        <v>static const String^ TOK_SUSPEND = "SUSPEND";</v>
      </c>
      <c r="R460" t="str">
        <f t="shared" si="46"/>
        <v>static const int TOK_SUSPEND = 415;</v>
      </c>
      <c r="S460" t="str">
        <f t="shared" si="47"/>
        <v>// _Tokens-&gt;Add((String^)GramVals::TOK_SUSPEND, gcnew Token(GramKeys::TOK_SUSPEND, EnumTokenCategory::UNRESERVED,BARE_LABEL, i++));</v>
      </c>
    </row>
    <row r="461" spans="1:19" x14ac:dyDescent="0.25">
      <c r="A461" s="3" t="s">
        <v>1824</v>
      </c>
      <c r="B461" s="5" t="s">
        <v>1331</v>
      </c>
      <c r="C461" s="3" t="s">
        <v>2352</v>
      </c>
      <c r="D461" s="3" t="s">
        <v>2423</v>
      </c>
      <c r="F461" t="str">
        <f t="shared" si="42"/>
        <v>SYMBOL</v>
      </c>
      <c r="G461" t="s">
        <v>3826</v>
      </c>
      <c r="I461" s="3" t="str">
        <f>IF(_xlfn.XLOOKUP(F461,PgSqlRaw!B:B,PgSqlRaw!E:E,"") = "",_xlfn.XLOOKUP(G461,PgSqlRaw!B:B,PgSqlRaw!E:E,""),_xlfn.XLOOKUP(F461,PgSqlRaw!B:B,PgSqlRaw!E:E,""))</f>
        <v/>
      </c>
      <c r="J461" t="str">
        <f>IF(_xlfn.XLOOKUP(F461,PgSqlRaw!B:B,PgSqlRaw!F:F,"") = "", _xlfn.XLOOKUP(G461,PgSqlRaw!B:B,PgSqlRaw!F:F,""), _xlfn.XLOOKUP(F461,PgSqlRaw!B:B,PgSqlRaw!F:F,""))</f>
        <v/>
      </c>
      <c r="K461" t="str">
        <f t="shared" si="43"/>
        <v>BARE_LABEL</v>
      </c>
      <c r="L461" t="str">
        <f>IF(_xlfn.XLOOKUP(F461,PhpReserved!A:A,PhpReserved!B:B,"") = "", _xlfn.XLOOKUP(G461,PhpReserved!A:A,PhpReserved!B:B,""),_xlfn.XLOOKUP(F461,PhpReserved!A:A,PhpReserved!B:B,""))</f>
        <v/>
      </c>
      <c r="M461" t="str">
        <f>IF(_xlfn.XLOOKUP(F461,PhpFunctions!A:A,PhpFunctions!B:B,"") =  "", _xlfn.XLOOKUP(G461,PhpFunctions!A:A,PhpFunctions!B:B,""), _xlfn.XLOOKUP(F461,PhpFunctions!A:A,PhpFunctions!B:B,""))</f>
        <v/>
      </c>
      <c r="N461" t="str">
        <f>IF(_xlfn.XLOOKUP(F461,PhpParamFunc!A:A,PhpParamFunc!B:B,"") = "", _xlfn.XLOOKUP(G461,PhpParamFunc!A:A,PhpParamFunc!B:B,""), _xlfn.XLOOKUP(F461,PhpParamFunc!A:A,PhpParamFunc!B:B,""))</f>
        <v/>
      </c>
      <c r="O461" t="str">
        <f>IF(_xlfn.XLOOKUP(F461,PhpAggrFunc!A:A,PhpAggrFunc!B:B,"") = "", _xlfn.XLOOKUP(G461,PhpAggrFunc!A:A,PhpAggrFunc!B:B,""), _xlfn.XLOOKUP(F461,PhpAggrFunc!A:A,PhpAggrFunc!B:B,""))</f>
        <v/>
      </c>
      <c r="P461" t="str">
        <f t="shared" si="44"/>
        <v>UNRESERVED</v>
      </c>
      <c r="Q461" t="str">
        <f t="shared" si="45"/>
        <v>static const String^ TOK_SYMBOL = "SYMBOL";</v>
      </c>
      <c r="R461" t="str">
        <f t="shared" si="46"/>
        <v>static const int TOK_SYMBOL = 441;</v>
      </c>
      <c r="S461" t="str">
        <f t="shared" si="47"/>
        <v>// _Tokens-&gt;Add((String^)GramVals::TOK_SYMBOL, gcnew Token(GramKeys::TOK_SYMBOL, EnumTokenCategory::UNRESERVED,BARE_LABEL, i++));</v>
      </c>
    </row>
    <row r="462" spans="1:19" x14ac:dyDescent="0.25">
      <c r="A462" s="3" t="s">
        <v>1825</v>
      </c>
      <c r="B462" s="5">
        <v>761</v>
      </c>
      <c r="C462" s="3" t="s">
        <v>2353</v>
      </c>
      <c r="D462" s="3" t="s">
        <v>2423</v>
      </c>
      <c r="F462" t="str">
        <f t="shared" si="42"/>
        <v>SYSTEM</v>
      </c>
      <c r="G462" t="s">
        <v>3567</v>
      </c>
      <c r="I462" s="3" t="str">
        <f>IF(_xlfn.XLOOKUP(F462,PgSqlRaw!B:B,PgSqlRaw!E:E,"") = "",_xlfn.XLOOKUP(G462,PgSqlRaw!B:B,PgSqlRaw!E:E,""),_xlfn.XLOOKUP(F462,PgSqlRaw!B:B,PgSqlRaw!E:E,""))</f>
        <v/>
      </c>
      <c r="J462" t="str">
        <f>IF(_xlfn.XLOOKUP(F462,PgSqlRaw!B:B,PgSqlRaw!F:F,"") = "", _xlfn.XLOOKUP(G462,PgSqlRaw!B:B,PgSqlRaw!F:F,""), _xlfn.XLOOKUP(F462,PgSqlRaw!B:B,PgSqlRaw!F:F,""))</f>
        <v>BARE_LABEL</v>
      </c>
      <c r="K462" t="str">
        <f t="shared" si="43"/>
        <v>BARE_LABEL</v>
      </c>
      <c r="L462" t="str">
        <f>IF(_xlfn.XLOOKUP(F462,PhpReserved!A:A,PhpReserved!B:B,"") = "", _xlfn.XLOOKUP(G462,PhpReserved!A:A,PhpReserved!B:B,""),_xlfn.XLOOKUP(F462,PhpReserved!A:A,PhpReserved!B:B,""))</f>
        <v/>
      </c>
      <c r="M462" t="str">
        <f>IF(_xlfn.XLOOKUP(F462,PhpFunctions!A:A,PhpFunctions!B:B,"") =  "", _xlfn.XLOOKUP(G462,PhpFunctions!A:A,PhpFunctions!B:B,""), _xlfn.XLOOKUP(F462,PhpFunctions!A:A,PhpFunctions!B:B,""))</f>
        <v/>
      </c>
      <c r="N462" t="str">
        <f>IF(_xlfn.XLOOKUP(F462,PhpParamFunc!A:A,PhpParamFunc!B:B,"") = "", _xlfn.XLOOKUP(G462,PhpParamFunc!A:A,PhpParamFunc!B:B,""), _xlfn.XLOOKUP(F462,PhpParamFunc!A:A,PhpParamFunc!B:B,""))</f>
        <v/>
      </c>
      <c r="O462" t="str">
        <f>IF(_xlfn.XLOOKUP(F462,PhpAggrFunc!A:A,PhpAggrFunc!B:B,"") = "", _xlfn.XLOOKUP(G462,PhpAggrFunc!A:A,PhpAggrFunc!B:B,""), _xlfn.XLOOKUP(F462,PhpAggrFunc!A:A,PhpAggrFunc!B:B,""))</f>
        <v/>
      </c>
      <c r="P462" t="str">
        <f t="shared" si="44"/>
        <v>UNRESERVED</v>
      </c>
      <c r="Q462" t="str">
        <f t="shared" si="45"/>
        <v>static const String^ TOK_SYSTEM = "SYSTEM";</v>
      </c>
      <c r="R462" t="str">
        <f t="shared" si="46"/>
        <v>static const int TOK_SYSTEM = 761;</v>
      </c>
      <c r="S462" t="str">
        <f t="shared" si="47"/>
        <v>// _Tokens-&gt;Add((String^)GramVals::TOK_SYSTEM, gcnew Token(GramKeys::TOK_SYSTEM, EnumTokenCategory::UNRESERVED,BARE_LABEL, i++));</v>
      </c>
    </row>
    <row r="463" spans="1:19" x14ac:dyDescent="0.25">
      <c r="A463" s="3" t="s">
        <v>1826</v>
      </c>
      <c r="B463" s="5" t="s">
        <v>1332</v>
      </c>
      <c r="C463" s="3" t="s">
        <v>2354</v>
      </c>
      <c r="D463" s="3" t="s">
        <v>881</v>
      </c>
      <c r="F463" t="str">
        <f t="shared" si="42"/>
        <v>TABLE</v>
      </c>
      <c r="G463" t="s">
        <v>3258</v>
      </c>
      <c r="I463" s="3" t="str">
        <f>IF(_xlfn.XLOOKUP(F463,PgSqlRaw!B:B,PgSqlRaw!E:E,"") = "",_xlfn.XLOOKUP(G463,PgSqlRaw!B:B,PgSqlRaw!E:E,""),_xlfn.XLOOKUP(F463,PgSqlRaw!B:B,PgSqlRaw!E:E,""))</f>
        <v>RESERVED</v>
      </c>
      <c r="J463" t="str">
        <f>IF(_xlfn.XLOOKUP(F463,PgSqlRaw!B:B,PgSqlRaw!F:F,"") = "", _xlfn.XLOOKUP(G463,PgSqlRaw!B:B,PgSqlRaw!F:F,""), _xlfn.XLOOKUP(F463,PgSqlRaw!B:B,PgSqlRaw!F:F,""))</f>
        <v>BARE_LABEL</v>
      </c>
      <c r="K463" t="str">
        <f t="shared" si="43"/>
        <v>BARE_LABEL</v>
      </c>
      <c r="L463" t="str">
        <f>IF(_xlfn.XLOOKUP(F463,PhpReserved!A:A,PhpReserved!B:B,"") = "", _xlfn.XLOOKUP(G463,PhpReserved!A:A,PhpReserved!B:B,""),_xlfn.XLOOKUP(F463,PhpReserved!A:A,PhpReserved!B:B,""))</f>
        <v>RESERVED</v>
      </c>
      <c r="M463" t="str">
        <f>IF(_xlfn.XLOOKUP(F463,PhpFunctions!A:A,PhpFunctions!B:B,"") =  "", _xlfn.XLOOKUP(G463,PhpFunctions!A:A,PhpFunctions!B:B,""), _xlfn.XLOOKUP(F463,PhpFunctions!A:A,PhpFunctions!B:B,""))</f>
        <v/>
      </c>
      <c r="N463" t="str">
        <f>IF(_xlfn.XLOOKUP(F463,PhpParamFunc!A:A,PhpParamFunc!B:B,"") = "", _xlfn.XLOOKUP(G463,PhpParamFunc!A:A,PhpParamFunc!B:B,""), _xlfn.XLOOKUP(F463,PhpParamFunc!A:A,PhpParamFunc!B:B,""))</f>
        <v/>
      </c>
      <c r="O463" t="str">
        <f>IF(_xlfn.XLOOKUP(F463,PhpAggrFunc!A:A,PhpAggrFunc!B:B,"") = "", _xlfn.XLOOKUP(G463,PhpAggrFunc!A:A,PhpAggrFunc!B:B,""), _xlfn.XLOOKUP(F463,PhpAggrFunc!A:A,PhpAggrFunc!B:B,""))</f>
        <v/>
      </c>
      <c r="P463" t="str">
        <f t="shared" si="44"/>
        <v>RESERVED</v>
      </c>
      <c r="Q463" t="str">
        <f t="shared" si="45"/>
        <v>static const String^ TOK_TABLE = "TABLE";</v>
      </c>
      <c r="R463" t="str">
        <f t="shared" si="46"/>
        <v>static const int TOK_TABLE = 417;</v>
      </c>
      <c r="S463" t="str">
        <f t="shared" si="47"/>
        <v>_Tokens-&gt;Add((String^)GramVals::TOK_TABLE, gcnew Token(GramKeys::TOK_TABLE, EnumTokenCategory::RESERVED,BARE_LABEL, i++));</v>
      </c>
    </row>
    <row r="464" spans="1:19" x14ac:dyDescent="0.25">
      <c r="A464" s="3" t="s">
        <v>1827</v>
      </c>
      <c r="B464" s="5" t="s">
        <v>1333</v>
      </c>
      <c r="C464" s="3" t="s">
        <v>2355</v>
      </c>
      <c r="D464" s="3" t="s">
        <v>2423</v>
      </c>
      <c r="F464" t="str">
        <f t="shared" si="42"/>
        <v>TAGS</v>
      </c>
      <c r="G464" t="s">
        <v>3827</v>
      </c>
      <c r="I464" s="3" t="str">
        <f>IF(_xlfn.XLOOKUP(F464,PgSqlRaw!B:B,PgSqlRaw!E:E,"") = "",_xlfn.XLOOKUP(G464,PgSqlRaw!B:B,PgSqlRaw!E:E,""),_xlfn.XLOOKUP(F464,PgSqlRaw!B:B,PgSqlRaw!E:E,""))</f>
        <v/>
      </c>
      <c r="J464" t="str">
        <f>IF(_xlfn.XLOOKUP(F464,PgSqlRaw!B:B,PgSqlRaw!F:F,"") = "", _xlfn.XLOOKUP(G464,PgSqlRaw!B:B,PgSqlRaw!F:F,""), _xlfn.XLOOKUP(F464,PgSqlRaw!B:B,PgSqlRaw!F:F,""))</f>
        <v/>
      </c>
      <c r="K464" t="str">
        <f t="shared" si="43"/>
        <v>BARE_LABEL</v>
      </c>
      <c r="L464" t="str">
        <f>IF(_xlfn.XLOOKUP(F464,PhpReserved!A:A,PhpReserved!B:B,"") = "", _xlfn.XLOOKUP(G464,PhpReserved!A:A,PhpReserved!B:B,""),_xlfn.XLOOKUP(F464,PhpReserved!A:A,PhpReserved!B:B,""))</f>
        <v/>
      </c>
      <c r="M464" t="str">
        <f>IF(_xlfn.XLOOKUP(F464,PhpFunctions!A:A,PhpFunctions!B:B,"") =  "", _xlfn.XLOOKUP(G464,PhpFunctions!A:A,PhpFunctions!B:B,""), _xlfn.XLOOKUP(F464,PhpFunctions!A:A,PhpFunctions!B:B,""))</f>
        <v/>
      </c>
      <c r="N464" t="str">
        <f>IF(_xlfn.XLOOKUP(F464,PhpParamFunc!A:A,PhpParamFunc!B:B,"") = "", _xlfn.XLOOKUP(G464,PhpParamFunc!A:A,PhpParamFunc!B:B,""), _xlfn.XLOOKUP(F464,PhpParamFunc!A:A,PhpParamFunc!B:B,""))</f>
        <v/>
      </c>
      <c r="O464" t="str">
        <f>IF(_xlfn.XLOOKUP(F464,PhpAggrFunc!A:A,PhpAggrFunc!B:B,"") = "", _xlfn.XLOOKUP(G464,PhpAggrFunc!A:A,PhpAggrFunc!B:B,""), _xlfn.XLOOKUP(F464,PhpAggrFunc!A:A,PhpAggrFunc!B:B,""))</f>
        <v/>
      </c>
      <c r="P464" t="str">
        <f t="shared" si="44"/>
        <v>UNRESERVED</v>
      </c>
      <c r="Q464" t="str">
        <f t="shared" si="45"/>
        <v>static const String^ TOK_TAGS = "TAGS";</v>
      </c>
      <c r="R464" t="str">
        <f t="shared" si="46"/>
        <v>static const int TOK_TAGS = 645;</v>
      </c>
      <c r="S464" t="str">
        <f t="shared" si="47"/>
        <v>// _Tokens-&gt;Add((String^)GramVals::TOK_TAGS, gcnew Token(GramKeys::TOK_TAGS, EnumTokenCategory::UNRESERVED,BARE_LABEL, i++));</v>
      </c>
    </row>
    <row r="465" spans="1:19" x14ac:dyDescent="0.25">
      <c r="A465" s="3" t="s">
        <v>1828</v>
      </c>
      <c r="B465" s="5" t="s">
        <v>1334</v>
      </c>
      <c r="C465" s="3" t="s">
        <v>2356</v>
      </c>
      <c r="D465" s="3" t="s">
        <v>2423</v>
      </c>
      <c r="F465" t="str">
        <f t="shared" si="42"/>
        <v>TAN</v>
      </c>
      <c r="G465" t="s">
        <v>3052</v>
      </c>
      <c r="I465" s="3" t="str">
        <f>IF(_xlfn.XLOOKUP(F465,PgSqlRaw!B:B,PgSqlRaw!E:E,"") = "",_xlfn.XLOOKUP(G465,PgSqlRaw!B:B,PgSqlRaw!E:E,""),_xlfn.XLOOKUP(F465,PgSqlRaw!B:B,PgSqlRaw!E:E,""))</f>
        <v/>
      </c>
      <c r="J465" t="str">
        <f>IF(_xlfn.XLOOKUP(F465,PgSqlRaw!B:B,PgSqlRaw!F:F,"") = "", _xlfn.XLOOKUP(G465,PgSqlRaw!B:B,PgSqlRaw!F:F,""), _xlfn.XLOOKUP(F465,PgSqlRaw!B:B,PgSqlRaw!F:F,""))</f>
        <v/>
      </c>
      <c r="K465" t="str">
        <f t="shared" si="43"/>
        <v>BARE_LABEL</v>
      </c>
      <c r="L465" t="str">
        <f>IF(_xlfn.XLOOKUP(F465,PhpReserved!A:A,PhpReserved!B:B,"") = "", _xlfn.XLOOKUP(G465,PhpReserved!A:A,PhpReserved!B:B,""),_xlfn.XLOOKUP(F465,PhpReserved!A:A,PhpReserved!B:B,""))</f>
        <v>RESERVED</v>
      </c>
      <c r="M465" t="str">
        <f>IF(_xlfn.XLOOKUP(F465,PhpFunctions!A:A,PhpFunctions!B:B,"") =  "", _xlfn.XLOOKUP(G465,PhpFunctions!A:A,PhpFunctions!B:B,""), _xlfn.XLOOKUP(F465,PhpFunctions!A:A,PhpFunctions!B:B,""))</f>
        <v>FUNCTION</v>
      </c>
      <c r="N465" t="str">
        <f>IF(_xlfn.XLOOKUP(F465,PhpParamFunc!A:A,PhpParamFunc!B:B,"") = "", _xlfn.XLOOKUP(G465,PhpParamFunc!A:A,PhpParamFunc!B:B,""), _xlfn.XLOOKUP(F465,PhpParamFunc!A:A,PhpParamFunc!B:B,""))</f>
        <v>PARAM_FUNCTION</v>
      </c>
      <c r="O465" t="str">
        <f>IF(_xlfn.XLOOKUP(F465,PhpAggrFunc!A:A,PhpAggrFunc!B:B,"") = "", _xlfn.XLOOKUP(G465,PhpAggrFunc!A:A,PhpAggrFunc!B:B,""), _xlfn.XLOOKUP(F465,PhpAggrFunc!A:A,PhpAggrFunc!B:B,""))</f>
        <v/>
      </c>
      <c r="P465" t="str">
        <f t="shared" si="44"/>
        <v>PARAM_FUNCTION</v>
      </c>
      <c r="Q465" t="str">
        <f t="shared" si="45"/>
        <v>static const String^ TOK_TAN = "TAN";</v>
      </c>
      <c r="R465" t="str">
        <f t="shared" si="46"/>
        <v>static const int TOK_TAN = 585;</v>
      </c>
      <c r="S465" t="str">
        <f t="shared" si="47"/>
        <v>_Tokens-&gt;Add((String^)GramVals::TOK_TAN, gcnew Token(GramKeys::TOK_TAN, EnumTokenCategory::PARAM_FUNCTION,BARE_LABEL, i++));</v>
      </c>
    </row>
    <row r="466" spans="1:19" x14ac:dyDescent="0.25">
      <c r="A466" s="3" t="s">
        <v>1829</v>
      </c>
      <c r="B466" s="5" t="s">
        <v>1335</v>
      </c>
      <c r="C466" s="3" t="s">
        <v>2357</v>
      </c>
      <c r="D466" s="3" t="s">
        <v>2423</v>
      </c>
      <c r="F466" t="str">
        <f t="shared" si="42"/>
        <v>TANH</v>
      </c>
      <c r="G466" t="s">
        <v>3828</v>
      </c>
      <c r="I466" s="3" t="str">
        <f>IF(_xlfn.XLOOKUP(F466,PgSqlRaw!B:B,PgSqlRaw!E:E,"") = "",_xlfn.XLOOKUP(G466,PgSqlRaw!B:B,PgSqlRaw!E:E,""),_xlfn.XLOOKUP(F466,PgSqlRaw!B:B,PgSqlRaw!E:E,""))</f>
        <v/>
      </c>
      <c r="J466" t="str">
        <f>IF(_xlfn.XLOOKUP(F466,PgSqlRaw!B:B,PgSqlRaw!F:F,"") = "", _xlfn.XLOOKUP(G466,PgSqlRaw!B:B,PgSqlRaw!F:F,""), _xlfn.XLOOKUP(F466,PgSqlRaw!B:B,PgSqlRaw!F:F,""))</f>
        <v/>
      </c>
      <c r="K466" t="str">
        <f t="shared" si="43"/>
        <v>BARE_LABEL</v>
      </c>
      <c r="L466" t="str">
        <f>IF(_xlfn.XLOOKUP(F466,PhpReserved!A:A,PhpReserved!B:B,"") = "", _xlfn.XLOOKUP(G466,PhpReserved!A:A,PhpReserved!B:B,""),_xlfn.XLOOKUP(F466,PhpReserved!A:A,PhpReserved!B:B,""))</f>
        <v/>
      </c>
      <c r="M466" t="str">
        <f>IF(_xlfn.XLOOKUP(F466,PhpFunctions!A:A,PhpFunctions!B:B,"") =  "", _xlfn.XLOOKUP(G466,PhpFunctions!A:A,PhpFunctions!B:B,""), _xlfn.XLOOKUP(F466,PhpFunctions!A:A,PhpFunctions!B:B,""))</f>
        <v/>
      </c>
      <c r="N466" t="str">
        <f>IF(_xlfn.XLOOKUP(F466,PhpParamFunc!A:A,PhpParamFunc!B:B,"") = "", _xlfn.XLOOKUP(G466,PhpParamFunc!A:A,PhpParamFunc!B:B,""), _xlfn.XLOOKUP(F466,PhpParamFunc!A:A,PhpParamFunc!B:B,""))</f>
        <v/>
      </c>
      <c r="O466" t="str">
        <f>IF(_xlfn.XLOOKUP(F466,PhpAggrFunc!A:A,PhpAggrFunc!B:B,"") = "", _xlfn.XLOOKUP(G466,PhpAggrFunc!A:A,PhpAggrFunc!B:B,""), _xlfn.XLOOKUP(F466,PhpAggrFunc!A:A,PhpAggrFunc!B:B,""))</f>
        <v/>
      </c>
      <c r="P466" t="str">
        <f t="shared" si="44"/>
        <v>UNRESERVED</v>
      </c>
      <c r="Q466" t="str">
        <f t="shared" si="45"/>
        <v>static const String^ TOK_TANH = "TANH";</v>
      </c>
      <c r="R466" t="str">
        <f t="shared" si="46"/>
        <v>static const int TOK_TANH = 586;</v>
      </c>
      <c r="S466" t="str">
        <f t="shared" si="47"/>
        <v>// _Tokens-&gt;Add((String^)GramVals::TOK_TANH, gcnew Token(GramKeys::TOK_TANH, EnumTokenCategory::UNRESERVED,BARE_LABEL, i++));</v>
      </c>
    </row>
    <row r="467" spans="1:19" x14ac:dyDescent="0.25">
      <c r="A467" s="3" t="s">
        <v>1830</v>
      </c>
      <c r="B467" s="5">
        <v>762</v>
      </c>
      <c r="C467" s="3" t="s">
        <v>2358</v>
      </c>
      <c r="D467" s="3" t="s">
        <v>2423</v>
      </c>
      <c r="F467" t="str">
        <f t="shared" si="42"/>
        <v>TARGET</v>
      </c>
      <c r="G467" t="s">
        <v>3829</v>
      </c>
      <c r="I467" s="3" t="str">
        <f>IF(_xlfn.XLOOKUP(F467,PgSqlRaw!B:B,PgSqlRaw!E:E,"") = "",_xlfn.XLOOKUP(G467,PgSqlRaw!B:B,PgSqlRaw!E:E,""),_xlfn.XLOOKUP(F467,PgSqlRaw!B:B,PgSqlRaw!E:E,""))</f>
        <v/>
      </c>
      <c r="J467" t="str">
        <f>IF(_xlfn.XLOOKUP(F467,PgSqlRaw!B:B,PgSqlRaw!F:F,"") = "", _xlfn.XLOOKUP(G467,PgSqlRaw!B:B,PgSqlRaw!F:F,""), _xlfn.XLOOKUP(F467,PgSqlRaw!B:B,PgSqlRaw!F:F,""))</f>
        <v/>
      </c>
      <c r="K467" t="str">
        <f t="shared" si="43"/>
        <v>BARE_LABEL</v>
      </c>
      <c r="L467" t="str">
        <f>IF(_xlfn.XLOOKUP(F467,PhpReserved!A:A,PhpReserved!B:B,"") = "", _xlfn.XLOOKUP(G467,PhpReserved!A:A,PhpReserved!B:B,""),_xlfn.XLOOKUP(F467,PhpReserved!A:A,PhpReserved!B:B,""))</f>
        <v/>
      </c>
      <c r="M467" t="str">
        <f>IF(_xlfn.XLOOKUP(F467,PhpFunctions!A:A,PhpFunctions!B:B,"") =  "", _xlfn.XLOOKUP(G467,PhpFunctions!A:A,PhpFunctions!B:B,""), _xlfn.XLOOKUP(F467,PhpFunctions!A:A,PhpFunctions!B:B,""))</f>
        <v/>
      </c>
      <c r="N467" t="str">
        <f>IF(_xlfn.XLOOKUP(F467,PhpParamFunc!A:A,PhpParamFunc!B:B,"") = "", _xlfn.XLOOKUP(G467,PhpParamFunc!A:A,PhpParamFunc!B:B,""), _xlfn.XLOOKUP(F467,PhpParamFunc!A:A,PhpParamFunc!B:B,""))</f>
        <v/>
      </c>
      <c r="O467" t="str">
        <f>IF(_xlfn.XLOOKUP(F467,PhpAggrFunc!A:A,PhpAggrFunc!B:B,"") = "", _xlfn.XLOOKUP(G467,PhpAggrFunc!A:A,PhpAggrFunc!B:B,""), _xlfn.XLOOKUP(F467,PhpAggrFunc!A:A,PhpAggrFunc!B:B,""))</f>
        <v/>
      </c>
      <c r="P467" t="str">
        <f t="shared" si="44"/>
        <v>UNRESERVED</v>
      </c>
      <c r="Q467" t="str">
        <f t="shared" si="45"/>
        <v>static const String^ TOK_TARGET = "TARGET";</v>
      </c>
      <c r="R467" t="str">
        <f t="shared" si="46"/>
        <v>static const int TOK_TARGET = 762;</v>
      </c>
      <c r="S467" t="str">
        <f t="shared" si="47"/>
        <v>// _Tokens-&gt;Add((String^)GramVals::TOK_TARGET, gcnew Token(GramKeys::TOK_TARGET, EnumTokenCategory::UNRESERVED,BARE_LABEL, i++));</v>
      </c>
    </row>
    <row r="468" spans="1:19" x14ac:dyDescent="0.25">
      <c r="A468" s="3" t="s">
        <v>1831</v>
      </c>
      <c r="B468" s="5" t="s">
        <v>1336</v>
      </c>
      <c r="C468" s="3" t="s">
        <v>2359</v>
      </c>
      <c r="D468" s="3" t="s">
        <v>2423</v>
      </c>
      <c r="F468" t="str">
        <f t="shared" si="42"/>
        <v>TEMPORARY</v>
      </c>
      <c r="G468" t="s">
        <v>3260</v>
      </c>
      <c r="I468" s="3" t="str">
        <f>IF(_xlfn.XLOOKUP(F468,PgSqlRaw!B:B,PgSqlRaw!E:E,"") = "",_xlfn.XLOOKUP(G468,PgSqlRaw!B:B,PgSqlRaw!E:E,""),_xlfn.XLOOKUP(F468,PgSqlRaw!B:B,PgSqlRaw!E:E,""))</f>
        <v/>
      </c>
      <c r="J468" t="str">
        <f>IF(_xlfn.XLOOKUP(F468,PgSqlRaw!B:B,PgSqlRaw!F:F,"") = "", _xlfn.XLOOKUP(G468,PgSqlRaw!B:B,PgSqlRaw!F:F,""), _xlfn.XLOOKUP(F468,PgSqlRaw!B:B,PgSqlRaw!F:F,""))</f>
        <v>BARE_LABEL</v>
      </c>
      <c r="K468" t="str">
        <f t="shared" si="43"/>
        <v>BARE_LABEL</v>
      </c>
      <c r="L468" t="str">
        <f>IF(_xlfn.XLOOKUP(F468,PhpReserved!A:A,PhpReserved!B:B,"") = "", _xlfn.XLOOKUP(G468,PhpReserved!A:A,PhpReserved!B:B,""),_xlfn.XLOOKUP(F468,PhpReserved!A:A,PhpReserved!B:B,""))</f>
        <v>RESERVED</v>
      </c>
      <c r="M468" t="str">
        <f>IF(_xlfn.XLOOKUP(F468,PhpFunctions!A:A,PhpFunctions!B:B,"") =  "", _xlfn.XLOOKUP(G468,PhpFunctions!A:A,PhpFunctions!B:B,""), _xlfn.XLOOKUP(F468,PhpFunctions!A:A,PhpFunctions!B:B,""))</f>
        <v/>
      </c>
      <c r="N468" t="str">
        <f>IF(_xlfn.XLOOKUP(F468,PhpParamFunc!A:A,PhpParamFunc!B:B,"") = "", _xlfn.XLOOKUP(G468,PhpParamFunc!A:A,PhpParamFunc!B:B,""), _xlfn.XLOOKUP(F468,PhpParamFunc!A:A,PhpParamFunc!B:B,""))</f>
        <v/>
      </c>
      <c r="O468" t="str">
        <f>IF(_xlfn.XLOOKUP(F468,PhpAggrFunc!A:A,PhpAggrFunc!B:B,"") = "", _xlfn.XLOOKUP(G468,PhpAggrFunc!A:A,PhpAggrFunc!B:B,""), _xlfn.XLOOKUP(F468,PhpAggrFunc!A:A,PhpAggrFunc!B:B,""))</f>
        <v/>
      </c>
      <c r="P468" t="str">
        <f t="shared" si="44"/>
        <v>RESERVED</v>
      </c>
      <c r="Q468" t="str">
        <f t="shared" si="45"/>
        <v>static const String^ TOK_TEMPORARY = "TEMPORARY";</v>
      </c>
      <c r="R468" t="str">
        <f t="shared" si="46"/>
        <v>static const int TOK_TEMPORARY = 587;</v>
      </c>
      <c r="S468" t="str">
        <f t="shared" si="47"/>
        <v>_Tokens-&gt;Add((String^)GramVals::TOK_TEMPORARY, gcnew Token(GramKeys::TOK_TEMPORARY, EnumTokenCategory::RESERVED,BARE_LABEL, i++));</v>
      </c>
    </row>
    <row r="469" spans="1:19" x14ac:dyDescent="0.25">
      <c r="A469" s="3" t="s">
        <v>1832</v>
      </c>
      <c r="B469" s="5" t="s">
        <v>1337</v>
      </c>
      <c r="C469" s="3" t="s">
        <v>2360</v>
      </c>
      <c r="D469" s="3" t="s">
        <v>881</v>
      </c>
      <c r="F469" t="str">
        <f t="shared" si="42"/>
        <v>THEN</v>
      </c>
      <c r="G469" t="s">
        <v>3262</v>
      </c>
      <c r="I469" s="3" t="str">
        <f>IF(_xlfn.XLOOKUP(F469,PgSqlRaw!B:B,PgSqlRaw!E:E,"") = "",_xlfn.XLOOKUP(G469,PgSqlRaw!B:B,PgSqlRaw!E:E,""),_xlfn.XLOOKUP(F469,PgSqlRaw!B:B,PgSqlRaw!E:E,""))</f>
        <v>RESERVED</v>
      </c>
      <c r="J469" t="str">
        <f>IF(_xlfn.XLOOKUP(F469,PgSqlRaw!B:B,PgSqlRaw!F:F,"") = "", _xlfn.XLOOKUP(G469,PgSqlRaw!B:B,PgSqlRaw!F:F,""), _xlfn.XLOOKUP(F469,PgSqlRaw!B:B,PgSqlRaw!F:F,""))</f>
        <v>BARE_LABEL</v>
      </c>
      <c r="K469" t="str">
        <f t="shared" si="43"/>
        <v>BARE_LABEL</v>
      </c>
      <c r="L469" t="str">
        <f>IF(_xlfn.XLOOKUP(F469,PhpReserved!A:A,PhpReserved!B:B,"") = "", _xlfn.XLOOKUP(G469,PhpReserved!A:A,PhpReserved!B:B,""),_xlfn.XLOOKUP(F469,PhpReserved!A:A,PhpReserved!B:B,""))</f>
        <v>RESERVED</v>
      </c>
      <c r="M469" t="str">
        <f>IF(_xlfn.XLOOKUP(F469,PhpFunctions!A:A,PhpFunctions!B:B,"") =  "", _xlfn.XLOOKUP(G469,PhpFunctions!A:A,PhpFunctions!B:B,""), _xlfn.XLOOKUP(F469,PhpFunctions!A:A,PhpFunctions!B:B,""))</f>
        <v/>
      </c>
      <c r="N469" t="str">
        <f>IF(_xlfn.XLOOKUP(F469,PhpParamFunc!A:A,PhpParamFunc!B:B,"") = "", _xlfn.XLOOKUP(G469,PhpParamFunc!A:A,PhpParamFunc!B:B,""), _xlfn.XLOOKUP(F469,PhpParamFunc!A:A,PhpParamFunc!B:B,""))</f>
        <v/>
      </c>
      <c r="O469" t="str">
        <f>IF(_xlfn.XLOOKUP(F469,PhpAggrFunc!A:A,PhpAggrFunc!B:B,"") = "", _xlfn.XLOOKUP(G469,PhpAggrFunc!A:A,PhpAggrFunc!B:B,""), _xlfn.XLOOKUP(F469,PhpAggrFunc!A:A,PhpAggrFunc!B:B,""))</f>
        <v/>
      </c>
      <c r="P469" t="str">
        <f t="shared" si="44"/>
        <v>RESERVED</v>
      </c>
      <c r="Q469" t="str">
        <f t="shared" si="45"/>
        <v>static const String^ TOK_THEN = "THEN";</v>
      </c>
      <c r="R469" t="str">
        <f t="shared" si="46"/>
        <v>static const int TOK_THEN = 418;</v>
      </c>
      <c r="S469" t="str">
        <f t="shared" si="47"/>
        <v>_Tokens-&gt;Add((String^)GramVals::TOK_THEN, gcnew Token(GramKeys::TOK_THEN, EnumTokenCategory::RESERVED,BARE_LABEL, i++));</v>
      </c>
    </row>
    <row r="470" spans="1:19" x14ac:dyDescent="0.25">
      <c r="A470" s="3" t="s">
        <v>1833</v>
      </c>
      <c r="B470" s="5">
        <v>763</v>
      </c>
      <c r="C470" s="3" t="s">
        <v>2361</v>
      </c>
      <c r="D470" s="3" t="s">
        <v>2423</v>
      </c>
      <c r="F470" t="str">
        <f t="shared" si="42"/>
        <v>TIES</v>
      </c>
      <c r="G470" t="s">
        <v>3573</v>
      </c>
      <c r="I470" s="3" t="str">
        <f>IF(_xlfn.XLOOKUP(F470,PgSqlRaw!B:B,PgSqlRaw!E:E,"") = "",_xlfn.XLOOKUP(G470,PgSqlRaw!B:B,PgSqlRaw!E:E,""),_xlfn.XLOOKUP(F470,PgSqlRaw!B:B,PgSqlRaw!E:E,""))</f>
        <v/>
      </c>
      <c r="J470" t="str">
        <f>IF(_xlfn.XLOOKUP(F470,PgSqlRaw!B:B,PgSqlRaw!F:F,"") = "", _xlfn.XLOOKUP(G470,PgSqlRaw!B:B,PgSqlRaw!F:F,""), _xlfn.XLOOKUP(F470,PgSqlRaw!B:B,PgSqlRaw!F:F,""))</f>
        <v>BARE_LABEL</v>
      </c>
      <c r="K470" t="str">
        <f t="shared" si="43"/>
        <v>BARE_LABEL</v>
      </c>
      <c r="L470" t="str">
        <f>IF(_xlfn.XLOOKUP(F470,PhpReserved!A:A,PhpReserved!B:B,"") = "", _xlfn.XLOOKUP(G470,PhpReserved!A:A,PhpReserved!B:B,""),_xlfn.XLOOKUP(F470,PhpReserved!A:A,PhpReserved!B:B,""))</f>
        <v/>
      </c>
      <c r="M470" t="str">
        <f>IF(_xlfn.XLOOKUP(F470,PhpFunctions!A:A,PhpFunctions!B:B,"") =  "", _xlfn.XLOOKUP(G470,PhpFunctions!A:A,PhpFunctions!B:B,""), _xlfn.XLOOKUP(F470,PhpFunctions!A:A,PhpFunctions!B:B,""))</f>
        <v/>
      </c>
      <c r="N470" t="str">
        <f>IF(_xlfn.XLOOKUP(F470,PhpParamFunc!A:A,PhpParamFunc!B:B,"") = "", _xlfn.XLOOKUP(G470,PhpParamFunc!A:A,PhpParamFunc!B:B,""), _xlfn.XLOOKUP(F470,PhpParamFunc!A:A,PhpParamFunc!B:B,""))</f>
        <v/>
      </c>
      <c r="O470" t="str">
        <f>IF(_xlfn.XLOOKUP(F470,PhpAggrFunc!A:A,PhpAggrFunc!B:B,"") = "", _xlfn.XLOOKUP(G470,PhpAggrFunc!A:A,PhpAggrFunc!B:B,""), _xlfn.XLOOKUP(F470,PhpAggrFunc!A:A,PhpAggrFunc!B:B,""))</f>
        <v/>
      </c>
      <c r="P470" t="str">
        <f t="shared" si="44"/>
        <v>UNRESERVED</v>
      </c>
      <c r="Q470" t="str">
        <f t="shared" si="45"/>
        <v>static const String^ TOK_TIES = "TIES";</v>
      </c>
      <c r="R470" t="str">
        <f t="shared" si="46"/>
        <v>static const int TOK_TIES = 763;</v>
      </c>
      <c r="S470" t="str">
        <f t="shared" si="47"/>
        <v>// _Tokens-&gt;Add((String^)GramVals::TOK_TIES, gcnew Token(GramKeys::TOK_TIES, EnumTokenCategory::UNRESERVED,BARE_LABEL, i++));</v>
      </c>
    </row>
    <row r="471" spans="1:19" x14ac:dyDescent="0.25">
      <c r="A471" s="3" t="s">
        <v>1834</v>
      </c>
      <c r="B471" s="5" t="s">
        <v>1338</v>
      </c>
      <c r="C471" s="3" t="s">
        <v>2362</v>
      </c>
      <c r="D471" s="3" t="s">
        <v>881</v>
      </c>
      <c r="F471" t="str">
        <f t="shared" si="42"/>
        <v>TIME</v>
      </c>
      <c r="G471" t="s">
        <v>3053</v>
      </c>
      <c r="I471" s="3" t="str">
        <f>IF(_xlfn.XLOOKUP(F471,PgSqlRaw!B:B,PgSqlRaw!E:E,"") = "",_xlfn.XLOOKUP(G471,PgSqlRaw!B:B,PgSqlRaw!E:E,""),_xlfn.XLOOKUP(F471,PgSqlRaw!B:B,PgSqlRaw!E:E,""))</f>
        <v>COLNAME_KEYWORD</v>
      </c>
      <c r="J471" t="str">
        <f>IF(_xlfn.XLOOKUP(F471,PgSqlRaw!B:B,PgSqlRaw!F:F,"") = "", _xlfn.XLOOKUP(G471,PgSqlRaw!B:B,PgSqlRaw!F:F,""), _xlfn.XLOOKUP(F471,PgSqlRaw!B:B,PgSqlRaw!F:F,""))</f>
        <v>BARE_LABEL</v>
      </c>
      <c r="K471" t="str">
        <f t="shared" si="43"/>
        <v>BARE_LABEL</v>
      </c>
      <c r="L471" t="str">
        <f>IF(_xlfn.XLOOKUP(F471,PhpReserved!A:A,PhpReserved!B:B,"") = "", _xlfn.XLOOKUP(G471,PhpReserved!A:A,PhpReserved!B:B,""),_xlfn.XLOOKUP(F471,PhpReserved!A:A,PhpReserved!B:B,""))</f>
        <v>RESERVED</v>
      </c>
      <c r="M471" t="str">
        <f>IF(_xlfn.XLOOKUP(F471,PhpFunctions!A:A,PhpFunctions!B:B,"") =  "", _xlfn.XLOOKUP(G471,PhpFunctions!A:A,PhpFunctions!B:B,""), _xlfn.XLOOKUP(F471,PhpFunctions!A:A,PhpFunctions!B:B,""))</f>
        <v>FUNCTION</v>
      </c>
      <c r="N471" t="str">
        <f>IF(_xlfn.XLOOKUP(F471,PhpParamFunc!A:A,PhpParamFunc!B:B,"") = "", _xlfn.XLOOKUP(G471,PhpParamFunc!A:A,PhpParamFunc!B:B,""), _xlfn.XLOOKUP(F471,PhpParamFunc!A:A,PhpParamFunc!B:B,""))</f>
        <v>PARAM_FUNCTION</v>
      </c>
      <c r="O471" t="str">
        <f>IF(_xlfn.XLOOKUP(F471,PhpAggrFunc!A:A,PhpAggrFunc!B:B,"") = "", _xlfn.XLOOKUP(G471,PhpAggrFunc!A:A,PhpAggrFunc!B:B,""), _xlfn.XLOOKUP(F471,PhpAggrFunc!A:A,PhpAggrFunc!B:B,""))</f>
        <v/>
      </c>
      <c r="P471" t="str">
        <f t="shared" si="44"/>
        <v>PARAM_FUNCTION</v>
      </c>
      <c r="Q471" t="str">
        <f t="shared" si="45"/>
        <v>static const String^ TOK_TIME = "TIME";</v>
      </c>
      <c r="R471" t="str">
        <f t="shared" si="46"/>
        <v>static const int TOK_TIME = 462;</v>
      </c>
      <c r="S471" t="str">
        <f t="shared" si="47"/>
        <v>_Tokens-&gt;Add((String^)GramVals::TOK_TIME, gcnew Token(GramKeys::TOK_TIME, EnumTokenCategory::PARAM_FUNCTION,BARE_LABEL, i++));</v>
      </c>
    </row>
    <row r="472" spans="1:19" x14ac:dyDescent="0.25">
      <c r="A472" s="3" t="s">
        <v>1835</v>
      </c>
      <c r="B472" s="5" t="s">
        <v>1339</v>
      </c>
      <c r="C472" s="3" t="s">
        <v>2363</v>
      </c>
      <c r="D472" s="3" t="s">
        <v>2423</v>
      </c>
      <c r="F472" t="str">
        <f t="shared" si="42"/>
        <v>TIMEOUT</v>
      </c>
      <c r="G472" t="s">
        <v>3830</v>
      </c>
      <c r="I472" s="3" t="str">
        <f>IF(_xlfn.XLOOKUP(F472,PgSqlRaw!B:B,PgSqlRaw!E:E,"") = "",_xlfn.XLOOKUP(G472,PgSqlRaw!B:B,PgSqlRaw!E:E,""),_xlfn.XLOOKUP(F472,PgSqlRaw!B:B,PgSqlRaw!E:E,""))</f>
        <v/>
      </c>
      <c r="J472" t="str">
        <f>IF(_xlfn.XLOOKUP(F472,PgSqlRaw!B:B,PgSqlRaw!F:F,"") = "", _xlfn.XLOOKUP(G472,PgSqlRaw!B:B,PgSqlRaw!F:F,""), _xlfn.XLOOKUP(F472,PgSqlRaw!B:B,PgSqlRaw!F:F,""))</f>
        <v/>
      </c>
      <c r="K472" t="str">
        <f t="shared" si="43"/>
        <v>BARE_LABEL</v>
      </c>
      <c r="L472" t="str">
        <f>IF(_xlfn.XLOOKUP(F472,PhpReserved!A:A,PhpReserved!B:B,"") = "", _xlfn.XLOOKUP(G472,PhpReserved!A:A,PhpReserved!B:B,""),_xlfn.XLOOKUP(F472,PhpReserved!A:A,PhpReserved!B:B,""))</f>
        <v/>
      </c>
      <c r="M472" t="str">
        <f>IF(_xlfn.XLOOKUP(F472,PhpFunctions!A:A,PhpFunctions!B:B,"") =  "", _xlfn.XLOOKUP(G472,PhpFunctions!A:A,PhpFunctions!B:B,""), _xlfn.XLOOKUP(F472,PhpFunctions!A:A,PhpFunctions!B:B,""))</f>
        <v/>
      </c>
      <c r="N472" t="str">
        <f>IF(_xlfn.XLOOKUP(F472,PhpParamFunc!A:A,PhpParamFunc!B:B,"") = "", _xlfn.XLOOKUP(G472,PhpParamFunc!A:A,PhpParamFunc!B:B,""), _xlfn.XLOOKUP(F472,PhpParamFunc!A:A,PhpParamFunc!B:B,""))</f>
        <v/>
      </c>
      <c r="O472" t="str">
        <f>IF(_xlfn.XLOOKUP(F472,PhpAggrFunc!A:A,PhpAggrFunc!B:B,"") = "", _xlfn.XLOOKUP(G472,PhpAggrFunc!A:A,PhpAggrFunc!B:B,""), _xlfn.XLOOKUP(F472,PhpAggrFunc!A:A,PhpAggrFunc!B:B,""))</f>
        <v/>
      </c>
      <c r="P472" t="str">
        <f t="shared" si="44"/>
        <v>UNRESERVED</v>
      </c>
      <c r="Q472" t="str">
        <f t="shared" si="45"/>
        <v>static const String^ TOK_TIMEOUT = "TIMEOUT";</v>
      </c>
      <c r="R472" t="str">
        <f t="shared" si="46"/>
        <v>static const int TOK_TIMEOUT = 524;</v>
      </c>
      <c r="S472" t="str">
        <f t="shared" si="47"/>
        <v>// _Tokens-&gt;Add((String^)GramVals::TOK_TIMEOUT, gcnew Token(GramKeys::TOK_TIMEOUT, EnumTokenCategory::UNRESERVED,BARE_LABEL, i++));</v>
      </c>
    </row>
    <row r="473" spans="1:19" x14ac:dyDescent="0.25">
      <c r="A473" s="3" t="s">
        <v>1836</v>
      </c>
      <c r="B473" s="5" t="s">
        <v>1340</v>
      </c>
      <c r="C473" s="3" t="s">
        <v>2364</v>
      </c>
      <c r="D473" s="3" t="s">
        <v>881</v>
      </c>
      <c r="F473" t="str">
        <f t="shared" si="42"/>
        <v>TIMESTAMP</v>
      </c>
      <c r="G473" t="s">
        <v>3055</v>
      </c>
      <c r="I473" s="3" t="str">
        <f>IF(_xlfn.XLOOKUP(F473,PgSqlRaw!B:B,PgSqlRaw!E:E,"") = "",_xlfn.XLOOKUP(G473,PgSqlRaw!B:B,PgSqlRaw!E:E,""),_xlfn.XLOOKUP(F473,PgSqlRaw!B:B,PgSqlRaw!E:E,""))</f>
        <v>COLNAME_KEYWORD</v>
      </c>
      <c r="J473" t="str">
        <f>IF(_xlfn.XLOOKUP(F473,PgSqlRaw!B:B,PgSqlRaw!F:F,"") = "", _xlfn.XLOOKUP(G473,PgSqlRaw!B:B,PgSqlRaw!F:F,""), _xlfn.XLOOKUP(F473,PgSqlRaw!B:B,PgSqlRaw!F:F,""))</f>
        <v>BARE_LABEL</v>
      </c>
      <c r="K473" t="str">
        <f t="shared" si="43"/>
        <v>BARE_LABEL</v>
      </c>
      <c r="L473" t="str">
        <f>IF(_xlfn.XLOOKUP(F473,PhpReserved!A:A,PhpReserved!B:B,"") = "", _xlfn.XLOOKUP(G473,PhpReserved!A:A,PhpReserved!B:B,""),_xlfn.XLOOKUP(F473,PhpReserved!A:A,PhpReserved!B:B,""))</f>
        <v>RESERVED</v>
      </c>
      <c r="M473" t="str">
        <f>IF(_xlfn.XLOOKUP(F473,PhpFunctions!A:A,PhpFunctions!B:B,"") =  "", _xlfn.XLOOKUP(G473,PhpFunctions!A:A,PhpFunctions!B:B,""), _xlfn.XLOOKUP(F473,PhpFunctions!A:A,PhpFunctions!B:B,""))</f>
        <v>FUNCTION</v>
      </c>
      <c r="N473" t="str">
        <f>IF(_xlfn.XLOOKUP(F473,PhpParamFunc!A:A,PhpParamFunc!B:B,"") = "", _xlfn.XLOOKUP(G473,PhpParamFunc!A:A,PhpParamFunc!B:B,""), _xlfn.XLOOKUP(F473,PhpParamFunc!A:A,PhpParamFunc!B:B,""))</f>
        <v>PARAM_FUNCTION</v>
      </c>
      <c r="O473" t="str">
        <f>IF(_xlfn.XLOOKUP(F473,PhpAggrFunc!A:A,PhpAggrFunc!B:B,"") = "", _xlfn.XLOOKUP(G473,PhpAggrFunc!A:A,PhpAggrFunc!B:B,""), _xlfn.XLOOKUP(F473,PhpAggrFunc!A:A,PhpAggrFunc!B:B,""))</f>
        <v/>
      </c>
      <c r="P473" t="str">
        <f t="shared" si="44"/>
        <v>PARAM_FUNCTION</v>
      </c>
      <c r="Q473" t="str">
        <f t="shared" si="45"/>
        <v>static const String^ TOK_TIMESTAMP = "TIMESTAMP";</v>
      </c>
      <c r="R473" t="str">
        <f t="shared" si="46"/>
        <v>static const int TOK_TIMESTAMP = 463;</v>
      </c>
      <c r="S473" t="str">
        <f t="shared" si="47"/>
        <v>_Tokens-&gt;Add((String^)GramVals::TOK_TIMESTAMP, gcnew Token(GramKeys::TOK_TIMESTAMP, EnumTokenCategory::PARAM_FUNCTION,BARE_LABEL, i++));</v>
      </c>
    </row>
    <row r="474" spans="1:19" x14ac:dyDescent="0.25">
      <c r="A474" s="3" t="s">
        <v>1837</v>
      </c>
      <c r="B474" s="5">
        <v>764</v>
      </c>
      <c r="C474" s="3" t="s">
        <v>2365</v>
      </c>
      <c r="D474" s="3" t="s">
        <v>881</v>
      </c>
      <c r="F474" t="str">
        <f t="shared" si="42"/>
        <v>TIMEZONE_HOUR</v>
      </c>
      <c r="G474" t="s">
        <v>3831</v>
      </c>
      <c r="I474" s="3" t="str">
        <f>IF(_xlfn.XLOOKUP(F474,PgSqlRaw!B:B,PgSqlRaw!E:E,"") = "",_xlfn.XLOOKUP(G474,PgSqlRaw!B:B,PgSqlRaw!E:E,""),_xlfn.XLOOKUP(F474,PgSqlRaw!B:B,PgSqlRaw!E:E,""))</f>
        <v/>
      </c>
      <c r="J474" t="str">
        <f>IF(_xlfn.XLOOKUP(F474,PgSqlRaw!B:B,PgSqlRaw!F:F,"") = "", _xlfn.XLOOKUP(G474,PgSqlRaw!B:B,PgSqlRaw!F:F,""), _xlfn.XLOOKUP(F474,PgSqlRaw!B:B,PgSqlRaw!F:F,""))</f>
        <v/>
      </c>
      <c r="K474" t="str">
        <f t="shared" si="43"/>
        <v>BARE_LABEL</v>
      </c>
      <c r="L474" t="str">
        <f>IF(_xlfn.XLOOKUP(F474,PhpReserved!A:A,PhpReserved!B:B,"") = "", _xlfn.XLOOKUP(G474,PhpReserved!A:A,PhpReserved!B:B,""),_xlfn.XLOOKUP(F474,PhpReserved!A:A,PhpReserved!B:B,""))</f>
        <v/>
      </c>
      <c r="M474" t="str">
        <f>IF(_xlfn.XLOOKUP(F474,PhpFunctions!A:A,PhpFunctions!B:B,"") =  "", _xlfn.XLOOKUP(G474,PhpFunctions!A:A,PhpFunctions!B:B,""), _xlfn.XLOOKUP(F474,PhpFunctions!A:A,PhpFunctions!B:B,""))</f>
        <v/>
      </c>
      <c r="N474" t="str">
        <f>IF(_xlfn.XLOOKUP(F474,PhpParamFunc!A:A,PhpParamFunc!B:B,"") = "", _xlfn.XLOOKUP(G474,PhpParamFunc!A:A,PhpParamFunc!B:B,""), _xlfn.XLOOKUP(F474,PhpParamFunc!A:A,PhpParamFunc!B:B,""))</f>
        <v/>
      </c>
      <c r="O474" t="str">
        <f>IF(_xlfn.XLOOKUP(F474,PhpAggrFunc!A:A,PhpAggrFunc!B:B,"") = "", _xlfn.XLOOKUP(G474,PhpAggrFunc!A:A,PhpAggrFunc!B:B,""), _xlfn.XLOOKUP(F474,PhpAggrFunc!A:A,PhpAggrFunc!B:B,""))</f>
        <v/>
      </c>
      <c r="P474" t="str">
        <f t="shared" si="44"/>
        <v>UNRESERVED</v>
      </c>
      <c r="Q474" t="str">
        <f t="shared" si="45"/>
        <v>static const String^ TOK_TIMEZONE_HOUR = "TIMEZONE_HOUR";</v>
      </c>
      <c r="R474" t="str">
        <f t="shared" si="46"/>
        <v>static const int TOK_TIMEZONE_HOUR = 764;</v>
      </c>
      <c r="S474" t="str">
        <f t="shared" si="47"/>
        <v>// _Tokens-&gt;Add((String^)GramVals::TOK_TIMEZONE_HOUR, gcnew Token(GramKeys::TOK_TIMEZONE_HOUR, EnumTokenCategory::UNRESERVED,BARE_LABEL, i++));</v>
      </c>
    </row>
    <row r="475" spans="1:19" x14ac:dyDescent="0.25">
      <c r="A475" s="3" t="s">
        <v>1838</v>
      </c>
      <c r="B475" s="5">
        <v>765</v>
      </c>
      <c r="C475" s="3" t="s">
        <v>2366</v>
      </c>
      <c r="D475" s="3" t="s">
        <v>881</v>
      </c>
      <c r="F475" t="str">
        <f t="shared" si="42"/>
        <v>TIMEZONE_MINUTE</v>
      </c>
      <c r="G475" t="s">
        <v>3832</v>
      </c>
      <c r="I475" s="3" t="str">
        <f>IF(_xlfn.XLOOKUP(F475,PgSqlRaw!B:B,PgSqlRaw!E:E,"") = "",_xlfn.XLOOKUP(G475,PgSqlRaw!B:B,PgSqlRaw!E:E,""),_xlfn.XLOOKUP(F475,PgSqlRaw!B:B,PgSqlRaw!E:E,""))</f>
        <v/>
      </c>
      <c r="J475" t="str">
        <f>IF(_xlfn.XLOOKUP(F475,PgSqlRaw!B:B,PgSqlRaw!F:F,"") = "", _xlfn.XLOOKUP(G475,PgSqlRaw!B:B,PgSqlRaw!F:F,""), _xlfn.XLOOKUP(F475,PgSqlRaw!B:B,PgSqlRaw!F:F,""))</f>
        <v/>
      </c>
      <c r="K475" t="str">
        <f t="shared" si="43"/>
        <v>BARE_LABEL</v>
      </c>
      <c r="L475" t="str">
        <f>IF(_xlfn.XLOOKUP(F475,PhpReserved!A:A,PhpReserved!B:B,"") = "", _xlfn.XLOOKUP(G475,PhpReserved!A:A,PhpReserved!B:B,""),_xlfn.XLOOKUP(F475,PhpReserved!A:A,PhpReserved!B:B,""))</f>
        <v/>
      </c>
      <c r="M475" t="str">
        <f>IF(_xlfn.XLOOKUP(F475,PhpFunctions!A:A,PhpFunctions!B:B,"") =  "", _xlfn.XLOOKUP(G475,PhpFunctions!A:A,PhpFunctions!B:B,""), _xlfn.XLOOKUP(F475,PhpFunctions!A:A,PhpFunctions!B:B,""))</f>
        <v/>
      </c>
      <c r="N475" t="str">
        <f>IF(_xlfn.XLOOKUP(F475,PhpParamFunc!A:A,PhpParamFunc!B:B,"") = "", _xlfn.XLOOKUP(G475,PhpParamFunc!A:A,PhpParamFunc!B:B,""), _xlfn.XLOOKUP(F475,PhpParamFunc!A:A,PhpParamFunc!B:B,""))</f>
        <v/>
      </c>
      <c r="O475" t="str">
        <f>IF(_xlfn.XLOOKUP(F475,PhpAggrFunc!A:A,PhpAggrFunc!B:B,"") = "", _xlfn.XLOOKUP(G475,PhpAggrFunc!A:A,PhpAggrFunc!B:B,""), _xlfn.XLOOKUP(F475,PhpAggrFunc!A:A,PhpAggrFunc!B:B,""))</f>
        <v/>
      </c>
      <c r="P475" t="str">
        <f t="shared" si="44"/>
        <v>UNRESERVED</v>
      </c>
      <c r="Q475" t="str">
        <f t="shared" si="45"/>
        <v>static const String^ TOK_TIMEZONE_MINUTE = "TIMEZONE_MINUTE";</v>
      </c>
      <c r="R475" t="str">
        <f t="shared" si="46"/>
        <v>static const int TOK_TIMEZONE_MINUTE = 765;</v>
      </c>
      <c r="S475" t="str">
        <f t="shared" si="47"/>
        <v>// _Tokens-&gt;Add((String^)GramVals::TOK_TIMEZONE_MINUTE, gcnew Token(GramKeys::TOK_TIMEZONE_MINUTE, EnumTokenCategory::UNRESERVED,BARE_LABEL, i++));</v>
      </c>
    </row>
    <row r="476" spans="1:19" x14ac:dyDescent="0.25">
      <c r="A476" s="3" t="s">
        <v>1839</v>
      </c>
      <c r="B476" s="5">
        <v>766</v>
      </c>
      <c r="C476" s="3" t="s">
        <v>2367</v>
      </c>
      <c r="D476" s="3" t="s">
        <v>2423</v>
      </c>
      <c r="F476" t="str">
        <f t="shared" si="42"/>
        <v>TIMEZONE_NAME</v>
      </c>
      <c r="G476" t="s">
        <v>3833</v>
      </c>
      <c r="I476" s="3" t="str">
        <f>IF(_xlfn.XLOOKUP(F476,PgSqlRaw!B:B,PgSqlRaw!E:E,"") = "",_xlfn.XLOOKUP(G476,PgSqlRaw!B:B,PgSqlRaw!E:E,""),_xlfn.XLOOKUP(F476,PgSqlRaw!B:B,PgSqlRaw!E:E,""))</f>
        <v/>
      </c>
      <c r="J476" t="str">
        <f>IF(_xlfn.XLOOKUP(F476,PgSqlRaw!B:B,PgSqlRaw!F:F,"") = "", _xlfn.XLOOKUP(G476,PgSqlRaw!B:B,PgSqlRaw!F:F,""), _xlfn.XLOOKUP(F476,PgSqlRaw!B:B,PgSqlRaw!F:F,""))</f>
        <v/>
      </c>
      <c r="K476" t="str">
        <f t="shared" si="43"/>
        <v>BARE_LABEL</v>
      </c>
      <c r="L476" t="str">
        <f>IF(_xlfn.XLOOKUP(F476,PhpReserved!A:A,PhpReserved!B:B,"") = "", _xlfn.XLOOKUP(G476,PhpReserved!A:A,PhpReserved!B:B,""),_xlfn.XLOOKUP(F476,PhpReserved!A:A,PhpReserved!B:B,""))</f>
        <v/>
      </c>
      <c r="M476" t="str">
        <f>IF(_xlfn.XLOOKUP(F476,PhpFunctions!A:A,PhpFunctions!B:B,"") =  "", _xlfn.XLOOKUP(G476,PhpFunctions!A:A,PhpFunctions!B:B,""), _xlfn.XLOOKUP(F476,PhpFunctions!A:A,PhpFunctions!B:B,""))</f>
        <v/>
      </c>
      <c r="N476" t="str">
        <f>IF(_xlfn.XLOOKUP(F476,PhpParamFunc!A:A,PhpParamFunc!B:B,"") = "", _xlfn.XLOOKUP(G476,PhpParamFunc!A:A,PhpParamFunc!B:B,""), _xlfn.XLOOKUP(F476,PhpParamFunc!A:A,PhpParamFunc!B:B,""))</f>
        <v/>
      </c>
      <c r="O476" t="str">
        <f>IF(_xlfn.XLOOKUP(F476,PhpAggrFunc!A:A,PhpAggrFunc!B:B,"") = "", _xlfn.XLOOKUP(G476,PhpAggrFunc!A:A,PhpAggrFunc!B:B,""), _xlfn.XLOOKUP(F476,PhpAggrFunc!A:A,PhpAggrFunc!B:B,""))</f>
        <v/>
      </c>
      <c r="P476" t="str">
        <f t="shared" si="44"/>
        <v>UNRESERVED</v>
      </c>
      <c r="Q476" t="str">
        <f t="shared" si="45"/>
        <v>static const String^ TOK_TIMEZONE_NAME = "TIMEZONE_NAME";</v>
      </c>
      <c r="R476" t="str">
        <f t="shared" si="46"/>
        <v>static const int TOK_TIMEZONE_NAME = 766;</v>
      </c>
      <c r="S476" t="str">
        <f t="shared" si="47"/>
        <v>// _Tokens-&gt;Add((String^)GramVals::TOK_TIMEZONE_NAME, gcnew Token(GramKeys::TOK_TIMEZONE_NAME, EnumTokenCategory::UNRESERVED,BARE_LABEL, i++));</v>
      </c>
    </row>
    <row r="477" spans="1:19" x14ac:dyDescent="0.25">
      <c r="A477" s="3" t="s">
        <v>1840</v>
      </c>
      <c r="B477" s="5" t="s">
        <v>1341</v>
      </c>
      <c r="C477" s="3" t="s">
        <v>2368</v>
      </c>
      <c r="D477" s="3" t="s">
        <v>881</v>
      </c>
      <c r="F477" t="str">
        <f t="shared" si="42"/>
        <v>TO</v>
      </c>
      <c r="G477" t="s">
        <v>3266</v>
      </c>
      <c r="I477" s="3" t="str">
        <f>IF(_xlfn.XLOOKUP(F477,PgSqlRaw!B:B,PgSqlRaw!E:E,"") = "",_xlfn.XLOOKUP(G477,PgSqlRaw!B:B,PgSqlRaw!E:E,""),_xlfn.XLOOKUP(F477,PgSqlRaw!B:B,PgSqlRaw!E:E,""))</f>
        <v>RESERVED</v>
      </c>
      <c r="J477" t="str">
        <f>IF(_xlfn.XLOOKUP(F477,PgSqlRaw!B:B,PgSqlRaw!F:F,"") = "", _xlfn.XLOOKUP(G477,PgSqlRaw!B:B,PgSqlRaw!F:F,""), _xlfn.XLOOKUP(F477,PgSqlRaw!B:B,PgSqlRaw!F:F,""))</f>
        <v>AS_LABEL</v>
      </c>
      <c r="K477" t="str">
        <f t="shared" si="43"/>
        <v>AS_LABEL</v>
      </c>
      <c r="L477" t="str">
        <f>IF(_xlfn.XLOOKUP(F477,PhpReserved!A:A,PhpReserved!B:B,"") = "", _xlfn.XLOOKUP(G477,PhpReserved!A:A,PhpReserved!B:B,""),_xlfn.XLOOKUP(F477,PhpReserved!A:A,PhpReserved!B:B,""))</f>
        <v>RESERVED</v>
      </c>
      <c r="M477" t="str">
        <f>IF(_xlfn.XLOOKUP(F477,PhpFunctions!A:A,PhpFunctions!B:B,"") =  "", _xlfn.XLOOKUP(G477,PhpFunctions!A:A,PhpFunctions!B:B,""), _xlfn.XLOOKUP(F477,PhpFunctions!A:A,PhpFunctions!B:B,""))</f>
        <v/>
      </c>
      <c r="N477" t="str">
        <f>IF(_xlfn.XLOOKUP(F477,PhpParamFunc!A:A,PhpParamFunc!B:B,"") = "", _xlfn.XLOOKUP(G477,PhpParamFunc!A:A,PhpParamFunc!B:B,""), _xlfn.XLOOKUP(F477,PhpParamFunc!A:A,PhpParamFunc!B:B,""))</f>
        <v/>
      </c>
      <c r="O477" t="str">
        <f>IF(_xlfn.XLOOKUP(F477,PhpAggrFunc!A:A,PhpAggrFunc!B:B,"") = "", _xlfn.XLOOKUP(G477,PhpAggrFunc!A:A,PhpAggrFunc!B:B,""), _xlfn.XLOOKUP(F477,PhpAggrFunc!A:A,PhpAggrFunc!B:B,""))</f>
        <v/>
      </c>
      <c r="P477" t="str">
        <f t="shared" si="44"/>
        <v>RESERVED</v>
      </c>
      <c r="Q477" t="str">
        <f t="shared" si="45"/>
        <v>static const String^ TOK_TO = "TO";</v>
      </c>
      <c r="R477" t="str">
        <f t="shared" si="46"/>
        <v>static const int TOK_TO = 419;</v>
      </c>
      <c r="S477" t="str">
        <f t="shared" si="47"/>
        <v>_Tokens-&gt;Add((String^)GramVals::TOK_TO, gcnew Token(GramKeys::TOK_TO, EnumTokenCategory::RESERVED,AS_LABEL, i++));</v>
      </c>
    </row>
    <row r="478" spans="1:19" x14ac:dyDescent="0.25">
      <c r="A478" s="3" t="s">
        <v>1841</v>
      </c>
      <c r="B478" s="5">
        <v>767</v>
      </c>
      <c r="C478" s="3" t="s">
        <v>2369</v>
      </c>
      <c r="D478" s="3" t="s">
        <v>2423</v>
      </c>
      <c r="F478" t="str">
        <f t="shared" si="42"/>
        <v>TOTALORDER</v>
      </c>
      <c r="G478" t="s">
        <v>3834</v>
      </c>
      <c r="I478" s="3" t="str">
        <f>IF(_xlfn.XLOOKUP(F478,PgSqlRaw!B:B,PgSqlRaw!E:E,"") = "",_xlfn.XLOOKUP(G478,PgSqlRaw!B:B,PgSqlRaw!E:E,""),_xlfn.XLOOKUP(F478,PgSqlRaw!B:B,PgSqlRaw!E:E,""))</f>
        <v/>
      </c>
      <c r="J478" t="str">
        <f>IF(_xlfn.XLOOKUP(F478,PgSqlRaw!B:B,PgSqlRaw!F:F,"") = "", _xlfn.XLOOKUP(G478,PgSqlRaw!B:B,PgSqlRaw!F:F,""), _xlfn.XLOOKUP(F478,PgSqlRaw!B:B,PgSqlRaw!F:F,""))</f>
        <v/>
      </c>
      <c r="K478" t="str">
        <f t="shared" si="43"/>
        <v>BARE_LABEL</v>
      </c>
      <c r="L478" t="str">
        <f>IF(_xlfn.XLOOKUP(F478,PhpReserved!A:A,PhpReserved!B:B,"") = "", _xlfn.XLOOKUP(G478,PhpReserved!A:A,PhpReserved!B:B,""),_xlfn.XLOOKUP(F478,PhpReserved!A:A,PhpReserved!B:B,""))</f>
        <v/>
      </c>
      <c r="M478" t="str">
        <f>IF(_xlfn.XLOOKUP(F478,PhpFunctions!A:A,PhpFunctions!B:B,"") =  "", _xlfn.XLOOKUP(G478,PhpFunctions!A:A,PhpFunctions!B:B,""), _xlfn.XLOOKUP(F478,PhpFunctions!A:A,PhpFunctions!B:B,""))</f>
        <v/>
      </c>
      <c r="N478" t="str">
        <f>IF(_xlfn.XLOOKUP(F478,PhpParamFunc!A:A,PhpParamFunc!B:B,"") = "", _xlfn.XLOOKUP(G478,PhpParamFunc!A:A,PhpParamFunc!B:B,""), _xlfn.XLOOKUP(F478,PhpParamFunc!A:A,PhpParamFunc!B:B,""))</f>
        <v/>
      </c>
      <c r="O478" t="str">
        <f>IF(_xlfn.XLOOKUP(F478,PhpAggrFunc!A:A,PhpAggrFunc!B:B,"") = "", _xlfn.XLOOKUP(G478,PhpAggrFunc!A:A,PhpAggrFunc!B:B,""), _xlfn.XLOOKUP(F478,PhpAggrFunc!A:A,PhpAggrFunc!B:B,""))</f>
        <v/>
      </c>
      <c r="P478" t="str">
        <f t="shared" si="44"/>
        <v>UNRESERVED</v>
      </c>
      <c r="Q478" t="str">
        <f t="shared" si="45"/>
        <v>static const String^ TOK_TOTALORDER = "TOTALORDER";</v>
      </c>
      <c r="R478" t="str">
        <f t="shared" si="46"/>
        <v>static const int TOK_TOTALORDER = 767;</v>
      </c>
      <c r="S478" t="str">
        <f t="shared" si="47"/>
        <v>// _Tokens-&gt;Add((String^)GramVals::TOK_TOTALORDER, gcnew Token(GramKeys::TOK_TOTALORDER, EnumTokenCategory::UNRESERVED,BARE_LABEL, i++));</v>
      </c>
    </row>
    <row r="479" spans="1:19" x14ac:dyDescent="0.25">
      <c r="A479" s="3" t="s">
        <v>1842</v>
      </c>
      <c r="B479" s="5" t="s">
        <v>1342</v>
      </c>
      <c r="C479" s="3" t="s">
        <v>2370</v>
      </c>
      <c r="D479" s="3" t="s">
        <v>881</v>
      </c>
      <c r="F479" t="str">
        <f t="shared" si="42"/>
        <v>TRAILING</v>
      </c>
      <c r="G479" t="s">
        <v>3267</v>
      </c>
      <c r="I479" s="3" t="str">
        <f>IF(_xlfn.XLOOKUP(F479,PgSqlRaw!B:B,PgSqlRaw!E:E,"") = "",_xlfn.XLOOKUP(G479,PgSqlRaw!B:B,PgSqlRaw!E:E,""),_xlfn.XLOOKUP(F479,PgSqlRaw!B:B,PgSqlRaw!E:E,""))</f>
        <v>RESERVED</v>
      </c>
      <c r="J479" t="str">
        <f>IF(_xlfn.XLOOKUP(F479,PgSqlRaw!B:B,PgSqlRaw!F:F,"") = "", _xlfn.XLOOKUP(G479,PgSqlRaw!B:B,PgSqlRaw!F:F,""), _xlfn.XLOOKUP(F479,PgSqlRaw!B:B,PgSqlRaw!F:F,""))</f>
        <v>BARE_LABEL</v>
      </c>
      <c r="K479" t="str">
        <f t="shared" si="43"/>
        <v>BARE_LABEL</v>
      </c>
      <c r="L479" t="str">
        <f>IF(_xlfn.XLOOKUP(F479,PhpReserved!A:A,PhpReserved!B:B,"") = "", _xlfn.XLOOKUP(G479,PhpReserved!A:A,PhpReserved!B:B,""),_xlfn.XLOOKUP(F479,PhpReserved!A:A,PhpReserved!B:B,""))</f>
        <v>RESERVED</v>
      </c>
      <c r="M479" t="str">
        <f>IF(_xlfn.XLOOKUP(F479,PhpFunctions!A:A,PhpFunctions!B:B,"") =  "", _xlfn.XLOOKUP(G479,PhpFunctions!A:A,PhpFunctions!B:B,""), _xlfn.XLOOKUP(F479,PhpFunctions!A:A,PhpFunctions!B:B,""))</f>
        <v/>
      </c>
      <c r="N479" t="str">
        <f>IF(_xlfn.XLOOKUP(F479,PhpParamFunc!A:A,PhpParamFunc!B:B,"") = "", _xlfn.XLOOKUP(G479,PhpParamFunc!A:A,PhpParamFunc!B:B,""), _xlfn.XLOOKUP(F479,PhpParamFunc!A:A,PhpParamFunc!B:B,""))</f>
        <v/>
      </c>
      <c r="O479" t="str">
        <f>IF(_xlfn.XLOOKUP(F479,PhpAggrFunc!A:A,PhpAggrFunc!B:B,"") = "", _xlfn.XLOOKUP(G479,PhpAggrFunc!A:A,PhpAggrFunc!B:B,""), _xlfn.XLOOKUP(F479,PhpAggrFunc!A:A,PhpAggrFunc!B:B,""))</f>
        <v/>
      </c>
      <c r="P479" t="str">
        <f t="shared" si="44"/>
        <v>RESERVED</v>
      </c>
      <c r="Q479" t="str">
        <f t="shared" si="45"/>
        <v>static const String^ TOK_TRAILING = "TRAILING";</v>
      </c>
      <c r="R479" t="str">
        <f t="shared" si="46"/>
        <v>static const int TOK_TRAILING = 517;</v>
      </c>
      <c r="S479" t="str">
        <f t="shared" si="47"/>
        <v>_Tokens-&gt;Add((String^)GramVals::TOK_TRAILING, gcnew Token(GramKeys::TOK_TRAILING, EnumTokenCategory::RESERVED,BARE_LABEL, i++));</v>
      </c>
    </row>
    <row r="480" spans="1:19" x14ac:dyDescent="0.25">
      <c r="A480" s="3" t="s">
        <v>1843</v>
      </c>
      <c r="B480" s="5" t="s">
        <v>1343</v>
      </c>
      <c r="C480" s="3" t="s">
        <v>2371</v>
      </c>
      <c r="D480" s="3" t="s">
        <v>2423</v>
      </c>
      <c r="F480" t="str">
        <f t="shared" si="42"/>
        <v>TRANSACTION</v>
      </c>
      <c r="G480" t="s">
        <v>3574</v>
      </c>
      <c r="I480" s="3" t="str">
        <f>IF(_xlfn.XLOOKUP(F480,PgSqlRaw!B:B,PgSqlRaw!E:E,"") = "",_xlfn.XLOOKUP(G480,PgSqlRaw!B:B,PgSqlRaw!E:E,""),_xlfn.XLOOKUP(F480,PgSqlRaw!B:B,PgSqlRaw!E:E,""))</f>
        <v/>
      </c>
      <c r="J480" t="str">
        <f>IF(_xlfn.XLOOKUP(F480,PgSqlRaw!B:B,PgSqlRaw!F:F,"") = "", _xlfn.XLOOKUP(G480,PgSqlRaw!B:B,PgSqlRaw!F:F,""), _xlfn.XLOOKUP(F480,PgSqlRaw!B:B,PgSqlRaw!F:F,""))</f>
        <v>BARE_LABEL</v>
      </c>
      <c r="K480" t="str">
        <f t="shared" si="43"/>
        <v>BARE_LABEL</v>
      </c>
      <c r="L480" t="str">
        <f>IF(_xlfn.XLOOKUP(F480,PhpReserved!A:A,PhpReserved!B:B,"") = "", _xlfn.XLOOKUP(G480,PhpReserved!A:A,PhpReserved!B:B,""),_xlfn.XLOOKUP(F480,PhpReserved!A:A,PhpReserved!B:B,""))</f>
        <v/>
      </c>
      <c r="M480" t="str">
        <f>IF(_xlfn.XLOOKUP(F480,PhpFunctions!A:A,PhpFunctions!B:B,"") =  "", _xlfn.XLOOKUP(G480,PhpFunctions!A:A,PhpFunctions!B:B,""), _xlfn.XLOOKUP(F480,PhpFunctions!A:A,PhpFunctions!B:B,""))</f>
        <v/>
      </c>
      <c r="N480" t="str">
        <f>IF(_xlfn.XLOOKUP(F480,PhpParamFunc!A:A,PhpParamFunc!B:B,"") = "", _xlfn.XLOOKUP(G480,PhpParamFunc!A:A,PhpParamFunc!B:B,""), _xlfn.XLOOKUP(F480,PhpParamFunc!A:A,PhpParamFunc!B:B,""))</f>
        <v/>
      </c>
      <c r="O480" t="str">
        <f>IF(_xlfn.XLOOKUP(F480,PhpAggrFunc!A:A,PhpAggrFunc!B:B,"") = "", _xlfn.XLOOKUP(G480,PhpAggrFunc!A:A,PhpAggrFunc!B:B,""), _xlfn.XLOOKUP(F480,PhpAggrFunc!A:A,PhpAggrFunc!B:B,""))</f>
        <v/>
      </c>
      <c r="P480" t="str">
        <f t="shared" si="44"/>
        <v>UNRESERVED</v>
      </c>
      <c r="Q480" t="str">
        <f t="shared" si="45"/>
        <v>static const String^ TOK_TRANSACTION = "TRANSACTION";</v>
      </c>
      <c r="R480" t="str">
        <f t="shared" si="46"/>
        <v>static const int TOK_TRANSACTION = 420;</v>
      </c>
      <c r="S480" t="str">
        <f t="shared" si="47"/>
        <v>// _Tokens-&gt;Add((String^)GramVals::TOK_TRANSACTION, gcnew Token(GramKeys::TOK_TRANSACTION, EnumTokenCategory::UNRESERVED,BARE_LABEL, i++));</v>
      </c>
    </row>
    <row r="481" spans="1:19" x14ac:dyDescent="0.25">
      <c r="A481" s="3" t="s">
        <v>1844</v>
      </c>
      <c r="B481" s="5">
        <v>768</v>
      </c>
      <c r="C481" s="3" t="s">
        <v>2372</v>
      </c>
      <c r="D481" s="3" t="s">
        <v>2423</v>
      </c>
      <c r="F481" t="str">
        <f t="shared" si="42"/>
        <v>TRAPS</v>
      </c>
      <c r="G481" t="s">
        <v>3835</v>
      </c>
      <c r="I481" s="3" t="str">
        <f>IF(_xlfn.XLOOKUP(F481,PgSqlRaw!B:B,PgSqlRaw!E:E,"") = "",_xlfn.XLOOKUP(G481,PgSqlRaw!B:B,PgSqlRaw!E:E,""),_xlfn.XLOOKUP(F481,PgSqlRaw!B:B,PgSqlRaw!E:E,""))</f>
        <v/>
      </c>
      <c r="J481" t="str">
        <f>IF(_xlfn.XLOOKUP(F481,PgSqlRaw!B:B,PgSqlRaw!F:F,"") = "", _xlfn.XLOOKUP(G481,PgSqlRaw!B:B,PgSqlRaw!F:F,""), _xlfn.XLOOKUP(F481,PgSqlRaw!B:B,PgSqlRaw!F:F,""))</f>
        <v/>
      </c>
      <c r="K481" t="str">
        <f t="shared" si="43"/>
        <v>BARE_LABEL</v>
      </c>
      <c r="L481" t="str">
        <f>IF(_xlfn.XLOOKUP(F481,PhpReserved!A:A,PhpReserved!B:B,"") = "", _xlfn.XLOOKUP(G481,PhpReserved!A:A,PhpReserved!B:B,""),_xlfn.XLOOKUP(F481,PhpReserved!A:A,PhpReserved!B:B,""))</f>
        <v/>
      </c>
      <c r="M481" t="str">
        <f>IF(_xlfn.XLOOKUP(F481,PhpFunctions!A:A,PhpFunctions!B:B,"") =  "", _xlfn.XLOOKUP(G481,PhpFunctions!A:A,PhpFunctions!B:B,""), _xlfn.XLOOKUP(F481,PhpFunctions!A:A,PhpFunctions!B:B,""))</f>
        <v/>
      </c>
      <c r="N481" t="str">
        <f>IF(_xlfn.XLOOKUP(F481,PhpParamFunc!A:A,PhpParamFunc!B:B,"") = "", _xlfn.XLOOKUP(G481,PhpParamFunc!A:A,PhpParamFunc!B:B,""), _xlfn.XLOOKUP(F481,PhpParamFunc!A:A,PhpParamFunc!B:B,""))</f>
        <v/>
      </c>
      <c r="O481" t="str">
        <f>IF(_xlfn.XLOOKUP(F481,PhpAggrFunc!A:A,PhpAggrFunc!B:B,"") = "", _xlfn.XLOOKUP(G481,PhpAggrFunc!A:A,PhpAggrFunc!B:B,""), _xlfn.XLOOKUP(F481,PhpAggrFunc!A:A,PhpAggrFunc!B:B,""))</f>
        <v/>
      </c>
      <c r="P481" t="str">
        <f t="shared" si="44"/>
        <v>UNRESERVED</v>
      </c>
      <c r="Q481" t="str">
        <f t="shared" si="45"/>
        <v>static const String^ TOK_TRAPS = "TRAPS";</v>
      </c>
      <c r="R481" t="str">
        <f t="shared" si="46"/>
        <v>static const int TOK_TRAPS = 768;</v>
      </c>
      <c r="S481" t="str">
        <f t="shared" si="47"/>
        <v>// _Tokens-&gt;Add((String^)GramVals::TOK_TRAPS, gcnew Token(GramKeys::TOK_TRAPS, EnumTokenCategory::UNRESERVED,BARE_LABEL, i++));</v>
      </c>
    </row>
    <row r="482" spans="1:19" x14ac:dyDescent="0.25">
      <c r="A482" s="3" t="s">
        <v>1845</v>
      </c>
      <c r="B482" s="5" t="s">
        <v>1344</v>
      </c>
      <c r="C482" s="3" t="s">
        <v>2373</v>
      </c>
      <c r="D482" s="3" t="s">
        <v>881</v>
      </c>
      <c r="F482" t="str">
        <f t="shared" si="42"/>
        <v>TRIGGER</v>
      </c>
      <c r="G482" t="s">
        <v>3577</v>
      </c>
      <c r="I482" s="3" t="str">
        <f>IF(_xlfn.XLOOKUP(F482,PgSqlRaw!B:B,PgSqlRaw!E:E,"") = "",_xlfn.XLOOKUP(G482,PgSqlRaw!B:B,PgSqlRaw!E:E,""),_xlfn.XLOOKUP(F482,PgSqlRaw!B:B,PgSqlRaw!E:E,""))</f>
        <v/>
      </c>
      <c r="J482" t="str">
        <f>IF(_xlfn.XLOOKUP(F482,PgSqlRaw!B:B,PgSqlRaw!F:F,"") = "", _xlfn.XLOOKUP(G482,PgSqlRaw!B:B,PgSqlRaw!F:F,""), _xlfn.XLOOKUP(F482,PgSqlRaw!B:B,PgSqlRaw!F:F,""))</f>
        <v>BARE_LABEL</v>
      </c>
      <c r="K482" t="str">
        <f t="shared" si="43"/>
        <v>BARE_LABEL</v>
      </c>
      <c r="L482" t="str">
        <f>IF(_xlfn.XLOOKUP(F482,PhpReserved!A:A,PhpReserved!B:B,"") = "", _xlfn.XLOOKUP(G482,PhpReserved!A:A,PhpReserved!B:B,""),_xlfn.XLOOKUP(F482,PhpReserved!A:A,PhpReserved!B:B,""))</f>
        <v/>
      </c>
      <c r="M482" t="str">
        <f>IF(_xlfn.XLOOKUP(F482,PhpFunctions!A:A,PhpFunctions!B:B,"") =  "", _xlfn.XLOOKUP(G482,PhpFunctions!A:A,PhpFunctions!B:B,""), _xlfn.XLOOKUP(F482,PhpFunctions!A:A,PhpFunctions!B:B,""))</f>
        <v/>
      </c>
      <c r="N482" t="str">
        <f>IF(_xlfn.XLOOKUP(F482,PhpParamFunc!A:A,PhpParamFunc!B:B,"") = "", _xlfn.XLOOKUP(G482,PhpParamFunc!A:A,PhpParamFunc!B:B,""), _xlfn.XLOOKUP(F482,PhpParamFunc!A:A,PhpParamFunc!B:B,""))</f>
        <v/>
      </c>
      <c r="O482" t="str">
        <f>IF(_xlfn.XLOOKUP(F482,PhpAggrFunc!A:A,PhpAggrFunc!B:B,"") = "", _xlfn.XLOOKUP(G482,PhpAggrFunc!A:A,PhpAggrFunc!B:B,""), _xlfn.XLOOKUP(F482,PhpAggrFunc!A:A,PhpAggrFunc!B:B,""))</f>
        <v/>
      </c>
      <c r="P482" t="str">
        <f t="shared" si="44"/>
        <v>UNRESERVED</v>
      </c>
      <c r="Q482" t="str">
        <f t="shared" si="45"/>
        <v>static const String^ TOK_TRIGGER = "TRIGGER";</v>
      </c>
      <c r="R482" t="str">
        <f t="shared" si="46"/>
        <v>static const int TOK_TRIGGER = 421;</v>
      </c>
      <c r="S482" t="str">
        <f t="shared" si="47"/>
        <v>// _Tokens-&gt;Add((String^)GramVals::TOK_TRIGGER, gcnew Token(GramKeys::TOK_TRIGGER, EnumTokenCategory::UNRESERVED,BARE_LABEL, i++));</v>
      </c>
    </row>
    <row r="483" spans="1:19" x14ac:dyDescent="0.25">
      <c r="A483" s="3" t="s">
        <v>1846</v>
      </c>
      <c r="B483" s="5" t="s">
        <v>1345</v>
      </c>
      <c r="C483" s="3" t="s">
        <v>2374</v>
      </c>
      <c r="D483" s="3" t="s">
        <v>881</v>
      </c>
      <c r="F483" t="str">
        <f t="shared" si="42"/>
        <v>TRIM</v>
      </c>
      <c r="G483" t="s">
        <v>3061</v>
      </c>
      <c r="I483" s="3" t="str">
        <f>IF(_xlfn.XLOOKUP(F483,PgSqlRaw!B:B,PgSqlRaw!E:E,"") = "",_xlfn.XLOOKUP(G483,PgSqlRaw!B:B,PgSqlRaw!E:E,""),_xlfn.XLOOKUP(F483,PgSqlRaw!B:B,PgSqlRaw!E:E,""))</f>
        <v>COLNAME_KEYWORD</v>
      </c>
      <c r="J483" t="str">
        <f>IF(_xlfn.XLOOKUP(F483,PgSqlRaw!B:B,PgSqlRaw!F:F,"") = "", _xlfn.XLOOKUP(G483,PgSqlRaw!B:B,PgSqlRaw!F:F,""), _xlfn.XLOOKUP(F483,PgSqlRaw!B:B,PgSqlRaw!F:F,""))</f>
        <v>BARE_LABEL</v>
      </c>
      <c r="K483" t="str">
        <f t="shared" si="43"/>
        <v>BARE_LABEL</v>
      </c>
      <c r="L483" t="str">
        <f>IF(_xlfn.XLOOKUP(F483,PhpReserved!A:A,PhpReserved!B:B,"") = "", _xlfn.XLOOKUP(G483,PhpReserved!A:A,PhpReserved!B:B,""),_xlfn.XLOOKUP(F483,PhpReserved!A:A,PhpReserved!B:B,""))</f>
        <v>RESERVED</v>
      </c>
      <c r="M483" t="str">
        <f>IF(_xlfn.XLOOKUP(F483,PhpFunctions!A:A,PhpFunctions!B:B,"") =  "", _xlfn.XLOOKUP(G483,PhpFunctions!A:A,PhpFunctions!B:B,""), _xlfn.XLOOKUP(F483,PhpFunctions!A:A,PhpFunctions!B:B,""))</f>
        <v>FUNCTION</v>
      </c>
      <c r="N483" t="str">
        <f>IF(_xlfn.XLOOKUP(F483,PhpParamFunc!A:A,PhpParamFunc!B:B,"") = "", _xlfn.XLOOKUP(G483,PhpParamFunc!A:A,PhpParamFunc!B:B,""), _xlfn.XLOOKUP(F483,PhpParamFunc!A:A,PhpParamFunc!B:B,""))</f>
        <v>PARAM_FUNCTION</v>
      </c>
      <c r="O483" t="str">
        <f>IF(_xlfn.XLOOKUP(F483,PhpAggrFunc!A:A,PhpAggrFunc!B:B,"") = "", _xlfn.XLOOKUP(G483,PhpAggrFunc!A:A,PhpAggrFunc!B:B,""), _xlfn.XLOOKUP(F483,PhpAggrFunc!A:A,PhpAggrFunc!B:B,""))</f>
        <v/>
      </c>
      <c r="P483" t="str">
        <f t="shared" si="44"/>
        <v>PARAM_FUNCTION</v>
      </c>
      <c r="Q483" t="str">
        <f t="shared" si="45"/>
        <v>static const String^ TOK_TRIM = "TRIM";</v>
      </c>
      <c r="R483" t="str">
        <f t="shared" si="46"/>
        <v>static const int TOK_TRIM = 518;</v>
      </c>
      <c r="S483" t="str">
        <f t="shared" si="47"/>
        <v>_Tokens-&gt;Add((String^)GramVals::TOK_TRIM, gcnew Token(GramKeys::TOK_TRIM, EnumTokenCategory::PARAM_FUNCTION,BARE_LABEL, i++));</v>
      </c>
    </row>
    <row r="484" spans="1:19" x14ac:dyDescent="0.25">
      <c r="A484" s="3" t="s">
        <v>1847</v>
      </c>
      <c r="B484" s="5" t="s">
        <v>1346</v>
      </c>
      <c r="C484" s="3" t="s">
        <v>2375</v>
      </c>
      <c r="D484" s="3" t="s">
        <v>881</v>
      </c>
      <c r="F484" t="str">
        <f t="shared" si="42"/>
        <v>TRUE</v>
      </c>
      <c r="G484" t="s">
        <v>3578</v>
      </c>
      <c r="I484" s="3" t="str">
        <f>IF(_xlfn.XLOOKUP(F484,PgSqlRaw!B:B,PgSqlRaw!E:E,"") = "",_xlfn.XLOOKUP(G484,PgSqlRaw!B:B,PgSqlRaw!E:E,""),_xlfn.XLOOKUP(F484,PgSqlRaw!B:B,PgSqlRaw!E:E,""))</f>
        <v>RESERVED</v>
      </c>
      <c r="J484" t="str">
        <f>IF(_xlfn.XLOOKUP(F484,PgSqlRaw!B:B,PgSqlRaw!F:F,"") = "", _xlfn.XLOOKUP(G484,PgSqlRaw!B:B,PgSqlRaw!F:F,""), _xlfn.XLOOKUP(F484,PgSqlRaw!B:B,PgSqlRaw!F:F,""))</f>
        <v>BARE_LABEL</v>
      </c>
      <c r="K484" t="str">
        <f t="shared" si="43"/>
        <v>BARE_LABEL</v>
      </c>
      <c r="L484" t="str">
        <f>IF(_xlfn.XLOOKUP(F484,PhpReserved!A:A,PhpReserved!B:B,"") = "", _xlfn.XLOOKUP(G484,PhpReserved!A:A,PhpReserved!B:B,""),_xlfn.XLOOKUP(F484,PhpReserved!A:A,PhpReserved!B:B,""))</f>
        <v/>
      </c>
      <c r="M484" t="str">
        <f>IF(_xlfn.XLOOKUP(F484,PhpFunctions!A:A,PhpFunctions!B:B,"") =  "", _xlfn.XLOOKUP(G484,PhpFunctions!A:A,PhpFunctions!B:B,""), _xlfn.XLOOKUP(F484,PhpFunctions!A:A,PhpFunctions!B:B,""))</f>
        <v/>
      </c>
      <c r="N484" t="str">
        <f>IF(_xlfn.XLOOKUP(F484,PhpParamFunc!A:A,PhpParamFunc!B:B,"") = "", _xlfn.XLOOKUP(G484,PhpParamFunc!A:A,PhpParamFunc!B:B,""), _xlfn.XLOOKUP(F484,PhpParamFunc!A:A,PhpParamFunc!B:B,""))</f>
        <v/>
      </c>
      <c r="O484" t="str">
        <f>IF(_xlfn.XLOOKUP(F484,PhpAggrFunc!A:A,PhpAggrFunc!B:B,"") = "", _xlfn.XLOOKUP(G484,PhpAggrFunc!A:A,PhpAggrFunc!B:B,""), _xlfn.XLOOKUP(F484,PhpAggrFunc!A:A,PhpAggrFunc!B:B,""))</f>
        <v/>
      </c>
      <c r="P484" t="str">
        <f t="shared" si="44"/>
        <v>RESERVED</v>
      </c>
      <c r="Q484" t="str">
        <f t="shared" si="45"/>
        <v>static const String^ TOK_TRUE = "TRUE";</v>
      </c>
      <c r="R484" t="str">
        <f t="shared" si="46"/>
        <v>static const int TOK_TRUE = 640;</v>
      </c>
      <c r="S484" t="str">
        <f t="shared" si="47"/>
        <v>_Tokens-&gt;Add((String^)GramVals::TOK_TRUE, gcnew Token(GramKeys::TOK_TRUE, EnumTokenCategory::RESERVED,BARE_LABEL, i++));</v>
      </c>
    </row>
    <row r="485" spans="1:19" x14ac:dyDescent="0.25">
      <c r="A485" s="3" t="s">
        <v>1848</v>
      </c>
      <c r="B485" s="5" t="s">
        <v>1347</v>
      </c>
      <c r="C485" s="3" t="s">
        <v>2376</v>
      </c>
      <c r="D485" s="3" t="s">
        <v>2423</v>
      </c>
      <c r="F485" t="str">
        <f t="shared" si="42"/>
        <v>TRUNC</v>
      </c>
      <c r="G485" t="s">
        <v>3836</v>
      </c>
      <c r="I485" s="3" t="str">
        <f>IF(_xlfn.XLOOKUP(F485,PgSqlRaw!B:B,PgSqlRaw!E:E,"") = "",_xlfn.XLOOKUP(G485,PgSqlRaw!B:B,PgSqlRaw!E:E,""),_xlfn.XLOOKUP(F485,PgSqlRaw!B:B,PgSqlRaw!E:E,""))</f>
        <v/>
      </c>
      <c r="J485" t="str">
        <f>IF(_xlfn.XLOOKUP(F485,PgSqlRaw!B:B,PgSqlRaw!F:F,"") = "", _xlfn.XLOOKUP(G485,PgSqlRaw!B:B,PgSqlRaw!F:F,""), _xlfn.XLOOKUP(F485,PgSqlRaw!B:B,PgSqlRaw!F:F,""))</f>
        <v/>
      </c>
      <c r="K485" t="str">
        <f t="shared" si="43"/>
        <v>BARE_LABEL</v>
      </c>
      <c r="L485" t="str">
        <f>IF(_xlfn.XLOOKUP(F485,PhpReserved!A:A,PhpReserved!B:B,"") = "", _xlfn.XLOOKUP(G485,PhpReserved!A:A,PhpReserved!B:B,""),_xlfn.XLOOKUP(F485,PhpReserved!A:A,PhpReserved!B:B,""))</f>
        <v/>
      </c>
      <c r="M485" t="str">
        <f>IF(_xlfn.XLOOKUP(F485,PhpFunctions!A:A,PhpFunctions!B:B,"") =  "", _xlfn.XLOOKUP(G485,PhpFunctions!A:A,PhpFunctions!B:B,""), _xlfn.XLOOKUP(F485,PhpFunctions!A:A,PhpFunctions!B:B,""))</f>
        <v/>
      </c>
      <c r="N485" t="str">
        <f>IF(_xlfn.XLOOKUP(F485,PhpParamFunc!A:A,PhpParamFunc!B:B,"") = "", _xlfn.XLOOKUP(G485,PhpParamFunc!A:A,PhpParamFunc!B:B,""), _xlfn.XLOOKUP(F485,PhpParamFunc!A:A,PhpParamFunc!B:B,""))</f>
        <v/>
      </c>
      <c r="O485" t="str">
        <f>IF(_xlfn.XLOOKUP(F485,PhpAggrFunc!A:A,PhpAggrFunc!B:B,"") = "", _xlfn.XLOOKUP(G485,PhpAggrFunc!A:A,PhpAggrFunc!B:B,""), _xlfn.XLOOKUP(F485,PhpAggrFunc!A:A,PhpAggrFunc!B:B,""))</f>
        <v/>
      </c>
      <c r="P485" t="str">
        <f t="shared" si="44"/>
        <v>UNRESERVED</v>
      </c>
      <c r="Q485" t="str">
        <f t="shared" si="45"/>
        <v>static const String^ TOK_TRUNC = "TRUNC";</v>
      </c>
      <c r="R485" t="str">
        <f t="shared" si="46"/>
        <v>static const int TOK_TRUNC = 588;</v>
      </c>
      <c r="S485" t="str">
        <f t="shared" si="47"/>
        <v>// _Tokens-&gt;Add((String^)GramVals::TOK_TRUNC, gcnew Token(GramKeys::TOK_TRUNC, EnumTokenCategory::UNRESERVED,BARE_LABEL, i++));</v>
      </c>
    </row>
    <row r="486" spans="1:19" x14ac:dyDescent="0.25">
      <c r="A486" s="3" t="s">
        <v>1849</v>
      </c>
      <c r="B486" s="5">
        <v>769</v>
      </c>
      <c r="C486" s="3" t="s">
        <v>2377</v>
      </c>
      <c r="D486" s="3" t="s">
        <v>2423</v>
      </c>
      <c r="F486" t="str">
        <f t="shared" si="42"/>
        <v>TRUSTED</v>
      </c>
      <c r="G486" t="s">
        <v>3579</v>
      </c>
      <c r="I486" s="3" t="str">
        <f>IF(_xlfn.XLOOKUP(F486,PgSqlRaw!B:B,PgSqlRaw!E:E,"") = "",_xlfn.XLOOKUP(G486,PgSqlRaw!B:B,PgSqlRaw!E:E,""),_xlfn.XLOOKUP(F486,PgSqlRaw!B:B,PgSqlRaw!E:E,""))</f>
        <v/>
      </c>
      <c r="J486" t="str">
        <f>IF(_xlfn.XLOOKUP(F486,PgSqlRaw!B:B,PgSqlRaw!F:F,"") = "", _xlfn.XLOOKUP(G486,PgSqlRaw!B:B,PgSqlRaw!F:F,""), _xlfn.XLOOKUP(F486,PgSqlRaw!B:B,PgSqlRaw!F:F,""))</f>
        <v>BARE_LABEL</v>
      </c>
      <c r="K486" t="str">
        <f t="shared" si="43"/>
        <v>BARE_LABEL</v>
      </c>
      <c r="L486" t="str">
        <f>IF(_xlfn.XLOOKUP(F486,PhpReserved!A:A,PhpReserved!B:B,"") = "", _xlfn.XLOOKUP(G486,PhpReserved!A:A,PhpReserved!B:B,""),_xlfn.XLOOKUP(F486,PhpReserved!A:A,PhpReserved!B:B,""))</f>
        <v/>
      </c>
      <c r="M486" t="str">
        <f>IF(_xlfn.XLOOKUP(F486,PhpFunctions!A:A,PhpFunctions!B:B,"") =  "", _xlfn.XLOOKUP(G486,PhpFunctions!A:A,PhpFunctions!B:B,""), _xlfn.XLOOKUP(F486,PhpFunctions!A:A,PhpFunctions!B:B,""))</f>
        <v/>
      </c>
      <c r="N486" t="str">
        <f>IF(_xlfn.XLOOKUP(F486,PhpParamFunc!A:A,PhpParamFunc!B:B,"") = "", _xlfn.XLOOKUP(G486,PhpParamFunc!A:A,PhpParamFunc!B:B,""), _xlfn.XLOOKUP(F486,PhpParamFunc!A:A,PhpParamFunc!B:B,""))</f>
        <v/>
      </c>
      <c r="O486" t="str">
        <f>IF(_xlfn.XLOOKUP(F486,PhpAggrFunc!A:A,PhpAggrFunc!B:B,"") = "", _xlfn.XLOOKUP(G486,PhpAggrFunc!A:A,PhpAggrFunc!B:B,""), _xlfn.XLOOKUP(F486,PhpAggrFunc!A:A,PhpAggrFunc!B:B,""))</f>
        <v/>
      </c>
      <c r="P486" t="str">
        <f t="shared" si="44"/>
        <v>UNRESERVED</v>
      </c>
      <c r="Q486" t="str">
        <f t="shared" si="45"/>
        <v>static const String^ TOK_TRUSTED = "TRUSTED";</v>
      </c>
      <c r="R486" t="str">
        <f t="shared" si="46"/>
        <v>static const int TOK_TRUSTED = 769;</v>
      </c>
      <c r="S486" t="str">
        <f t="shared" si="47"/>
        <v>// _Tokens-&gt;Add((String^)GramVals::TOK_TRUSTED, gcnew Token(GramKeys::TOK_TRUSTED, EnumTokenCategory::UNRESERVED,BARE_LABEL, i++));</v>
      </c>
    </row>
    <row r="487" spans="1:19" x14ac:dyDescent="0.25">
      <c r="A487" s="3" t="s">
        <v>1850</v>
      </c>
      <c r="B487" s="5" t="s">
        <v>1348</v>
      </c>
      <c r="C487" s="3" t="s">
        <v>2378</v>
      </c>
      <c r="D487" s="3" t="s">
        <v>2423</v>
      </c>
      <c r="F487" t="str">
        <f t="shared" si="42"/>
        <v>TWO_PHASE</v>
      </c>
      <c r="G487" t="s">
        <v>3837</v>
      </c>
      <c r="I487" s="3" t="str">
        <f>IF(_xlfn.XLOOKUP(F487,PgSqlRaw!B:B,PgSqlRaw!E:E,"") = "",_xlfn.XLOOKUP(G487,PgSqlRaw!B:B,PgSqlRaw!E:E,""),_xlfn.XLOOKUP(F487,PgSqlRaw!B:B,PgSqlRaw!E:E,""))</f>
        <v/>
      </c>
      <c r="J487" t="str">
        <f>IF(_xlfn.XLOOKUP(F487,PgSqlRaw!B:B,PgSqlRaw!F:F,"") = "", _xlfn.XLOOKUP(G487,PgSqlRaw!B:B,PgSqlRaw!F:F,""), _xlfn.XLOOKUP(F487,PgSqlRaw!B:B,PgSqlRaw!F:F,""))</f>
        <v/>
      </c>
      <c r="K487" t="str">
        <f t="shared" si="43"/>
        <v>BARE_LABEL</v>
      </c>
      <c r="L487" t="str">
        <f>IF(_xlfn.XLOOKUP(F487,PhpReserved!A:A,PhpReserved!B:B,"") = "", _xlfn.XLOOKUP(G487,PhpReserved!A:A,PhpReserved!B:B,""),_xlfn.XLOOKUP(F487,PhpReserved!A:A,PhpReserved!B:B,""))</f>
        <v/>
      </c>
      <c r="M487" t="str">
        <f>IF(_xlfn.XLOOKUP(F487,PhpFunctions!A:A,PhpFunctions!B:B,"") =  "", _xlfn.XLOOKUP(G487,PhpFunctions!A:A,PhpFunctions!B:B,""), _xlfn.XLOOKUP(F487,PhpFunctions!A:A,PhpFunctions!B:B,""))</f>
        <v/>
      </c>
      <c r="N487" t="str">
        <f>IF(_xlfn.XLOOKUP(F487,PhpParamFunc!A:A,PhpParamFunc!B:B,"") = "", _xlfn.XLOOKUP(G487,PhpParamFunc!A:A,PhpParamFunc!B:B,""), _xlfn.XLOOKUP(F487,PhpParamFunc!A:A,PhpParamFunc!B:B,""))</f>
        <v/>
      </c>
      <c r="O487" t="str">
        <f>IF(_xlfn.XLOOKUP(F487,PhpAggrFunc!A:A,PhpAggrFunc!B:B,"") = "", _xlfn.XLOOKUP(G487,PhpAggrFunc!A:A,PhpAggrFunc!B:B,""), _xlfn.XLOOKUP(F487,PhpAggrFunc!A:A,PhpAggrFunc!B:B,""))</f>
        <v/>
      </c>
      <c r="P487" t="str">
        <f t="shared" si="44"/>
        <v>UNRESERVED</v>
      </c>
      <c r="Q487" t="str">
        <f t="shared" si="45"/>
        <v>static const String^ TOK_TWO_PHASE = "TWO_PHASE";</v>
      </c>
      <c r="R487" t="str">
        <f t="shared" si="46"/>
        <v>static const int TOK_TWO_PHASE = 604;</v>
      </c>
      <c r="S487" t="str">
        <f t="shared" si="47"/>
        <v>// _Tokens-&gt;Add((String^)GramVals::TOK_TWO_PHASE, gcnew Token(GramKeys::TOK_TWO_PHASE, EnumTokenCategory::UNRESERVED,BARE_LABEL, i++));</v>
      </c>
    </row>
    <row r="488" spans="1:19" x14ac:dyDescent="0.25">
      <c r="A488" s="3" t="s">
        <v>1851</v>
      </c>
      <c r="B488" s="5" t="s">
        <v>1349</v>
      </c>
      <c r="C488" s="3" t="s">
        <v>2379</v>
      </c>
      <c r="D488" s="3" t="s">
        <v>2423</v>
      </c>
      <c r="F488" t="str">
        <f t="shared" si="42"/>
        <v>TYPE</v>
      </c>
      <c r="G488" t="s">
        <v>3580</v>
      </c>
      <c r="I488" s="3" t="str">
        <f>IF(_xlfn.XLOOKUP(F488,PgSqlRaw!B:B,PgSqlRaw!E:E,"") = "",_xlfn.XLOOKUP(G488,PgSqlRaw!B:B,PgSqlRaw!E:E,""),_xlfn.XLOOKUP(F488,PgSqlRaw!B:B,PgSqlRaw!E:E,""))</f>
        <v/>
      </c>
      <c r="J488" t="str">
        <f>IF(_xlfn.XLOOKUP(F488,PgSqlRaw!B:B,PgSqlRaw!F:F,"") = "", _xlfn.XLOOKUP(G488,PgSqlRaw!B:B,PgSqlRaw!F:F,""), _xlfn.XLOOKUP(F488,PgSqlRaw!B:B,PgSqlRaw!F:F,""))</f>
        <v>BARE_LABEL</v>
      </c>
      <c r="K488" t="str">
        <f t="shared" si="43"/>
        <v>BARE_LABEL</v>
      </c>
      <c r="L488" t="str">
        <f>IF(_xlfn.XLOOKUP(F488,PhpReserved!A:A,PhpReserved!B:B,"") = "", _xlfn.XLOOKUP(G488,PhpReserved!A:A,PhpReserved!B:B,""),_xlfn.XLOOKUP(F488,PhpReserved!A:A,PhpReserved!B:B,""))</f>
        <v/>
      </c>
      <c r="M488" t="str">
        <f>IF(_xlfn.XLOOKUP(F488,PhpFunctions!A:A,PhpFunctions!B:B,"") =  "", _xlfn.XLOOKUP(G488,PhpFunctions!A:A,PhpFunctions!B:B,""), _xlfn.XLOOKUP(F488,PhpFunctions!A:A,PhpFunctions!B:B,""))</f>
        <v/>
      </c>
      <c r="N488" t="str">
        <f>IF(_xlfn.XLOOKUP(F488,PhpParamFunc!A:A,PhpParamFunc!B:B,"") = "", _xlfn.XLOOKUP(G488,PhpParamFunc!A:A,PhpParamFunc!B:B,""), _xlfn.XLOOKUP(F488,PhpParamFunc!A:A,PhpParamFunc!B:B,""))</f>
        <v/>
      </c>
      <c r="O488" t="str">
        <f>IF(_xlfn.XLOOKUP(F488,PhpAggrFunc!A:A,PhpAggrFunc!B:B,"") = "", _xlfn.XLOOKUP(G488,PhpAggrFunc!A:A,PhpAggrFunc!B:B,""), _xlfn.XLOOKUP(F488,PhpAggrFunc!A:A,PhpAggrFunc!B:B,""))</f>
        <v/>
      </c>
      <c r="P488" t="str">
        <f t="shared" si="44"/>
        <v>UNRESERVED</v>
      </c>
      <c r="Q488" t="str">
        <f t="shared" si="45"/>
        <v>static const String^ TOK_TYPE = "TYPE";</v>
      </c>
      <c r="R488" t="str">
        <f t="shared" si="46"/>
        <v>static const int TOK_TYPE = 452;</v>
      </c>
      <c r="S488" t="str">
        <f t="shared" si="47"/>
        <v>// _Tokens-&gt;Add((String^)GramVals::TOK_TYPE, gcnew Token(GramKeys::TOK_TYPE, EnumTokenCategory::UNRESERVED,BARE_LABEL, i++));</v>
      </c>
    </row>
    <row r="489" spans="1:19" x14ac:dyDescent="0.25">
      <c r="A489" s="3" t="s">
        <v>1852</v>
      </c>
      <c r="B489" s="5" t="s">
        <v>1350</v>
      </c>
      <c r="C489" s="3" t="s">
        <v>2380</v>
      </c>
      <c r="D489" s="3" t="s">
        <v>881</v>
      </c>
      <c r="F489" t="str">
        <f t="shared" si="42"/>
        <v>UMINUS</v>
      </c>
      <c r="G489" t="s">
        <v>3838</v>
      </c>
      <c r="I489" s="3" t="str">
        <f>IF(_xlfn.XLOOKUP(F489,PgSqlRaw!B:B,PgSqlRaw!E:E,"") = "",_xlfn.XLOOKUP(G489,PgSqlRaw!B:B,PgSqlRaw!E:E,""),_xlfn.XLOOKUP(F489,PgSqlRaw!B:B,PgSqlRaw!E:E,""))</f>
        <v/>
      </c>
      <c r="J489" t="str">
        <f>IF(_xlfn.XLOOKUP(F489,PgSqlRaw!B:B,PgSqlRaw!F:F,"") = "", _xlfn.XLOOKUP(G489,PgSqlRaw!B:B,PgSqlRaw!F:F,""), _xlfn.XLOOKUP(F489,PgSqlRaw!B:B,PgSqlRaw!F:F,""))</f>
        <v/>
      </c>
      <c r="K489" t="str">
        <f t="shared" si="43"/>
        <v>BARE_LABEL</v>
      </c>
      <c r="L489" t="str">
        <f>IF(_xlfn.XLOOKUP(F489,PhpReserved!A:A,PhpReserved!B:B,"") = "", _xlfn.XLOOKUP(G489,PhpReserved!A:A,PhpReserved!B:B,""),_xlfn.XLOOKUP(F489,PhpReserved!A:A,PhpReserved!B:B,""))</f>
        <v/>
      </c>
      <c r="M489" t="str">
        <f>IF(_xlfn.XLOOKUP(F489,PhpFunctions!A:A,PhpFunctions!B:B,"") =  "", _xlfn.XLOOKUP(G489,PhpFunctions!A:A,PhpFunctions!B:B,""), _xlfn.XLOOKUP(F489,PhpFunctions!A:A,PhpFunctions!B:B,""))</f>
        <v/>
      </c>
      <c r="N489" t="str">
        <f>IF(_xlfn.XLOOKUP(F489,PhpParamFunc!A:A,PhpParamFunc!B:B,"") = "", _xlfn.XLOOKUP(G489,PhpParamFunc!A:A,PhpParamFunc!B:B,""), _xlfn.XLOOKUP(F489,PhpParamFunc!A:A,PhpParamFunc!B:B,""))</f>
        <v/>
      </c>
      <c r="O489" t="str">
        <f>IF(_xlfn.XLOOKUP(F489,PhpAggrFunc!A:A,PhpAggrFunc!B:B,"") = "", _xlfn.XLOOKUP(G489,PhpAggrFunc!A:A,PhpAggrFunc!B:B,""), _xlfn.XLOOKUP(F489,PhpAggrFunc!A:A,PhpAggrFunc!B:B,""))</f>
        <v/>
      </c>
      <c r="P489" t="str">
        <f t="shared" si="44"/>
        <v>UNRESERVED</v>
      </c>
      <c r="Q489" t="str">
        <f t="shared" si="45"/>
        <v>static const String^ TOK_UMINUS = "UMINUS";</v>
      </c>
      <c r="R489" t="str">
        <f t="shared" si="46"/>
        <v>static const int TOK_UMINUS = 646;</v>
      </c>
      <c r="S489" t="str">
        <f t="shared" si="47"/>
        <v>// _Tokens-&gt;Add((String^)GramVals::TOK_UMINUS, gcnew Token(GramKeys::TOK_UMINUS, EnumTokenCategory::UNRESERVED,BARE_LABEL, i++));</v>
      </c>
    </row>
    <row r="490" spans="1:19" x14ac:dyDescent="0.25">
      <c r="A490" s="3" t="s">
        <v>1853</v>
      </c>
      <c r="B490" s="5">
        <v>770</v>
      </c>
      <c r="C490" s="3" t="s">
        <v>2381</v>
      </c>
      <c r="D490" s="3" t="s">
        <v>881</v>
      </c>
      <c r="F490" t="str">
        <f t="shared" si="42"/>
        <v>UNBOUNDED</v>
      </c>
      <c r="G490" t="s">
        <v>3583</v>
      </c>
      <c r="I490" s="3" t="str">
        <f>IF(_xlfn.XLOOKUP(F490,PgSqlRaw!B:B,PgSqlRaw!E:E,"") = "",_xlfn.XLOOKUP(G490,PgSqlRaw!B:B,PgSqlRaw!E:E,""),_xlfn.XLOOKUP(F490,PgSqlRaw!B:B,PgSqlRaw!E:E,""))</f>
        <v/>
      </c>
      <c r="J490" t="str">
        <f>IF(_xlfn.XLOOKUP(F490,PgSqlRaw!B:B,PgSqlRaw!F:F,"") = "", _xlfn.XLOOKUP(G490,PgSqlRaw!B:B,PgSqlRaw!F:F,""), _xlfn.XLOOKUP(F490,PgSqlRaw!B:B,PgSqlRaw!F:F,""))</f>
        <v>BARE_LABEL</v>
      </c>
      <c r="K490" t="str">
        <f t="shared" si="43"/>
        <v>BARE_LABEL</v>
      </c>
      <c r="L490" t="str">
        <f>IF(_xlfn.XLOOKUP(F490,PhpReserved!A:A,PhpReserved!B:B,"") = "", _xlfn.XLOOKUP(G490,PhpReserved!A:A,PhpReserved!B:B,""),_xlfn.XLOOKUP(F490,PhpReserved!A:A,PhpReserved!B:B,""))</f>
        <v/>
      </c>
      <c r="M490" t="str">
        <f>IF(_xlfn.XLOOKUP(F490,PhpFunctions!A:A,PhpFunctions!B:B,"") =  "", _xlfn.XLOOKUP(G490,PhpFunctions!A:A,PhpFunctions!B:B,""), _xlfn.XLOOKUP(F490,PhpFunctions!A:A,PhpFunctions!B:B,""))</f>
        <v/>
      </c>
      <c r="N490" t="str">
        <f>IF(_xlfn.XLOOKUP(F490,PhpParamFunc!A:A,PhpParamFunc!B:B,"") = "", _xlfn.XLOOKUP(G490,PhpParamFunc!A:A,PhpParamFunc!B:B,""), _xlfn.XLOOKUP(F490,PhpParamFunc!A:A,PhpParamFunc!B:B,""))</f>
        <v/>
      </c>
      <c r="O490" t="str">
        <f>IF(_xlfn.XLOOKUP(F490,PhpAggrFunc!A:A,PhpAggrFunc!B:B,"") = "", _xlfn.XLOOKUP(G490,PhpAggrFunc!A:A,PhpAggrFunc!B:B,""), _xlfn.XLOOKUP(F490,PhpAggrFunc!A:A,PhpAggrFunc!B:B,""))</f>
        <v/>
      </c>
      <c r="P490" t="str">
        <f t="shared" si="44"/>
        <v>UNRESERVED</v>
      </c>
      <c r="Q490" t="str">
        <f t="shared" si="45"/>
        <v>static const String^ TOK_UNBOUNDED = "UNBOUNDED";</v>
      </c>
      <c r="R490" t="str">
        <f t="shared" si="46"/>
        <v>static const int TOK_UNBOUNDED = 770;</v>
      </c>
      <c r="S490" t="str">
        <f t="shared" si="47"/>
        <v>// _Tokens-&gt;Add((String^)GramVals::TOK_UNBOUNDED, gcnew Token(GramKeys::TOK_UNBOUNDED, EnumTokenCategory::UNRESERVED,BARE_LABEL, i++));</v>
      </c>
    </row>
    <row r="491" spans="1:19" x14ac:dyDescent="0.25">
      <c r="A491" s="3" t="s">
        <v>1854</v>
      </c>
      <c r="B491" s="5" t="s">
        <v>1351</v>
      </c>
      <c r="C491" s="3" t="s">
        <v>2382</v>
      </c>
      <c r="D491" s="3" t="s">
        <v>2423</v>
      </c>
      <c r="F491" t="str">
        <f t="shared" si="42"/>
        <v>UNCOMMITTED</v>
      </c>
      <c r="G491" t="s">
        <v>3584</v>
      </c>
      <c r="I491" s="3" t="str">
        <f>IF(_xlfn.XLOOKUP(F491,PgSqlRaw!B:B,PgSqlRaw!E:E,"") = "",_xlfn.XLOOKUP(G491,PgSqlRaw!B:B,PgSqlRaw!E:E,""),_xlfn.XLOOKUP(F491,PgSqlRaw!B:B,PgSqlRaw!E:E,""))</f>
        <v/>
      </c>
      <c r="J491" t="str">
        <f>IF(_xlfn.XLOOKUP(F491,PgSqlRaw!B:B,PgSqlRaw!F:F,"") = "", _xlfn.XLOOKUP(G491,PgSqlRaw!B:B,PgSqlRaw!F:F,""), _xlfn.XLOOKUP(F491,PgSqlRaw!B:B,PgSqlRaw!F:F,""))</f>
        <v>BARE_LABEL</v>
      </c>
      <c r="K491" t="str">
        <f t="shared" si="43"/>
        <v>BARE_LABEL</v>
      </c>
      <c r="L491" t="str">
        <f>IF(_xlfn.XLOOKUP(F491,PhpReserved!A:A,PhpReserved!B:B,"") = "", _xlfn.XLOOKUP(G491,PhpReserved!A:A,PhpReserved!B:B,""),_xlfn.XLOOKUP(F491,PhpReserved!A:A,PhpReserved!B:B,""))</f>
        <v/>
      </c>
      <c r="M491" t="str">
        <f>IF(_xlfn.XLOOKUP(F491,PhpFunctions!A:A,PhpFunctions!B:B,"") =  "", _xlfn.XLOOKUP(G491,PhpFunctions!A:A,PhpFunctions!B:B,""), _xlfn.XLOOKUP(F491,PhpFunctions!A:A,PhpFunctions!B:B,""))</f>
        <v/>
      </c>
      <c r="N491" t="str">
        <f>IF(_xlfn.XLOOKUP(F491,PhpParamFunc!A:A,PhpParamFunc!B:B,"") = "", _xlfn.XLOOKUP(G491,PhpParamFunc!A:A,PhpParamFunc!B:B,""), _xlfn.XLOOKUP(F491,PhpParamFunc!A:A,PhpParamFunc!B:B,""))</f>
        <v/>
      </c>
      <c r="O491" t="str">
        <f>IF(_xlfn.XLOOKUP(F491,PhpAggrFunc!A:A,PhpAggrFunc!B:B,"") = "", _xlfn.XLOOKUP(G491,PhpAggrFunc!A:A,PhpAggrFunc!B:B,""), _xlfn.XLOOKUP(F491,PhpAggrFunc!A:A,PhpAggrFunc!B:B,""))</f>
        <v/>
      </c>
      <c r="P491" t="str">
        <f t="shared" si="44"/>
        <v>UNRESERVED</v>
      </c>
      <c r="Q491" t="str">
        <f t="shared" si="45"/>
        <v>static const String^ TOK_UNCOMMITTED = "UNCOMMITTED";</v>
      </c>
      <c r="R491" t="str">
        <f t="shared" si="46"/>
        <v>static const int TOK_UNCOMMITTED = 422;</v>
      </c>
      <c r="S491" t="str">
        <f t="shared" si="47"/>
        <v>// _Tokens-&gt;Add((String^)GramVals::TOK_UNCOMMITTED, gcnew Token(GramKeys::TOK_UNCOMMITTED, EnumTokenCategory::UNRESERVED,BARE_LABEL, i++));</v>
      </c>
    </row>
    <row r="492" spans="1:19" x14ac:dyDescent="0.25">
      <c r="A492" s="3" t="s">
        <v>1855</v>
      </c>
      <c r="B492" s="5" t="s">
        <v>1352</v>
      </c>
      <c r="C492" s="3" t="s">
        <v>2383</v>
      </c>
      <c r="D492" s="3" t="s">
        <v>2423</v>
      </c>
      <c r="F492" t="str">
        <f t="shared" si="42"/>
        <v>UNDO</v>
      </c>
      <c r="G492" t="s">
        <v>3268</v>
      </c>
      <c r="I492" s="3" t="str">
        <f>IF(_xlfn.XLOOKUP(F492,PgSqlRaw!B:B,PgSqlRaw!E:E,"") = "",_xlfn.XLOOKUP(G492,PgSqlRaw!B:B,PgSqlRaw!E:E,""),_xlfn.XLOOKUP(F492,PgSqlRaw!B:B,PgSqlRaw!E:E,""))</f>
        <v/>
      </c>
      <c r="J492" t="str">
        <f>IF(_xlfn.XLOOKUP(F492,PgSqlRaw!B:B,PgSqlRaw!F:F,"") = "", _xlfn.XLOOKUP(G492,PgSqlRaw!B:B,PgSqlRaw!F:F,""), _xlfn.XLOOKUP(F492,PgSqlRaw!B:B,PgSqlRaw!F:F,""))</f>
        <v/>
      </c>
      <c r="K492" t="str">
        <f t="shared" si="43"/>
        <v>BARE_LABEL</v>
      </c>
      <c r="L492" t="str">
        <f>IF(_xlfn.XLOOKUP(F492,PhpReserved!A:A,PhpReserved!B:B,"") = "", _xlfn.XLOOKUP(G492,PhpReserved!A:A,PhpReserved!B:B,""),_xlfn.XLOOKUP(F492,PhpReserved!A:A,PhpReserved!B:B,""))</f>
        <v>RESERVED</v>
      </c>
      <c r="M492" t="str">
        <f>IF(_xlfn.XLOOKUP(F492,PhpFunctions!A:A,PhpFunctions!B:B,"") =  "", _xlfn.XLOOKUP(G492,PhpFunctions!A:A,PhpFunctions!B:B,""), _xlfn.XLOOKUP(F492,PhpFunctions!A:A,PhpFunctions!B:B,""))</f>
        <v/>
      </c>
      <c r="N492" t="str">
        <f>IF(_xlfn.XLOOKUP(F492,PhpParamFunc!A:A,PhpParamFunc!B:B,"") = "", _xlfn.XLOOKUP(G492,PhpParamFunc!A:A,PhpParamFunc!B:B,""), _xlfn.XLOOKUP(F492,PhpParamFunc!A:A,PhpParamFunc!B:B,""))</f>
        <v/>
      </c>
      <c r="O492" t="str">
        <f>IF(_xlfn.XLOOKUP(F492,PhpAggrFunc!A:A,PhpAggrFunc!B:B,"") = "", _xlfn.XLOOKUP(G492,PhpAggrFunc!A:A,PhpAggrFunc!B:B,""), _xlfn.XLOOKUP(F492,PhpAggrFunc!A:A,PhpAggrFunc!B:B,""))</f>
        <v/>
      </c>
      <c r="P492" t="str">
        <f t="shared" si="44"/>
        <v>RESERVED</v>
      </c>
      <c r="Q492" t="str">
        <f t="shared" si="45"/>
        <v>static const String^ TOK_UNDO = "UNDO";</v>
      </c>
      <c r="R492" t="str">
        <f t="shared" si="46"/>
        <v>static const int TOK_UNDO = 522;</v>
      </c>
      <c r="S492" t="str">
        <f t="shared" si="47"/>
        <v>_Tokens-&gt;Add((String^)GramVals::TOK_UNDO, gcnew Token(GramKeys::TOK_UNDO, EnumTokenCategory::RESERVED,BARE_LABEL, i++));</v>
      </c>
    </row>
    <row r="493" spans="1:19" x14ac:dyDescent="0.25">
      <c r="A493" s="3" t="s">
        <v>1856</v>
      </c>
      <c r="B493" s="5">
        <v>771</v>
      </c>
      <c r="C493" s="3" t="s">
        <v>2384</v>
      </c>
      <c r="D493" s="3" t="s">
        <v>2423</v>
      </c>
      <c r="F493" t="str">
        <f t="shared" si="42"/>
        <v>UNICODE_CHAR</v>
      </c>
      <c r="G493" t="s">
        <v>3839</v>
      </c>
      <c r="I493" s="3" t="str">
        <f>IF(_xlfn.XLOOKUP(F493,PgSqlRaw!B:B,PgSqlRaw!E:E,"") = "",_xlfn.XLOOKUP(G493,PgSqlRaw!B:B,PgSqlRaw!E:E,""),_xlfn.XLOOKUP(F493,PgSqlRaw!B:B,PgSqlRaw!E:E,""))</f>
        <v/>
      </c>
      <c r="J493" t="str">
        <f>IF(_xlfn.XLOOKUP(F493,PgSqlRaw!B:B,PgSqlRaw!F:F,"") = "", _xlfn.XLOOKUP(G493,PgSqlRaw!B:B,PgSqlRaw!F:F,""), _xlfn.XLOOKUP(F493,PgSqlRaw!B:B,PgSqlRaw!F:F,""))</f>
        <v/>
      </c>
      <c r="K493" t="str">
        <f t="shared" si="43"/>
        <v>BARE_LABEL</v>
      </c>
      <c r="L493" t="str">
        <f>IF(_xlfn.XLOOKUP(F493,PhpReserved!A:A,PhpReserved!B:B,"") = "", _xlfn.XLOOKUP(G493,PhpReserved!A:A,PhpReserved!B:B,""),_xlfn.XLOOKUP(F493,PhpReserved!A:A,PhpReserved!B:B,""))</f>
        <v/>
      </c>
      <c r="M493" t="str">
        <f>IF(_xlfn.XLOOKUP(F493,PhpFunctions!A:A,PhpFunctions!B:B,"") =  "", _xlfn.XLOOKUP(G493,PhpFunctions!A:A,PhpFunctions!B:B,""), _xlfn.XLOOKUP(F493,PhpFunctions!A:A,PhpFunctions!B:B,""))</f>
        <v/>
      </c>
      <c r="N493" t="str">
        <f>IF(_xlfn.XLOOKUP(F493,PhpParamFunc!A:A,PhpParamFunc!B:B,"") = "", _xlfn.XLOOKUP(G493,PhpParamFunc!A:A,PhpParamFunc!B:B,""), _xlfn.XLOOKUP(F493,PhpParamFunc!A:A,PhpParamFunc!B:B,""))</f>
        <v/>
      </c>
      <c r="O493" t="str">
        <f>IF(_xlfn.XLOOKUP(F493,PhpAggrFunc!A:A,PhpAggrFunc!B:B,"") = "", _xlfn.XLOOKUP(G493,PhpAggrFunc!A:A,PhpAggrFunc!B:B,""), _xlfn.XLOOKUP(F493,PhpAggrFunc!A:A,PhpAggrFunc!B:B,""))</f>
        <v/>
      </c>
      <c r="P493" t="str">
        <f t="shared" si="44"/>
        <v>UNRESERVED</v>
      </c>
      <c r="Q493" t="str">
        <f t="shared" si="45"/>
        <v>static const String^ TOK_UNICODE_CHAR = "UNICODE_CHAR";</v>
      </c>
      <c r="R493" t="str">
        <f t="shared" si="46"/>
        <v>static const int TOK_UNICODE_CHAR = 771;</v>
      </c>
      <c r="S493" t="str">
        <f t="shared" si="47"/>
        <v>// _Tokens-&gt;Add((String^)GramVals::TOK_UNICODE_CHAR, gcnew Token(GramKeys::TOK_UNICODE_CHAR, EnumTokenCategory::UNRESERVED,BARE_LABEL, i++));</v>
      </c>
    </row>
    <row r="494" spans="1:19" x14ac:dyDescent="0.25">
      <c r="A494" s="3" t="s">
        <v>1857</v>
      </c>
      <c r="B494" s="5">
        <v>772</v>
      </c>
      <c r="C494" s="3" t="s">
        <v>2385</v>
      </c>
      <c r="D494" s="3" t="s">
        <v>2423</v>
      </c>
      <c r="F494" t="str">
        <f t="shared" si="42"/>
        <v>UNICODE_VAL</v>
      </c>
      <c r="G494" t="s">
        <v>3840</v>
      </c>
      <c r="I494" s="3" t="str">
        <f>IF(_xlfn.XLOOKUP(F494,PgSqlRaw!B:B,PgSqlRaw!E:E,"") = "",_xlfn.XLOOKUP(G494,PgSqlRaw!B:B,PgSqlRaw!E:E,""),_xlfn.XLOOKUP(F494,PgSqlRaw!B:B,PgSqlRaw!E:E,""))</f>
        <v/>
      </c>
      <c r="J494" t="str">
        <f>IF(_xlfn.XLOOKUP(F494,PgSqlRaw!B:B,PgSqlRaw!F:F,"") = "", _xlfn.XLOOKUP(G494,PgSqlRaw!B:B,PgSqlRaw!F:F,""), _xlfn.XLOOKUP(F494,PgSqlRaw!B:B,PgSqlRaw!F:F,""))</f>
        <v/>
      </c>
      <c r="K494" t="str">
        <f t="shared" si="43"/>
        <v>BARE_LABEL</v>
      </c>
      <c r="L494" t="str">
        <f>IF(_xlfn.XLOOKUP(F494,PhpReserved!A:A,PhpReserved!B:B,"") = "", _xlfn.XLOOKUP(G494,PhpReserved!A:A,PhpReserved!B:B,""),_xlfn.XLOOKUP(F494,PhpReserved!A:A,PhpReserved!B:B,""))</f>
        <v/>
      </c>
      <c r="M494" t="str">
        <f>IF(_xlfn.XLOOKUP(F494,PhpFunctions!A:A,PhpFunctions!B:B,"") =  "", _xlfn.XLOOKUP(G494,PhpFunctions!A:A,PhpFunctions!B:B,""), _xlfn.XLOOKUP(F494,PhpFunctions!A:A,PhpFunctions!B:B,""))</f>
        <v/>
      </c>
      <c r="N494" t="str">
        <f>IF(_xlfn.XLOOKUP(F494,PhpParamFunc!A:A,PhpParamFunc!B:B,"") = "", _xlfn.XLOOKUP(G494,PhpParamFunc!A:A,PhpParamFunc!B:B,""), _xlfn.XLOOKUP(F494,PhpParamFunc!A:A,PhpParamFunc!B:B,""))</f>
        <v/>
      </c>
      <c r="O494" t="str">
        <f>IF(_xlfn.XLOOKUP(F494,PhpAggrFunc!A:A,PhpAggrFunc!B:B,"") = "", _xlfn.XLOOKUP(G494,PhpAggrFunc!A:A,PhpAggrFunc!B:B,""), _xlfn.XLOOKUP(F494,PhpAggrFunc!A:A,PhpAggrFunc!B:B,""))</f>
        <v/>
      </c>
      <c r="P494" t="str">
        <f t="shared" si="44"/>
        <v>UNRESERVED</v>
      </c>
      <c r="Q494" t="str">
        <f t="shared" si="45"/>
        <v>static const String^ TOK_UNICODE_VAL = "UNICODE_VAL";</v>
      </c>
      <c r="R494" t="str">
        <f t="shared" si="46"/>
        <v>static const int TOK_UNICODE_VAL = 772;</v>
      </c>
      <c r="S494" t="str">
        <f t="shared" si="47"/>
        <v>// _Tokens-&gt;Add((String^)GramVals::TOK_UNICODE_VAL, gcnew Token(GramKeys::TOK_UNICODE_VAL, EnumTokenCategory::UNRESERVED,BARE_LABEL, i++));</v>
      </c>
    </row>
    <row r="495" spans="1:19" x14ac:dyDescent="0.25">
      <c r="A495" s="3" t="s">
        <v>1858</v>
      </c>
      <c r="B495" s="5" t="s">
        <v>1353</v>
      </c>
      <c r="C495" s="3" t="s">
        <v>2386</v>
      </c>
      <c r="D495" s="3" t="s">
        <v>881</v>
      </c>
      <c r="F495" t="str">
        <f t="shared" si="42"/>
        <v>UNION</v>
      </c>
      <c r="G495" t="s">
        <v>3269</v>
      </c>
      <c r="I495" s="3" t="str">
        <f>IF(_xlfn.XLOOKUP(F495,PgSqlRaw!B:B,PgSqlRaw!E:E,"") = "",_xlfn.XLOOKUP(G495,PgSqlRaw!B:B,PgSqlRaw!E:E,""),_xlfn.XLOOKUP(F495,PgSqlRaw!B:B,PgSqlRaw!E:E,""))</f>
        <v>RESERVED</v>
      </c>
      <c r="J495" t="str">
        <f>IF(_xlfn.XLOOKUP(F495,PgSqlRaw!B:B,PgSqlRaw!F:F,"") = "", _xlfn.XLOOKUP(G495,PgSqlRaw!B:B,PgSqlRaw!F:F,""), _xlfn.XLOOKUP(F495,PgSqlRaw!B:B,PgSqlRaw!F:F,""))</f>
        <v>AS_LABEL</v>
      </c>
      <c r="K495" t="str">
        <f t="shared" si="43"/>
        <v>AS_LABEL</v>
      </c>
      <c r="L495" t="str">
        <f>IF(_xlfn.XLOOKUP(F495,PhpReserved!A:A,PhpReserved!B:B,"") = "", _xlfn.XLOOKUP(G495,PhpReserved!A:A,PhpReserved!B:B,""),_xlfn.XLOOKUP(F495,PhpReserved!A:A,PhpReserved!B:B,""))</f>
        <v>RESERVED</v>
      </c>
      <c r="M495" t="str">
        <f>IF(_xlfn.XLOOKUP(F495,PhpFunctions!A:A,PhpFunctions!B:B,"") =  "", _xlfn.XLOOKUP(G495,PhpFunctions!A:A,PhpFunctions!B:B,""), _xlfn.XLOOKUP(F495,PhpFunctions!A:A,PhpFunctions!B:B,""))</f>
        <v/>
      </c>
      <c r="N495" t="str">
        <f>IF(_xlfn.XLOOKUP(F495,PhpParamFunc!A:A,PhpParamFunc!B:B,"") = "", _xlfn.XLOOKUP(G495,PhpParamFunc!A:A,PhpParamFunc!B:B,""), _xlfn.XLOOKUP(F495,PhpParamFunc!A:A,PhpParamFunc!B:B,""))</f>
        <v/>
      </c>
      <c r="O495" t="str">
        <f>IF(_xlfn.XLOOKUP(F495,PhpAggrFunc!A:A,PhpAggrFunc!B:B,"") = "", _xlfn.XLOOKUP(G495,PhpAggrFunc!A:A,PhpAggrFunc!B:B,""), _xlfn.XLOOKUP(F495,PhpAggrFunc!A:A,PhpAggrFunc!B:B,""))</f>
        <v/>
      </c>
      <c r="P495" t="str">
        <f t="shared" si="44"/>
        <v>RESERVED</v>
      </c>
      <c r="Q495" t="str">
        <f t="shared" si="45"/>
        <v>static const String^ TOK_UNION = "UNION";</v>
      </c>
      <c r="R495" t="str">
        <f t="shared" si="46"/>
        <v>static const int TOK_UNION = 423;</v>
      </c>
      <c r="S495" t="str">
        <f t="shared" si="47"/>
        <v>_Tokens-&gt;Add((String^)GramVals::TOK_UNION, gcnew Token(GramKeys::TOK_UNION, EnumTokenCategory::RESERVED,AS_LABEL, i++));</v>
      </c>
    </row>
    <row r="496" spans="1:19" x14ac:dyDescent="0.25">
      <c r="A496" s="3" t="s">
        <v>1859</v>
      </c>
      <c r="B496" s="5" t="s">
        <v>1354</v>
      </c>
      <c r="C496" s="3" t="s">
        <v>2387</v>
      </c>
      <c r="D496" s="3" t="s">
        <v>881</v>
      </c>
      <c r="F496" t="str">
        <f t="shared" si="42"/>
        <v>UNIQUE</v>
      </c>
      <c r="G496" t="s">
        <v>3270</v>
      </c>
      <c r="I496" s="3" t="str">
        <f>IF(_xlfn.XLOOKUP(F496,PgSqlRaw!B:B,PgSqlRaw!E:E,"") = "",_xlfn.XLOOKUP(G496,PgSqlRaw!B:B,PgSqlRaw!E:E,""),_xlfn.XLOOKUP(F496,PgSqlRaw!B:B,PgSqlRaw!E:E,""))</f>
        <v>RESERVED</v>
      </c>
      <c r="J496" t="str">
        <f>IF(_xlfn.XLOOKUP(F496,PgSqlRaw!B:B,PgSqlRaw!F:F,"") = "", _xlfn.XLOOKUP(G496,PgSqlRaw!B:B,PgSqlRaw!F:F,""), _xlfn.XLOOKUP(F496,PgSqlRaw!B:B,PgSqlRaw!F:F,""))</f>
        <v>BARE_LABEL</v>
      </c>
      <c r="K496" t="str">
        <f t="shared" si="43"/>
        <v>BARE_LABEL</v>
      </c>
      <c r="L496" t="str">
        <f>IF(_xlfn.XLOOKUP(F496,PhpReserved!A:A,PhpReserved!B:B,"") = "", _xlfn.XLOOKUP(G496,PhpReserved!A:A,PhpReserved!B:B,""),_xlfn.XLOOKUP(F496,PhpReserved!A:A,PhpReserved!B:B,""))</f>
        <v>RESERVED</v>
      </c>
      <c r="M496" t="str">
        <f>IF(_xlfn.XLOOKUP(F496,PhpFunctions!A:A,PhpFunctions!B:B,"") =  "", _xlfn.XLOOKUP(G496,PhpFunctions!A:A,PhpFunctions!B:B,""), _xlfn.XLOOKUP(F496,PhpFunctions!A:A,PhpFunctions!B:B,""))</f>
        <v/>
      </c>
      <c r="N496" t="str">
        <f>IF(_xlfn.XLOOKUP(F496,PhpParamFunc!A:A,PhpParamFunc!B:B,"") = "", _xlfn.XLOOKUP(G496,PhpParamFunc!A:A,PhpParamFunc!B:B,""), _xlfn.XLOOKUP(F496,PhpParamFunc!A:A,PhpParamFunc!B:B,""))</f>
        <v/>
      </c>
      <c r="O496" t="str">
        <f>IF(_xlfn.XLOOKUP(F496,PhpAggrFunc!A:A,PhpAggrFunc!B:B,"") = "", _xlfn.XLOOKUP(G496,PhpAggrFunc!A:A,PhpAggrFunc!B:B,""), _xlfn.XLOOKUP(F496,PhpAggrFunc!A:A,PhpAggrFunc!B:B,""))</f>
        <v/>
      </c>
      <c r="P496" t="str">
        <f t="shared" si="44"/>
        <v>RESERVED</v>
      </c>
      <c r="Q496" t="str">
        <f t="shared" si="45"/>
        <v>static const String^ TOK_UNIQUE = "UNIQUE";</v>
      </c>
      <c r="R496" t="str">
        <f t="shared" si="46"/>
        <v>static const int TOK_UNIQUE = 424;</v>
      </c>
      <c r="S496" t="str">
        <f t="shared" si="47"/>
        <v>_Tokens-&gt;Add((String^)GramVals::TOK_UNIQUE, gcnew Token(GramKeys::TOK_UNIQUE, EnumTokenCategory::RESERVED,BARE_LABEL, i++));</v>
      </c>
    </row>
    <row r="497" spans="1:19" x14ac:dyDescent="0.25">
      <c r="A497" s="3" t="s">
        <v>1860</v>
      </c>
      <c r="B497" s="5" t="s">
        <v>1355</v>
      </c>
      <c r="C497" s="3" t="s">
        <v>2388</v>
      </c>
      <c r="D497" s="3" t="s">
        <v>881</v>
      </c>
      <c r="F497" t="str">
        <f t="shared" si="42"/>
        <v>UNKNOWN</v>
      </c>
      <c r="G497" t="s">
        <v>3586</v>
      </c>
      <c r="I497" s="3" t="str">
        <f>IF(_xlfn.XLOOKUP(F497,PgSqlRaw!B:B,PgSqlRaw!E:E,"") = "",_xlfn.XLOOKUP(G497,PgSqlRaw!B:B,PgSqlRaw!E:E,""),_xlfn.XLOOKUP(F497,PgSqlRaw!B:B,PgSqlRaw!E:E,""))</f>
        <v/>
      </c>
      <c r="J497" t="str">
        <f>IF(_xlfn.XLOOKUP(F497,PgSqlRaw!B:B,PgSqlRaw!F:F,"") = "", _xlfn.XLOOKUP(G497,PgSqlRaw!B:B,PgSqlRaw!F:F,""), _xlfn.XLOOKUP(F497,PgSqlRaw!B:B,PgSqlRaw!F:F,""))</f>
        <v>BARE_LABEL</v>
      </c>
      <c r="K497" t="str">
        <f t="shared" si="43"/>
        <v>BARE_LABEL</v>
      </c>
      <c r="L497" t="str">
        <f>IF(_xlfn.XLOOKUP(F497,PhpReserved!A:A,PhpReserved!B:B,"") = "", _xlfn.XLOOKUP(G497,PhpReserved!A:A,PhpReserved!B:B,""),_xlfn.XLOOKUP(F497,PhpReserved!A:A,PhpReserved!B:B,""))</f>
        <v/>
      </c>
      <c r="M497" t="str">
        <f>IF(_xlfn.XLOOKUP(F497,PhpFunctions!A:A,PhpFunctions!B:B,"") =  "", _xlfn.XLOOKUP(G497,PhpFunctions!A:A,PhpFunctions!B:B,""), _xlfn.XLOOKUP(F497,PhpFunctions!A:A,PhpFunctions!B:B,""))</f>
        <v/>
      </c>
      <c r="N497" t="str">
        <f>IF(_xlfn.XLOOKUP(F497,PhpParamFunc!A:A,PhpParamFunc!B:B,"") = "", _xlfn.XLOOKUP(G497,PhpParamFunc!A:A,PhpParamFunc!B:B,""), _xlfn.XLOOKUP(F497,PhpParamFunc!A:A,PhpParamFunc!B:B,""))</f>
        <v/>
      </c>
      <c r="O497" t="str">
        <f>IF(_xlfn.XLOOKUP(F497,PhpAggrFunc!A:A,PhpAggrFunc!B:B,"") = "", _xlfn.XLOOKUP(G497,PhpAggrFunc!A:A,PhpAggrFunc!B:B,""), _xlfn.XLOOKUP(F497,PhpAggrFunc!A:A,PhpAggrFunc!B:B,""))</f>
        <v/>
      </c>
      <c r="P497" t="str">
        <f t="shared" si="44"/>
        <v>UNRESERVED</v>
      </c>
      <c r="Q497" t="str">
        <f t="shared" si="45"/>
        <v>static const String^ TOK_UNKNOWN = "UNKNOWN";</v>
      </c>
      <c r="R497" t="str">
        <f t="shared" si="46"/>
        <v>static const int TOK_UNKNOWN = 641;</v>
      </c>
      <c r="S497" t="str">
        <f t="shared" si="47"/>
        <v>// _Tokens-&gt;Add((String^)GramVals::TOK_UNKNOWN, gcnew Token(GramKeys::TOK_UNKNOWN, EnumTokenCategory::UNRESERVED,BARE_LABEL, i++));</v>
      </c>
    </row>
    <row r="498" spans="1:19" x14ac:dyDescent="0.25">
      <c r="A498" s="3" t="s">
        <v>1861</v>
      </c>
      <c r="B498" s="5" t="s">
        <v>1356</v>
      </c>
      <c r="C498" s="3" t="s">
        <v>2389</v>
      </c>
      <c r="D498" s="3" t="s">
        <v>881</v>
      </c>
      <c r="F498" t="str">
        <f t="shared" si="42"/>
        <v>UPDATE</v>
      </c>
      <c r="G498" t="s">
        <v>3273</v>
      </c>
      <c r="I498" s="3" t="str">
        <f>IF(_xlfn.XLOOKUP(F498,PgSqlRaw!B:B,PgSqlRaw!E:E,"") = "",_xlfn.XLOOKUP(G498,PgSqlRaw!B:B,PgSqlRaw!E:E,""),_xlfn.XLOOKUP(F498,PgSqlRaw!B:B,PgSqlRaw!E:E,""))</f>
        <v/>
      </c>
      <c r="J498" t="str">
        <f>IF(_xlfn.XLOOKUP(F498,PgSqlRaw!B:B,PgSqlRaw!F:F,"") = "", _xlfn.XLOOKUP(G498,PgSqlRaw!B:B,PgSqlRaw!F:F,""), _xlfn.XLOOKUP(F498,PgSqlRaw!B:B,PgSqlRaw!F:F,""))</f>
        <v>BARE_LABEL</v>
      </c>
      <c r="K498" t="str">
        <f t="shared" si="43"/>
        <v>BARE_LABEL</v>
      </c>
      <c r="L498" t="str">
        <f>IF(_xlfn.XLOOKUP(F498,PhpReserved!A:A,PhpReserved!B:B,"") = "", _xlfn.XLOOKUP(G498,PhpReserved!A:A,PhpReserved!B:B,""),_xlfn.XLOOKUP(F498,PhpReserved!A:A,PhpReserved!B:B,""))</f>
        <v>RESERVED</v>
      </c>
      <c r="M498" t="str">
        <f>IF(_xlfn.XLOOKUP(F498,PhpFunctions!A:A,PhpFunctions!B:B,"") =  "", _xlfn.XLOOKUP(G498,PhpFunctions!A:A,PhpFunctions!B:B,""), _xlfn.XLOOKUP(F498,PhpFunctions!A:A,PhpFunctions!B:B,""))</f>
        <v/>
      </c>
      <c r="N498" t="str">
        <f>IF(_xlfn.XLOOKUP(F498,PhpParamFunc!A:A,PhpParamFunc!B:B,"") = "", _xlfn.XLOOKUP(G498,PhpParamFunc!A:A,PhpParamFunc!B:B,""), _xlfn.XLOOKUP(F498,PhpParamFunc!A:A,PhpParamFunc!B:B,""))</f>
        <v/>
      </c>
      <c r="O498" t="str">
        <f>IF(_xlfn.XLOOKUP(F498,PhpAggrFunc!A:A,PhpAggrFunc!B:B,"") = "", _xlfn.XLOOKUP(G498,PhpAggrFunc!A:A,PhpAggrFunc!B:B,""), _xlfn.XLOOKUP(F498,PhpAggrFunc!A:A,PhpAggrFunc!B:B,""))</f>
        <v/>
      </c>
      <c r="P498" t="str">
        <f t="shared" si="44"/>
        <v>RESERVED</v>
      </c>
      <c r="Q498" t="str">
        <f t="shared" si="45"/>
        <v>static const String^ TOK_UPDATE = "UPDATE";</v>
      </c>
      <c r="R498" t="str">
        <f t="shared" si="46"/>
        <v>static const int TOK_UPDATE = 425;</v>
      </c>
      <c r="S498" t="str">
        <f t="shared" si="47"/>
        <v>_Tokens-&gt;Add((String^)GramVals::TOK_UPDATE, gcnew Token(GramKeys::TOK_UPDATE, EnumTokenCategory::RESERVED,BARE_LABEL, i++));</v>
      </c>
    </row>
    <row r="499" spans="1:19" x14ac:dyDescent="0.25">
      <c r="A499" s="3" t="s">
        <v>1862</v>
      </c>
      <c r="B499" s="5" t="s">
        <v>1357</v>
      </c>
      <c r="C499" s="3" t="s">
        <v>2390</v>
      </c>
      <c r="D499" s="3" t="s">
        <v>881</v>
      </c>
      <c r="F499" t="str">
        <f t="shared" si="42"/>
        <v>UPDATING</v>
      </c>
      <c r="G499" t="s">
        <v>3841</v>
      </c>
      <c r="I499" s="3" t="str">
        <f>IF(_xlfn.XLOOKUP(F499,PgSqlRaw!B:B,PgSqlRaw!E:E,"") = "",_xlfn.XLOOKUP(G499,PgSqlRaw!B:B,PgSqlRaw!E:E,""),_xlfn.XLOOKUP(F499,PgSqlRaw!B:B,PgSqlRaw!E:E,""))</f>
        <v/>
      </c>
      <c r="J499" t="str">
        <f>IF(_xlfn.XLOOKUP(F499,PgSqlRaw!B:B,PgSqlRaw!F:F,"") = "", _xlfn.XLOOKUP(G499,PgSqlRaw!B:B,PgSqlRaw!F:F,""), _xlfn.XLOOKUP(F499,PgSqlRaw!B:B,PgSqlRaw!F:F,""))</f>
        <v/>
      </c>
      <c r="K499" t="str">
        <f t="shared" si="43"/>
        <v>BARE_LABEL</v>
      </c>
      <c r="L499" t="str">
        <f>IF(_xlfn.XLOOKUP(F499,PhpReserved!A:A,PhpReserved!B:B,"") = "", _xlfn.XLOOKUP(G499,PhpReserved!A:A,PhpReserved!B:B,""),_xlfn.XLOOKUP(F499,PhpReserved!A:A,PhpReserved!B:B,""))</f>
        <v/>
      </c>
      <c r="M499" t="str">
        <f>IF(_xlfn.XLOOKUP(F499,PhpFunctions!A:A,PhpFunctions!B:B,"") =  "", _xlfn.XLOOKUP(G499,PhpFunctions!A:A,PhpFunctions!B:B,""), _xlfn.XLOOKUP(F499,PhpFunctions!A:A,PhpFunctions!B:B,""))</f>
        <v/>
      </c>
      <c r="N499" t="str">
        <f>IF(_xlfn.XLOOKUP(F499,PhpParamFunc!A:A,PhpParamFunc!B:B,"") = "", _xlfn.XLOOKUP(G499,PhpParamFunc!A:A,PhpParamFunc!B:B,""), _xlfn.XLOOKUP(F499,PhpParamFunc!A:A,PhpParamFunc!B:B,""))</f>
        <v/>
      </c>
      <c r="O499" t="str">
        <f>IF(_xlfn.XLOOKUP(F499,PhpAggrFunc!A:A,PhpAggrFunc!B:B,"") = "", _xlfn.XLOOKUP(G499,PhpAggrFunc!A:A,PhpAggrFunc!B:B,""), _xlfn.XLOOKUP(F499,PhpAggrFunc!A:A,PhpAggrFunc!B:B,""))</f>
        <v/>
      </c>
      <c r="P499" t="str">
        <f t="shared" si="44"/>
        <v>UNRESERVED</v>
      </c>
      <c r="Q499" t="str">
        <f t="shared" si="45"/>
        <v>static const String^ TOK_UPDATING = "UPDATING";</v>
      </c>
      <c r="R499" t="str">
        <f t="shared" si="46"/>
        <v>static const int TOK_UPDATING = 493;</v>
      </c>
      <c r="S499" t="str">
        <f t="shared" si="47"/>
        <v>// _Tokens-&gt;Add((String^)GramVals::TOK_UPDATING, gcnew Token(GramKeys::TOK_UPDATING, EnumTokenCategory::UNRESERVED,BARE_LABEL, i++));</v>
      </c>
    </row>
    <row r="500" spans="1:19" x14ac:dyDescent="0.25">
      <c r="A500" s="3" t="s">
        <v>1863</v>
      </c>
      <c r="B500" s="5" t="s">
        <v>1358</v>
      </c>
      <c r="C500" s="3" t="s">
        <v>2391</v>
      </c>
      <c r="D500" s="3" t="s">
        <v>881</v>
      </c>
      <c r="F500" t="str">
        <f t="shared" si="42"/>
        <v>UPLUS</v>
      </c>
      <c r="G500" t="s">
        <v>3842</v>
      </c>
      <c r="I500" s="3" t="str">
        <f>IF(_xlfn.XLOOKUP(F500,PgSqlRaw!B:B,PgSqlRaw!E:E,"") = "",_xlfn.XLOOKUP(G500,PgSqlRaw!B:B,PgSqlRaw!E:E,""),_xlfn.XLOOKUP(F500,PgSqlRaw!B:B,PgSqlRaw!E:E,""))</f>
        <v/>
      </c>
      <c r="J500" t="str">
        <f>IF(_xlfn.XLOOKUP(F500,PgSqlRaw!B:B,PgSqlRaw!F:F,"") = "", _xlfn.XLOOKUP(G500,PgSqlRaw!B:B,PgSqlRaw!F:F,""), _xlfn.XLOOKUP(F500,PgSqlRaw!B:B,PgSqlRaw!F:F,""))</f>
        <v/>
      </c>
      <c r="K500" t="str">
        <f t="shared" si="43"/>
        <v>BARE_LABEL</v>
      </c>
      <c r="L500" t="str">
        <f>IF(_xlfn.XLOOKUP(F500,PhpReserved!A:A,PhpReserved!B:B,"") = "", _xlfn.XLOOKUP(G500,PhpReserved!A:A,PhpReserved!B:B,""),_xlfn.XLOOKUP(F500,PhpReserved!A:A,PhpReserved!B:B,""))</f>
        <v/>
      </c>
      <c r="M500" t="str">
        <f>IF(_xlfn.XLOOKUP(F500,PhpFunctions!A:A,PhpFunctions!B:B,"") =  "", _xlfn.XLOOKUP(G500,PhpFunctions!A:A,PhpFunctions!B:B,""), _xlfn.XLOOKUP(F500,PhpFunctions!A:A,PhpFunctions!B:B,""))</f>
        <v/>
      </c>
      <c r="N500" t="str">
        <f>IF(_xlfn.XLOOKUP(F500,PhpParamFunc!A:A,PhpParamFunc!B:B,"") = "", _xlfn.XLOOKUP(G500,PhpParamFunc!A:A,PhpParamFunc!B:B,""), _xlfn.XLOOKUP(F500,PhpParamFunc!A:A,PhpParamFunc!B:B,""))</f>
        <v/>
      </c>
      <c r="O500" t="str">
        <f>IF(_xlfn.XLOOKUP(F500,PhpAggrFunc!A:A,PhpAggrFunc!B:B,"") = "", _xlfn.XLOOKUP(G500,PhpAggrFunc!A:A,PhpAggrFunc!B:B,""), _xlfn.XLOOKUP(F500,PhpAggrFunc!A:A,PhpAggrFunc!B:B,""))</f>
        <v/>
      </c>
      <c r="P500" t="str">
        <f t="shared" si="44"/>
        <v>UNRESERVED</v>
      </c>
      <c r="Q500" t="str">
        <f t="shared" si="45"/>
        <v>static const String^ TOK_UPLUS = "UPLUS";</v>
      </c>
      <c r="R500" t="str">
        <f t="shared" si="46"/>
        <v>static const int TOK_UPLUS = 647;</v>
      </c>
      <c r="S500" t="str">
        <f t="shared" si="47"/>
        <v>// _Tokens-&gt;Add((String^)GramVals::TOK_UPLUS, gcnew Token(GramKeys::TOK_UPLUS, EnumTokenCategory::UNRESERVED,BARE_LABEL, i++));</v>
      </c>
    </row>
    <row r="501" spans="1:19" x14ac:dyDescent="0.25">
      <c r="A501" s="3" t="s">
        <v>1864</v>
      </c>
      <c r="B501" s="5" t="s">
        <v>1359</v>
      </c>
      <c r="C501" s="3" t="s">
        <v>2392</v>
      </c>
      <c r="D501" s="3" t="s">
        <v>881</v>
      </c>
      <c r="F501" t="str">
        <f t="shared" si="42"/>
        <v>UPPER</v>
      </c>
      <c r="G501" t="s">
        <v>3068</v>
      </c>
      <c r="I501" s="3" t="str">
        <f>IF(_xlfn.XLOOKUP(F501,PgSqlRaw!B:B,PgSqlRaw!E:E,"") = "",_xlfn.XLOOKUP(G501,PgSqlRaw!B:B,PgSqlRaw!E:E,""),_xlfn.XLOOKUP(F501,PgSqlRaw!B:B,PgSqlRaw!E:E,""))</f>
        <v/>
      </c>
      <c r="J501" t="str">
        <f>IF(_xlfn.XLOOKUP(F501,PgSqlRaw!B:B,PgSqlRaw!F:F,"") = "", _xlfn.XLOOKUP(G501,PgSqlRaw!B:B,PgSqlRaw!F:F,""), _xlfn.XLOOKUP(F501,PgSqlRaw!B:B,PgSqlRaw!F:F,""))</f>
        <v/>
      </c>
      <c r="K501" t="str">
        <f t="shared" si="43"/>
        <v>BARE_LABEL</v>
      </c>
      <c r="L501" t="str">
        <f>IF(_xlfn.XLOOKUP(F501,PhpReserved!A:A,PhpReserved!B:B,"") = "", _xlfn.XLOOKUP(G501,PhpReserved!A:A,PhpReserved!B:B,""),_xlfn.XLOOKUP(F501,PhpReserved!A:A,PhpReserved!B:B,""))</f>
        <v>RESERVED</v>
      </c>
      <c r="M501" t="str">
        <f>IF(_xlfn.XLOOKUP(F501,PhpFunctions!A:A,PhpFunctions!B:B,"") =  "", _xlfn.XLOOKUP(G501,PhpFunctions!A:A,PhpFunctions!B:B,""), _xlfn.XLOOKUP(F501,PhpFunctions!A:A,PhpFunctions!B:B,""))</f>
        <v>FUNCTION</v>
      </c>
      <c r="N501" t="str">
        <f>IF(_xlfn.XLOOKUP(F501,PhpParamFunc!A:A,PhpParamFunc!B:B,"") = "", _xlfn.XLOOKUP(G501,PhpParamFunc!A:A,PhpParamFunc!B:B,""), _xlfn.XLOOKUP(F501,PhpParamFunc!A:A,PhpParamFunc!B:B,""))</f>
        <v>PARAM_FUNCTION</v>
      </c>
      <c r="O501" t="str">
        <f>IF(_xlfn.XLOOKUP(F501,PhpAggrFunc!A:A,PhpAggrFunc!B:B,"") = "", _xlfn.XLOOKUP(G501,PhpAggrFunc!A:A,PhpAggrFunc!B:B,""), _xlfn.XLOOKUP(F501,PhpAggrFunc!A:A,PhpAggrFunc!B:B,""))</f>
        <v/>
      </c>
      <c r="P501" t="str">
        <f t="shared" si="44"/>
        <v>PARAM_FUNCTION</v>
      </c>
      <c r="Q501" t="str">
        <f t="shared" si="45"/>
        <v>static const String^ TOK_UPPER = "UPPER";</v>
      </c>
      <c r="R501" t="str">
        <f t="shared" si="46"/>
        <v>static const int TOK_UPPER = 346;</v>
      </c>
      <c r="S501" t="str">
        <f t="shared" si="47"/>
        <v>_Tokens-&gt;Add((String^)GramVals::TOK_UPPER, gcnew Token(GramKeys::TOK_UPPER, EnumTokenCategory::PARAM_FUNCTION,BARE_LABEL, i++));</v>
      </c>
    </row>
    <row r="502" spans="1:19" x14ac:dyDescent="0.25">
      <c r="A502" s="3" t="s">
        <v>1865</v>
      </c>
      <c r="B502" s="5" t="s">
        <v>1360</v>
      </c>
      <c r="C502" s="3" t="s">
        <v>2393</v>
      </c>
      <c r="D502" s="3" t="s">
        <v>2423</v>
      </c>
      <c r="F502" t="str">
        <f t="shared" si="42"/>
        <v>USAGE</v>
      </c>
      <c r="G502" t="s">
        <v>3274</v>
      </c>
      <c r="I502" s="3" t="str">
        <f>IF(_xlfn.XLOOKUP(F502,PgSqlRaw!B:B,PgSqlRaw!E:E,"") = "",_xlfn.XLOOKUP(G502,PgSqlRaw!B:B,PgSqlRaw!E:E,""),_xlfn.XLOOKUP(F502,PgSqlRaw!B:B,PgSqlRaw!E:E,""))</f>
        <v/>
      </c>
      <c r="J502" t="str">
        <f>IF(_xlfn.XLOOKUP(F502,PgSqlRaw!B:B,PgSqlRaw!F:F,"") = "", _xlfn.XLOOKUP(G502,PgSqlRaw!B:B,PgSqlRaw!F:F,""), _xlfn.XLOOKUP(F502,PgSqlRaw!B:B,PgSqlRaw!F:F,""))</f>
        <v/>
      </c>
      <c r="K502" t="str">
        <f t="shared" si="43"/>
        <v>BARE_LABEL</v>
      </c>
      <c r="L502" t="str">
        <f>IF(_xlfn.XLOOKUP(F502,PhpReserved!A:A,PhpReserved!B:B,"") = "", _xlfn.XLOOKUP(G502,PhpReserved!A:A,PhpReserved!B:B,""),_xlfn.XLOOKUP(F502,PhpReserved!A:A,PhpReserved!B:B,""))</f>
        <v>RESERVED</v>
      </c>
      <c r="M502" t="str">
        <f>IF(_xlfn.XLOOKUP(F502,PhpFunctions!A:A,PhpFunctions!B:B,"") =  "", _xlfn.XLOOKUP(G502,PhpFunctions!A:A,PhpFunctions!B:B,""), _xlfn.XLOOKUP(F502,PhpFunctions!A:A,PhpFunctions!B:B,""))</f>
        <v/>
      </c>
      <c r="N502" t="str">
        <f>IF(_xlfn.XLOOKUP(F502,PhpParamFunc!A:A,PhpParamFunc!B:B,"") = "", _xlfn.XLOOKUP(G502,PhpParamFunc!A:A,PhpParamFunc!B:B,""), _xlfn.XLOOKUP(F502,PhpParamFunc!A:A,PhpParamFunc!B:B,""))</f>
        <v/>
      </c>
      <c r="O502" t="str">
        <f>IF(_xlfn.XLOOKUP(F502,PhpAggrFunc!A:A,PhpAggrFunc!B:B,"") = "", _xlfn.XLOOKUP(G502,PhpAggrFunc!A:A,PhpAggrFunc!B:B,""), _xlfn.XLOOKUP(F502,PhpAggrFunc!A:A,PhpAggrFunc!B:B,""))</f>
        <v/>
      </c>
      <c r="P502" t="str">
        <f t="shared" si="44"/>
        <v>RESERVED</v>
      </c>
      <c r="Q502" t="str">
        <f t="shared" si="45"/>
        <v>static const String^ TOK_USAGE = "USAGE";</v>
      </c>
      <c r="R502" t="str">
        <f t="shared" si="46"/>
        <v>static const int TOK_USAGE = 642;</v>
      </c>
      <c r="S502" t="str">
        <f t="shared" si="47"/>
        <v>_Tokens-&gt;Add((String^)GramVals::TOK_USAGE, gcnew Token(GramKeys::TOK_USAGE, EnumTokenCategory::RESERVED,BARE_LABEL, i++));</v>
      </c>
    </row>
    <row r="503" spans="1:19" x14ac:dyDescent="0.25">
      <c r="A503" s="3" t="s">
        <v>1866</v>
      </c>
      <c r="B503" s="5" t="s">
        <v>1361</v>
      </c>
      <c r="C503" s="3" t="s">
        <v>2394</v>
      </c>
      <c r="D503" s="3" t="s">
        <v>881</v>
      </c>
      <c r="F503" t="str">
        <f t="shared" si="42"/>
        <v>USER</v>
      </c>
      <c r="G503" t="s">
        <v>3069</v>
      </c>
      <c r="I503" s="3" t="str">
        <f>IF(_xlfn.XLOOKUP(F503,PgSqlRaw!B:B,PgSqlRaw!E:E,"") = "",_xlfn.XLOOKUP(G503,PgSqlRaw!B:B,PgSqlRaw!E:E,""),_xlfn.XLOOKUP(F503,PgSqlRaw!B:B,PgSqlRaw!E:E,""))</f>
        <v>RESERVED</v>
      </c>
      <c r="J503" t="str">
        <f>IF(_xlfn.XLOOKUP(F503,PgSqlRaw!B:B,PgSqlRaw!F:F,"") = "", _xlfn.XLOOKUP(G503,PgSqlRaw!B:B,PgSqlRaw!F:F,""), _xlfn.XLOOKUP(F503,PgSqlRaw!B:B,PgSqlRaw!F:F,""))</f>
        <v>BARE_LABEL</v>
      </c>
      <c r="K503" t="str">
        <f t="shared" si="43"/>
        <v>BARE_LABEL</v>
      </c>
      <c r="L503" t="str">
        <f>IF(_xlfn.XLOOKUP(F503,PhpReserved!A:A,PhpReserved!B:B,"") = "", _xlfn.XLOOKUP(G503,PhpReserved!A:A,PhpReserved!B:B,""),_xlfn.XLOOKUP(F503,PhpReserved!A:A,PhpReserved!B:B,""))</f>
        <v>RESERVED</v>
      </c>
      <c r="M503" t="str">
        <f>IF(_xlfn.XLOOKUP(F503,PhpFunctions!A:A,PhpFunctions!B:B,"") =  "", _xlfn.XLOOKUP(G503,PhpFunctions!A:A,PhpFunctions!B:B,""), _xlfn.XLOOKUP(F503,PhpFunctions!A:A,PhpFunctions!B:B,""))</f>
        <v>FUNCTION</v>
      </c>
      <c r="N503" t="str">
        <f>IF(_xlfn.XLOOKUP(F503,PhpParamFunc!A:A,PhpParamFunc!B:B,"") = "", _xlfn.XLOOKUP(G503,PhpParamFunc!A:A,PhpParamFunc!B:B,""), _xlfn.XLOOKUP(F503,PhpParamFunc!A:A,PhpParamFunc!B:B,""))</f>
        <v/>
      </c>
      <c r="O503" t="str">
        <f>IF(_xlfn.XLOOKUP(F503,PhpAggrFunc!A:A,PhpAggrFunc!B:B,"") = "", _xlfn.XLOOKUP(G503,PhpAggrFunc!A:A,PhpAggrFunc!B:B,""), _xlfn.XLOOKUP(F503,PhpAggrFunc!A:A,PhpAggrFunc!B:B,""))</f>
        <v/>
      </c>
      <c r="P503" t="str">
        <f t="shared" si="44"/>
        <v>FUNCTION</v>
      </c>
      <c r="Q503" t="str">
        <f t="shared" si="45"/>
        <v>static const String^ TOK_USER = "USER";</v>
      </c>
      <c r="R503" t="str">
        <f t="shared" si="46"/>
        <v>static const int TOK_USER = 426;</v>
      </c>
      <c r="S503" t="str">
        <f t="shared" si="47"/>
        <v>_Tokens-&gt;Add((String^)GramVals::TOK_USER, gcnew Token(GramKeys::TOK_USER, EnumTokenCategory::FUNCTION,BARE_LABEL, i++));</v>
      </c>
    </row>
    <row r="504" spans="1:19" x14ac:dyDescent="0.25">
      <c r="A504" s="3" t="s">
        <v>1867</v>
      </c>
      <c r="B504" s="5" t="s">
        <v>1362</v>
      </c>
      <c r="C504" s="3" t="s">
        <v>2395</v>
      </c>
      <c r="D504" s="3" t="s">
        <v>881</v>
      </c>
      <c r="F504" t="str">
        <f t="shared" si="42"/>
        <v>USING</v>
      </c>
      <c r="G504" t="s">
        <v>3277</v>
      </c>
      <c r="I504" s="3" t="str">
        <f>IF(_xlfn.XLOOKUP(F504,PgSqlRaw!B:B,PgSqlRaw!E:E,"") = "",_xlfn.XLOOKUP(G504,PgSqlRaw!B:B,PgSqlRaw!E:E,""),_xlfn.XLOOKUP(F504,PgSqlRaw!B:B,PgSqlRaw!E:E,""))</f>
        <v>RESERVED</v>
      </c>
      <c r="J504" t="str">
        <f>IF(_xlfn.XLOOKUP(F504,PgSqlRaw!B:B,PgSqlRaw!F:F,"") = "", _xlfn.XLOOKUP(G504,PgSqlRaw!B:B,PgSqlRaw!F:F,""), _xlfn.XLOOKUP(F504,PgSqlRaw!B:B,PgSqlRaw!F:F,""))</f>
        <v>BARE_LABEL</v>
      </c>
      <c r="K504" t="str">
        <f t="shared" si="43"/>
        <v>BARE_LABEL</v>
      </c>
      <c r="L504" t="str">
        <f>IF(_xlfn.XLOOKUP(F504,PhpReserved!A:A,PhpReserved!B:B,"") = "", _xlfn.XLOOKUP(G504,PhpReserved!A:A,PhpReserved!B:B,""),_xlfn.XLOOKUP(F504,PhpReserved!A:A,PhpReserved!B:B,""))</f>
        <v>RESERVED</v>
      </c>
      <c r="M504" t="str">
        <f>IF(_xlfn.XLOOKUP(F504,PhpFunctions!A:A,PhpFunctions!B:B,"") =  "", _xlfn.XLOOKUP(G504,PhpFunctions!A:A,PhpFunctions!B:B,""), _xlfn.XLOOKUP(F504,PhpFunctions!A:A,PhpFunctions!B:B,""))</f>
        <v/>
      </c>
      <c r="N504" t="str">
        <f>IF(_xlfn.XLOOKUP(F504,PhpParamFunc!A:A,PhpParamFunc!B:B,"") = "", _xlfn.XLOOKUP(G504,PhpParamFunc!A:A,PhpParamFunc!B:B,""), _xlfn.XLOOKUP(F504,PhpParamFunc!A:A,PhpParamFunc!B:B,""))</f>
        <v/>
      </c>
      <c r="O504" t="str">
        <f>IF(_xlfn.XLOOKUP(F504,PhpAggrFunc!A:A,PhpAggrFunc!B:B,"") = "", _xlfn.XLOOKUP(G504,PhpAggrFunc!A:A,PhpAggrFunc!B:B,""), _xlfn.XLOOKUP(F504,PhpAggrFunc!A:A,PhpAggrFunc!B:B,""))</f>
        <v/>
      </c>
      <c r="P504" t="str">
        <f t="shared" si="44"/>
        <v>RESERVED</v>
      </c>
      <c r="Q504" t="str">
        <f t="shared" si="45"/>
        <v>static const String^ TOK_USING = "USING";</v>
      </c>
      <c r="R504" t="str">
        <f t="shared" si="46"/>
        <v>static const int TOK_USING = 483;</v>
      </c>
      <c r="S504" t="str">
        <f t="shared" si="47"/>
        <v>_Tokens-&gt;Add((String^)GramVals::TOK_USING, gcnew Token(GramKeys::TOK_USING, EnumTokenCategory::RESERVED,BARE_LABEL, i++));</v>
      </c>
    </row>
    <row r="505" spans="1:19" x14ac:dyDescent="0.25">
      <c r="A505" s="3" t="s">
        <v>1868</v>
      </c>
      <c r="B505" s="5" t="s">
        <v>1363</v>
      </c>
      <c r="C505" s="3" t="s">
        <v>2396</v>
      </c>
      <c r="D505" s="3" t="s">
        <v>2423</v>
      </c>
      <c r="F505" t="str">
        <f t="shared" si="42"/>
        <v>UUID_TO_CHAR</v>
      </c>
      <c r="G505" t="s">
        <v>3843</v>
      </c>
      <c r="I505" s="3" t="str">
        <f>IF(_xlfn.XLOOKUP(F505,PgSqlRaw!B:B,PgSqlRaw!E:E,"") = "",_xlfn.XLOOKUP(G505,PgSqlRaw!B:B,PgSqlRaw!E:E,""),_xlfn.XLOOKUP(F505,PgSqlRaw!B:B,PgSqlRaw!E:E,""))</f>
        <v/>
      </c>
      <c r="J505" t="str">
        <f>IF(_xlfn.XLOOKUP(F505,PgSqlRaw!B:B,PgSqlRaw!F:F,"") = "", _xlfn.XLOOKUP(G505,PgSqlRaw!B:B,PgSqlRaw!F:F,""), _xlfn.XLOOKUP(F505,PgSqlRaw!B:B,PgSqlRaw!F:F,""))</f>
        <v/>
      </c>
      <c r="K505" t="str">
        <f t="shared" si="43"/>
        <v>BARE_LABEL</v>
      </c>
      <c r="L505" t="str">
        <f>IF(_xlfn.XLOOKUP(F505,PhpReserved!A:A,PhpReserved!B:B,"") = "", _xlfn.XLOOKUP(G505,PhpReserved!A:A,PhpReserved!B:B,""),_xlfn.XLOOKUP(F505,PhpReserved!A:A,PhpReserved!B:B,""))</f>
        <v/>
      </c>
      <c r="M505" t="str">
        <f>IF(_xlfn.XLOOKUP(F505,PhpFunctions!A:A,PhpFunctions!B:B,"") =  "", _xlfn.XLOOKUP(G505,PhpFunctions!A:A,PhpFunctions!B:B,""), _xlfn.XLOOKUP(F505,PhpFunctions!A:A,PhpFunctions!B:B,""))</f>
        <v/>
      </c>
      <c r="N505" t="str">
        <f>IF(_xlfn.XLOOKUP(F505,PhpParamFunc!A:A,PhpParamFunc!B:B,"") = "", _xlfn.XLOOKUP(G505,PhpParamFunc!A:A,PhpParamFunc!B:B,""), _xlfn.XLOOKUP(F505,PhpParamFunc!A:A,PhpParamFunc!B:B,""))</f>
        <v/>
      </c>
      <c r="O505" t="str">
        <f>IF(_xlfn.XLOOKUP(F505,PhpAggrFunc!A:A,PhpAggrFunc!B:B,"") = "", _xlfn.XLOOKUP(G505,PhpAggrFunc!A:A,PhpAggrFunc!B:B,""), _xlfn.XLOOKUP(F505,PhpAggrFunc!A:A,PhpAggrFunc!B:B,""))</f>
        <v/>
      </c>
      <c r="P505" t="str">
        <f t="shared" si="44"/>
        <v>UNRESERVED</v>
      </c>
      <c r="Q505" t="str">
        <f t="shared" si="45"/>
        <v>static const String^ TOK_UUID_TO_CHAR = "UUID_TO_CHAR";</v>
      </c>
      <c r="R505" t="str">
        <f t="shared" si="46"/>
        <v>static const int TOK_UUID_TO_CHAR = 599;</v>
      </c>
      <c r="S505" t="str">
        <f t="shared" si="47"/>
        <v>// _Tokens-&gt;Add((String^)GramVals::TOK_UUID_TO_CHAR, gcnew Token(GramKeys::TOK_UUID_TO_CHAR, EnumTokenCategory::UNRESERVED,BARE_LABEL, i++));</v>
      </c>
    </row>
    <row r="506" spans="1:19" x14ac:dyDescent="0.25">
      <c r="A506" s="3" t="s">
        <v>1869</v>
      </c>
      <c r="B506" s="5" t="s">
        <v>1364</v>
      </c>
      <c r="C506" s="3" t="s">
        <v>2397</v>
      </c>
      <c r="D506" s="3" t="s">
        <v>881</v>
      </c>
      <c r="F506" t="str">
        <f t="shared" si="42"/>
        <v>VALUE</v>
      </c>
      <c r="G506" t="s">
        <v>3594</v>
      </c>
      <c r="I506" s="3" t="str">
        <f>IF(_xlfn.XLOOKUP(F506,PgSqlRaw!B:B,PgSqlRaw!E:E,"") = "",_xlfn.XLOOKUP(G506,PgSqlRaw!B:B,PgSqlRaw!E:E,""),_xlfn.XLOOKUP(F506,PgSqlRaw!B:B,PgSqlRaw!E:E,""))</f>
        <v/>
      </c>
      <c r="J506" t="str">
        <f>IF(_xlfn.XLOOKUP(F506,PgSqlRaw!B:B,PgSqlRaw!F:F,"") = "", _xlfn.XLOOKUP(G506,PgSqlRaw!B:B,PgSqlRaw!F:F,""), _xlfn.XLOOKUP(F506,PgSqlRaw!B:B,PgSqlRaw!F:F,""))</f>
        <v>BARE_LABEL</v>
      </c>
      <c r="K506" t="str">
        <f t="shared" si="43"/>
        <v>BARE_LABEL</v>
      </c>
      <c r="L506" t="str">
        <f>IF(_xlfn.XLOOKUP(F506,PhpReserved!A:A,PhpReserved!B:B,"") = "", _xlfn.XLOOKUP(G506,PhpReserved!A:A,PhpReserved!B:B,""),_xlfn.XLOOKUP(F506,PhpReserved!A:A,PhpReserved!B:B,""))</f>
        <v/>
      </c>
      <c r="M506" t="str">
        <f>IF(_xlfn.XLOOKUP(F506,PhpFunctions!A:A,PhpFunctions!B:B,"") =  "", _xlfn.XLOOKUP(G506,PhpFunctions!A:A,PhpFunctions!B:B,""), _xlfn.XLOOKUP(F506,PhpFunctions!A:A,PhpFunctions!B:B,""))</f>
        <v/>
      </c>
      <c r="N506" t="str">
        <f>IF(_xlfn.XLOOKUP(F506,PhpParamFunc!A:A,PhpParamFunc!B:B,"") = "", _xlfn.XLOOKUP(G506,PhpParamFunc!A:A,PhpParamFunc!B:B,""), _xlfn.XLOOKUP(F506,PhpParamFunc!A:A,PhpParamFunc!B:B,""))</f>
        <v/>
      </c>
      <c r="O506" t="str">
        <f>IF(_xlfn.XLOOKUP(F506,PhpAggrFunc!A:A,PhpAggrFunc!B:B,"") = "", _xlfn.XLOOKUP(G506,PhpAggrFunc!A:A,PhpAggrFunc!B:B,""), _xlfn.XLOOKUP(F506,PhpAggrFunc!A:A,PhpAggrFunc!B:B,""))</f>
        <v/>
      </c>
      <c r="P506" t="str">
        <f t="shared" si="44"/>
        <v>UNRESERVED</v>
      </c>
      <c r="Q506" t="str">
        <f t="shared" si="45"/>
        <v>static const String^ TOK_VALUE = "VALUE";</v>
      </c>
      <c r="R506" t="str">
        <f t="shared" si="46"/>
        <v>static const int TOK_VALUE = 347;</v>
      </c>
      <c r="S506" t="str">
        <f t="shared" si="47"/>
        <v>// _Tokens-&gt;Add((String^)GramVals::TOK_VALUE, gcnew Token(GramKeys::TOK_VALUE, EnumTokenCategory::UNRESERVED,BARE_LABEL, i++));</v>
      </c>
    </row>
    <row r="507" spans="1:19" x14ac:dyDescent="0.25">
      <c r="A507" s="3" t="s">
        <v>1870</v>
      </c>
      <c r="B507" s="5" t="s">
        <v>1365</v>
      </c>
      <c r="C507" s="3" t="s">
        <v>2398</v>
      </c>
      <c r="D507" s="3" t="s">
        <v>881</v>
      </c>
      <c r="F507" t="str">
        <f t="shared" si="42"/>
        <v>VALUES</v>
      </c>
      <c r="G507" t="s">
        <v>3278</v>
      </c>
      <c r="I507" s="3" t="str">
        <f>IF(_xlfn.XLOOKUP(F507,PgSqlRaw!B:B,PgSqlRaw!E:E,"") = "",_xlfn.XLOOKUP(G507,PgSqlRaw!B:B,PgSqlRaw!E:E,""),_xlfn.XLOOKUP(F507,PgSqlRaw!B:B,PgSqlRaw!E:E,""))</f>
        <v>COLNAME_KEYWORD</v>
      </c>
      <c r="J507" t="str">
        <f>IF(_xlfn.XLOOKUP(F507,PgSqlRaw!B:B,PgSqlRaw!F:F,"") = "", _xlfn.XLOOKUP(G507,PgSqlRaw!B:B,PgSqlRaw!F:F,""), _xlfn.XLOOKUP(F507,PgSqlRaw!B:B,PgSqlRaw!F:F,""))</f>
        <v>BARE_LABEL</v>
      </c>
      <c r="K507" t="str">
        <f t="shared" si="43"/>
        <v>BARE_LABEL</v>
      </c>
      <c r="L507" t="str">
        <f>IF(_xlfn.XLOOKUP(F507,PhpReserved!A:A,PhpReserved!B:B,"") = "", _xlfn.XLOOKUP(G507,PhpReserved!A:A,PhpReserved!B:B,""),_xlfn.XLOOKUP(F507,PhpReserved!A:A,PhpReserved!B:B,""))</f>
        <v>RESERVED</v>
      </c>
      <c r="M507" t="str">
        <f>IF(_xlfn.XLOOKUP(F507,PhpFunctions!A:A,PhpFunctions!B:B,"") =  "", _xlfn.XLOOKUP(G507,PhpFunctions!A:A,PhpFunctions!B:B,""), _xlfn.XLOOKUP(F507,PhpFunctions!A:A,PhpFunctions!B:B,""))</f>
        <v/>
      </c>
      <c r="N507" t="str">
        <f>IF(_xlfn.XLOOKUP(F507,PhpParamFunc!A:A,PhpParamFunc!B:B,"") = "", _xlfn.XLOOKUP(G507,PhpParamFunc!A:A,PhpParamFunc!B:B,""), _xlfn.XLOOKUP(F507,PhpParamFunc!A:A,PhpParamFunc!B:B,""))</f>
        <v/>
      </c>
      <c r="O507" t="str">
        <f>IF(_xlfn.XLOOKUP(F507,PhpAggrFunc!A:A,PhpAggrFunc!B:B,"") = "", _xlfn.XLOOKUP(G507,PhpAggrFunc!A:A,PhpAggrFunc!B:B,""), _xlfn.XLOOKUP(F507,PhpAggrFunc!A:A,PhpAggrFunc!B:B,""))</f>
        <v/>
      </c>
      <c r="P507" t="str">
        <f t="shared" si="44"/>
        <v>RESERVED</v>
      </c>
      <c r="Q507" t="str">
        <f t="shared" si="45"/>
        <v>static const String^ TOK_VALUES = "VALUES";</v>
      </c>
      <c r="R507" t="str">
        <f t="shared" si="46"/>
        <v>static const int TOK_VALUES = 427;</v>
      </c>
      <c r="S507" t="str">
        <f t="shared" si="47"/>
        <v>_Tokens-&gt;Add((String^)GramVals::TOK_VALUES, gcnew Token(GramKeys::TOK_VALUES, EnumTokenCategory::RESERVED,BARE_LABEL, i++));</v>
      </c>
    </row>
    <row r="508" spans="1:19" x14ac:dyDescent="0.25">
      <c r="A508" s="3" t="s">
        <v>1871</v>
      </c>
      <c r="B508" s="5">
        <v>773</v>
      </c>
      <c r="C508" s="3" t="s">
        <v>2399</v>
      </c>
      <c r="D508" s="3" t="s">
        <v>881</v>
      </c>
      <c r="F508" t="str">
        <f t="shared" si="42"/>
        <v>VAR_POP</v>
      </c>
      <c r="G508" t="s">
        <v>3074</v>
      </c>
      <c r="I508" s="3" t="str">
        <f>IF(_xlfn.XLOOKUP(F508,PgSqlRaw!B:B,PgSqlRaw!E:E,"") = "",_xlfn.XLOOKUP(G508,PgSqlRaw!B:B,PgSqlRaw!E:E,""),_xlfn.XLOOKUP(F508,PgSqlRaw!B:B,PgSqlRaw!E:E,""))</f>
        <v/>
      </c>
      <c r="J508" t="str">
        <f>IF(_xlfn.XLOOKUP(F508,PgSqlRaw!B:B,PgSqlRaw!F:F,"") = "", _xlfn.XLOOKUP(G508,PgSqlRaw!B:B,PgSqlRaw!F:F,""), _xlfn.XLOOKUP(F508,PgSqlRaw!B:B,PgSqlRaw!F:F,""))</f>
        <v/>
      </c>
      <c r="K508" t="str">
        <f t="shared" si="43"/>
        <v>BARE_LABEL</v>
      </c>
      <c r="L508" t="str">
        <f>IF(_xlfn.XLOOKUP(F508,PhpReserved!A:A,PhpReserved!B:B,"") = "", _xlfn.XLOOKUP(G508,PhpReserved!A:A,PhpReserved!B:B,""),_xlfn.XLOOKUP(F508,PhpReserved!A:A,PhpReserved!B:B,""))</f>
        <v>RESERVED</v>
      </c>
      <c r="M508" t="str">
        <f>IF(_xlfn.XLOOKUP(F508,PhpFunctions!A:A,PhpFunctions!B:B,"") =  "", _xlfn.XLOOKUP(G508,PhpFunctions!A:A,PhpFunctions!B:B,""), _xlfn.XLOOKUP(F508,PhpFunctions!A:A,PhpFunctions!B:B,""))</f>
        <v>FUNCTION</v>
      </c>
      <c r="N508" t="str">
        <f>IF(_xlfn.XLOOKUP(F508,PhpParamFunc!A:A,PhpParamFunc!B:B,"") = "", _xlfn.XLOOKUP(G508,PhpParamFunc!A:A,PhpParamFunc!B:B,""), _xlfn.XLOOKUP(F508,PhpParamFunc!A:A,PhpParamFunc!B:B,""))</f>
        <v>PARAM_FUNCTION</v>
      </c>
      <c r="O508" t="str">
        <f>IF(_xlfn.XLOOKUP(F508,PhpAggrFunc!A:A,PhpAggrFunc!B:B,"") = "", _xlfn.XLOOKUP(G508,PhpAggrFunc!A:A,PhpAggrFunc!B:B,""), _xlfn.XLOOKUP(F508,PhpAggrFunc!A:A,PhpAggrFunc!B:B,""))</f>
        <v>AGGR_FUNCTION</v>
      </c>
      <c r="P508" t="str">
        <f t="shared" si="44"/>
        <v>AGGR_FUNCTION</v>
      </c>
      <c r="Q508" t="str">
        <f t="shared" si="45"/>
        <v>static const String^ TOK_VAR_POP = "VAR_POP";</v>
      </c>
      <c r="R508" t="str">
        <f t="shared" si="46"/>
        <v>static const int TOK_VAR_POP = 773;</v>
      </c>
      <c r="S508" t="str">
        <f t="shared" si="47"/>
        <v>_Tokens-&gt;Add((String^)GramVals::TOK_VAR_POP, gcnew Token(GramKeys::TOK_VAR_POP, EnumTokenCategory::AGGR_FUNCTION,BARE_LABEL, i++));</v>
      </c>
    </row>
    <row r="509" spans="1:19" x14ac:dyDescent="0.25">
      <c r="A509" s="3" t="s">
        <v>1872</v>
      </c>
      <c r="B509" s="5">
        <v>774</v>
      </c>
      <c r="C509" s="3" t="s">
        <v>2400</v>
      </c>
      <c r="D509" s="3" t="s">
        <v>881</v>
      </c>
      <c r="F509" t="str">
        <f t="shared" si="42"/>
        <v>VAR_SAMP</v>
      </c>
      <c r="G509" t="s">
        <v>3075</v>
      </c>
      <c r="I509" s="3" t="str">
        <f>IF(_xlfn.XLOOKUP(F509,PgSqlRaw!B:B,PgSqlRaw!E:E,"") = "",_xlfn.XLOOKUP(G509,PgSqlRaw!B:B,PgSqlRaw!E:E,""),_xlfn.XLOOKUP(F509,PgSqlRaw!B:B,PgSqlRaw!E:E,""))</f>
        <v/>
      </c>
      <c r="J509" t="str">
        <f>IF(_xlfn.XLOOKUP(F509,PgSqlRaw!B:B,PgSqlRaw!F:F,"") = "", _xlfn.XLOOKUP(G509,PgSqlRaw!B:B,PgSqlRaw!F:F,""), _xlfn.XLOOKUP(F509,PgSqlRaw!B:B,PgSqlRaw!F:F,""))</f>
        <v/>
      </c>
      <c r="K509" t="str">
        <f t="shared" si="43"/>
        <v>BARE_LABEL</v>
      </c>
      <c r="L509" t="str">
        <f>IF(_xlfn.XLOOKUP(F509,PhpReserved!A:A,PhpReserved!B:B,"") = "", _xlfn.XLOOKUP(G509,PhpReserved!A:A,PhpReserved!B:B,""),_xlfn.XLOOKUP(F509,PhpReserved!A:A,PhpReserved!B:B,""))</f>
        <v>RESERVED</v>
      </c>
      <c r="M509" t="str">
        <f>IF(_xlfn.XLOOKUP(F509,PhpFunctions!A:A,PhpFunctions!B:B,"") =  "", _xlfn.XLOOKUP(G509,PhpFunctions!A:A,PhpFunctions!B:B,""), _xlfn.XLOOKUP(F509,PhpFunctions!A:A,PhpFunctions!B:B,""))</f>
        <v>FUNCTION</v>
      </c>
      <c r="N509" t="str">
        <f>IF(_xlfn.XLOOKUP(F509,PhpParamFunc!A:A,PhpParamFunc!B:B,"") = "", _xlfn.XLOOKUP(G509,PhpParamFunc!A:A,PhpParamFunc!B:B,""), _xlfn.XLOOKUP(F509,PhpParamFunc!A:A,PhpParamFunc!B:B,""))</f>
        <v>PARAM_FUNCTION</v>
      </c>
      <c r="O509" t="str">
        <f>IF(_xlfn.XLOOKUP(F509,PhpAggrFunc!A:A,PhpAggrFunc!B:B,"") = "", _xlfn.XLOOKUP(G509,PhpAggrFunc!A:A,PhpAggrFunc!B:B,""), _xlfn.XLOOKUP(F509,PhpAggrFunc!A:A,PhpAggrFunc!B:B,""))</f>
        <v>AGGR_FUNCTION</v>
      </c>
      <c r="P509" t="str">
        <f t="shared" si="44"/>
        <v>AGGR_FUNCTION</v>
      </c>
      <c r="Q509" t="str">
        <f t="shared" si="45"/>
        <v>static const String^ TOK_VAR_SAMP = "VAR_SAMP";</v>
      </c>
      <c r="R509" t="str">
        <f t="shared" si="46"/>
        <v>static const int TOK_VAR_SAMP = 774;</v>
      </c>
      <c r="S509" t="str">
        <f t="shared" si="47"/>
        <v>_Tokens-&gt;Add((String^)GramVals::TOK_VAR_SAMP, gcnew Token(GramKeys::TOK_VAR_SAMP, EnumTokenCategory::AGGR_FUNCTION,BARE_LABEL, i++));</v>
      </c>
    </row>
    <row r="510" spans="1:19" x14ac:dyDescent="0.25">
      <c r="A510" s="3" t="s">
        <v>1873</v>
      </c>
      <c r="B510" s="5">
        <v>775</v>
      </c>
      <c r="C510" s="3" t="s">
        <v>2401</v>
      </c>
      <c r="D510" s="3" t="s">
        <v>881</v>
      </c>
      <c r="F510" t="str">
        <f t="shared" si="42"/>
        <v>VARBINARY</v>
      </c>
      <c r="G510" t="s">
        <v>3279</v>
      </c>
      <c r="I510" s="3" t="str">
        <f>IF(_xlfn.XLOOKUP(F510,PgSqlRaw!B:B,PgSqlRaw!E:E,"") = "",_xlfn.XLOOKUP(G510,PgSqlRaw!B:B,PgSqlRaw!E:E,""),_xlfn.XLOOKUP(F510,PgSqlRaw!B:B,PgSqlRaw!E:E,""))</f>
        <v/>
      </c>
      <c r="J510" t="str">
        <f>IF(_xlfn.XLOOKUP(F510,PgSqlRaw!B:B,PgSqlRaw!F:F,"") = "", _xlfn.XLOOKUP(G510,PgSqlRaw!B:B,PgSqlRaw!F:F,""), _xlfn.XLOOKUP(F510,PgSqlRaw!B:B,PgSqlRaw!F:F,""))</f>
        <v/>
      </c>
      <c r="K510" t="str">
        <f t="shared" si="43"/>
        <v>BARE_LABEL</v>
      </c>
      <c r="L510" t="str">
        <f>IF(_xlfn.XLOOKUP(F510,PhpReserved!A:A,PhpReserved!B:B,"") = "", _xlfn.XLOOKUP(G510,PhpReserved!A:A,PhpReserved!B:B,""),_xlfn.XLOOKUP(F510,PhpReserved!A:A,PhpReserved!B:B,""))</f>
        <v>RESERVED</v>
      </c>
      <c r="M510" t="str">
        <f>IF(_xlfn.XLOOKUP(F510,PhpFunctions!A:A,PhpFunctions!B:B,"") =  "", _xlfn.XLOOKUP(G510,PhpFunctions!A:A,PhpFunctions!B:B,""), _xlfn.XLOOKUP(F510,PhpFunctions!A:A,PhpFunctions!B:B,""))</f>
        <v/>
      </c>
      <c r="N510" t="str">
        <f>IF(_xlfn.XLOOKUP(F510,PhpParamFunc!A:A,PhpParamFunc!B:B,"") = "", _xlfn.XLOOKUP(G510,PhpParamFunc!A:A,PhpParamFunc!B:B,""), _xlfn.XLOOKUP(F510,PhpParamFunc!A:A,PhpParamFunc!B:B,""))</f>
        <v/>
      </c>
      <c r="O510" t="str">
        <f>IF(_xlfn.XLOOKUP(F510,PhpAggrFunc!A:A,PhpAggrFunc!B:B,"") = "", _xlfn.XLOOKUP(G510,PhpAggrFunc!A:A,PhpAggrFunc!B:B,""), _xlfn.XLOOKUP(F510,PhpAggrFunc!A:A,PhpAggrFunc!B:B,""))</f>
        <v/>
      </c>
      <c r="P510" t="str">
        <f t="shared" si="44"/>
        <v>RESERVED</v>
      </c>
      <c r="Q510" t="str">
        <f t="shared" si="45"/>
        <v>static const String^ TOK_VARBINARY = "VARBINARY";</v>
      </c>
      <c r="R510" t="str">
        <f t="shared" si="46"/>
        <v>static const int TOK_VARBINARY = 775;</v>
      </c>
      <c r="S510" t="str">
        <f t="shared" si="47"/>
        <v>_Tokens-&gt;Add((String^)GramVals::TOK_VARBINARY, gcnew Token(GramKeys::TOK_VARBINARY, EnumTokenCategory::RESERVED,BARE_LABEL, i++));</v>
      </c>
    </row>
    <row r="511" spans="1:19" x14ac:dyDescent="0.25">
      <c r="A511" s="3" t="s">
        <v>1874</v>
      </c>
      <c r="B511" s="5" t="s">
        <v>1366</v>
      </c>
      <c r="C511" s="3" t="s">
        <v>2402</v>
      </c>
      <c r="D511" s="3" t="s">
        <v>881</v>
      </c>
      <c r="F511" t="str">
        <f t="shared" si="42"/>
        <v>VARCHAR</v>
      </c>
      <c r="G511" t="s">
        <v>3280</v>
      </c>
      <c r="I511" s="3" t="str">
        <f>IF(_xlfn.XLOOKUP(F511,PgSqlRaw!B:B,PgSqlRaw!E:E,"") = "",_xlfn.XLOOKUP(G511,PgSqlRaw!B:B,PgSqlRaw!E:E,""),_xlfn.XLOOKUP(F511,PgSqlRaw!B:B,PgSqlRaw!E:E,""))</f>
        <v>COLNAME_KEYWORD</v>
      </c>
      <c r="J511" t="str">
        <f>IF(_xlfn.XLOOKUP(F511,PgSqlRaw!B:B,PgSqlRaw!F:F,"") = "", _xlfn.XLOOKUP(G511,PgSqlRaw!B:B,PgSqlRaw!F:F,""), _xlfn.XLOOKUP(F511,PgSqlRaw!B:B,PgSqlRaw!F:F,""))</f>
        <v>BARE_LABEL</v>
      </c>
      <c r="K511" t="str">
        <f t="shared" si="43"/>
        <v>BARE_LABEL</v>
      </c>
      <c r="L511" t="str">
        <f>IF(_xlfn.XLOOKUP(F511,PhpReserved!A:A,PhpReserved!B:B,"") = "", _xlfn.XLOOKUP(G511,PhpReserved!A:A,PhpReserved!B:B,""),_xlfn.XLOOKUP(F511,PhpReserved!A:A,PhpReserved!B:B,""))</f>
        <v>RESERVED</v>
      </c>
      <c r="M511" t="str">
        <f>IF(_xlfn.XLOOKUP(F511,PhpFunctions!A:A,PhpFunctions!B:B,"") =  "", _xlfn.XLOOKUP(G511,PhpFunctions!A:A,PhpFunctions!B:B,""), _xlfn.XLOOKUP(F511,PhpFunctions!A:A,PhpFunctions!B:B,""))</f>
        <v/>
      </c>
      <c r="N511" t="str">
        <f>IF(_xlfn.XLOOKUP(F511,PhpParamFunc!A:A,PhpParamFunc!B:B,"") = "", _xlfn.XLOOKUP(G511,PhpParamFunc!A:A,PhpParamFunc!B:B,""), _xlfn.XLOOKUP(F511,PhpParamFunc!A:A,PhpParamFunc!B:B,""))</f>
        <v/>
      </c>
      <c r="O511" t="str">
        <f>IF(_xlfn.XLOOKUP(F511,PhpAggrFunc!A:A,PhpAggrFunc!B:B,"") = "", _xlfn.XLOOKUP(G511,PhpAggrFunc!A:A,PhpAggrFunc!B:B,""), _xlfn.XLOOKUP(F511,PhpAggrFunc!A:A,PhpAggrFunc!B:B,""))</f>
        <v/>
      </c>
      <c r="P511" t="str">
        <f t="shared" si="44"/>
        <v>RESERVED</v>
      </c>
      <c r="Q511" t="str">
        <f t="shared" si="45"/>
        <v>static const String^ TOK_VARCHAR = "VARCHAR";</v>
      </c>
      <c r="R511" t="str">
        <f t="shared" si="46"/>
        <v>static const int TOK_VARCHAR = 428;</v>
      </c>
      <c r="S511" t="str">
        <f t="shared" si="47"/>
        <v>_Tokens-&gt;Add((String^)GramVals::TOK_VARCHAR, gcnew Token(GramKeys::TOK_VARCHAR, EnumTokenCategory::RESERVED,BARE_LABEL, i++));</v>
      </c>
    </row>
    <row r="512" spans="1:19" x14ac:dyDescent="0.25">
      <c r="A512" s="3" t="s">
        <v>1875</v>
      </c>
      <c r="B512" s="5" t="s">
        <v>1367</v>
      </c>
      <c r="C512" s="3" t="s">
        <v>2403</v>
      </c>
      <c r="D512" s="3" t="s">
        <v>881</v>
      </c>
      <c r="F512" t="str">
        <f t="shared" si="42"/>
        <v>VARIABLE</v>
      </c>
      <c r="G512" t="s">
        <v>3844</v>
      </c>
      <c r="I512" s="3" t="str">
        <f>IF(_xlfn.XLOOKUP(F512,PgSqlRaw!B:B,PgSqlRaw!E:E,"") = "",_xlfn.XLOOKUP(G512,PgSqlRaw!B:B,PgSqlRaw!E:E,""),_xlfn.XLOOKUP(F512,PgSqlRaw!B:B,PgSqlRaw!E:E,""))</f>
        <v/>
      </c>
      <c r="J512" t="str">
        <f>IF(_xlfn.XLOOKUP(F512,PgSqlRaw!B:B,PgSqlRaw!F:F,"") = "", _xlfn.XLOOKUP(G512,PgSqlRaw!B:B,PgSqlRaw!F:F,""), _xlfn.XLOOKUP(F512,PgSqlRaw!B:B,PgSqlRaw!F:F,""))</f>
        <v/>
      </c>
      <c r="K512" t="str">
        <f t="shared" si="43"/>
        <v>BARE_LABEL</v>
      </c>
      <c r="L512" t="str">
        <f>IF(_xlfn.XLOOKUP(F512,PhpReserved!A:A,PhpReserved!B:B,"") = "", _xlfn.XLOOKUP(G512,PhpReserved!A:A,PhpReserved!B:B,""),_xlfn.XLOOKUP(F512,PhpReserved!A:A,PhpReserved!B:B,""))</f>
        <v/>
      </c>
      <c r="M512" t="str">
        <f>IF(_xlfn.XLOOKUP(F512,PhpFunctions!A:A,PhpFunctions!B:B,"") =  "", _xlfn.XLOOKUP(G512,PhpFunctions!A:A,PhpFunctions!B:B,""), _xlfn.XLOOKUP(F512,PhpFunctions!A:A,PhpFunctions!B:B,""))</f>
        <v/>
      </c>
      <c r="N512" t="str">
        <f>IF(_xlfn.XLOOKUP(F512,PhpParamFunc!A:A,PhpParamFunc!B:B,"") = "", _xlfn.XLOOKUP(G512,PhpParamFunc!A:A,PhpParamFunc!B:B,""), _xlfn.XLOOKUP(F512,PhpParamFunc!A:A,PhpParamFunc!B:B,""))</f>
        <v/>
      </c>
      <c r="O512" t="str">
        <f>IF(_xlfn.XLOOKUP(F512,PhpAggrFunc!A:A,PhpAggrFunc!B:B,"") = "", _xlfn.XLOOKUP(G512,PhpAggrFunc!A:A,PhpAggrFunc!B:B,""), _xlfn.XLOOKUP(F512,PhpAggrFunc!A:A,PhpAggrFunc!B:B,""))</f>
        <v/>
      </c>
      <c r="P512" t="str">
        <f t="shared" si="44"/>
        <v>UNRESERVED</v>
      </c>
      <c r="Q512" t="str">
        <f t="shared" si="45"/>
        <v>static const String^ TOK_VARIABLE = "VARIABLE";</v>
      </c>
      <c r="R512" t="str">
        <f t="shared" si="46"/>
        <v>static const int TOK_VARIABLE = 429;</v>
      </c>
      <c r="S512" t="str">
        <f t="shared" si="47"/>
        <v>// _Tokens-&gt;Add((String^)GramVals::TOK_VARIABLE, gcnew Token(GramKeys::TOK_VARIABLE, EnumTokenCategory::UNRESERVED,BARE_LABEL, i++));</v>
      </c>
    </row>
    <row r="513" spans="1:19" x14ac:dyDescent="0.25">
      <c r="A513" s="3" t="s">
        <v>1876</v>
      </c>
      <c r="B513" s="5" t="s">
        <v>1368</v>
      </c>
      <c r="C513" s="3" t="s">
        <v>2404</v>
      </c>
      <c r="D513" s="3" t="s">
        <v>881</v>
      </c>
      <c r="F513" t="str">
        <f t="shared" si="42"/>
        <v>VARYING</v>
      </c>
      <c r="G513" t="s">
        <v>3282</v>
      </c>
      <c r="I513" s="3" t="str">
        <f>IF(_xlfn.XLOOKUP(F513,PgSqlRaw!B:B,PgSqlRaw!E:E,"") = "",_xlfn.XLOOKUP(G513,PgSqlRaw!B:B,PgSqlRaw!E:E,""),_xlfn.XLOOKUP(F513,PgSqlRaw!B:B,PgSqlRaw!E:E,""))</f>
        <v/>
      </c>
      <c r="J513" t="str">
        <f>IF(_xlfn.XLOOKUP(F513,PgSqlRaw!B:B,PgSqlRaw!F:F,"") = "", _xlfn.XLOOKUP(G513,PgSqlRaw!B:B,PgSqlRaw!F:F,""), _xlfn.XLOOKUP(F513,PgSqlRaw!B:B,PgSqlRaw!F:F,""))</f>
        <v>AS_LABEL</v>
      </c>
      <c r="K513" t="str">
        <f t="shared" si="43"/>
        <v>AS_LABEL</v>
      </c>
      <c r="L513" t="str">
        <f>IF(_xlfn.XLOOKUP(F513,PhpReserved!A:A,PhpReserved!B:B,"") = "", _xlfn.XLOOKUP(G513,PhpReserved!A:A,PhpReserved!B:B,""),_xlfn.XLOOKUP(F513,PhpReserved!A:A,PhpReserved!B:B,""))</f>
        <v>RESERVED</v>
      </c>
      <c r="M513" t="str">
        <f>IF(_xlfn.XLOOKUP(F513,PhpFunctions!A:A,PhpFunctions!B:B,"") =  "", _xlfn.XLOOKUP(G513,PhpFunctions!A:A,PhpFunctions!B:B,""), _xlfn.XLOOKUP(F513,PhpFunctions!A:A,PhpFunctions!B:B,""))</f>
        <v/>
      </c>
      <c r="N513" t="str">
        <f>IF(_xlfn.XLOOKUP(F513,PhpParamFunc!A:A,PhpParamFunc!B:B,"") = "", _xlfn.XLOOKUP(G513,PhpParamFunc!A:A,PhpParamFunc!B:B,""), _xlfn.XLOOKUP(F513,PhpParamFunc!A:A,PhpParamFunc!B:B,""))</f>
        <v/>
      </c>
      <c r="O513" t="str">
        <f>IF(_xlfn.XLOOKUP(F513,PhpAggrFunc!A:A,PhpAggrFunc!B:B,"") = "", _xlfn.XLOOKUP(G513,PhpAggrFunc!A:A,PhpAggrFunc!B:B,""), _xlfn.XLOOKUP(F513,PhpAggrFunc!A:A,PhpAggrFunc!B:B,""))</f>
        <v/>
      </c>
      <c r="P513" t="str">
        <f t="shared" si="44"/>
        <v>RESERVED</v>
      </c>
      <c r="Q513" t="str">
        <f t="shared" si="45"/>
        <v>static const String^ TOK_VARYING = "VARYING";</v>
      </c>
      <c r="R513" t="str">
        <f t="shared" si="46"/>
        <v>static const int TOK_VARYING = 430;</v>
      </c>
      <c r="S513" t="str">
        <f t="shared" si="47"/>
        <v>_Tokens-&gt;Add((String^)GramVals::TOK_VARYING, gcnew Token(GramKeys::TOK_VARYING, EnumTokenCategory::RESERVED,AS_LABEL, i++));</v>
      </c>
    </row>
    <row r="514" spans="1:19" x14ac:dyDescent="0.25">
      <c r="A514" s="3" t="s">
        <v>1877</v>
      </c>
      <c r="B514" s="5" t="s">
        <v>1369</v>
      </c>
      <c r="C514" s="3" t="s">
        <v>2405</v>
      </c>
      <c r="D514" s="3" t="s">
        <v>881</v>
      </c>
      <c r="F514" t="str">
        <f t="shared" si="42"/>
        <v>VERSION</v>
      </c>
      <c r="G514" t="s">
        <v>3077</v>
      </c>
      <c r="I514" s="3" t="str">
        <f>IF(_xlfn.XLOOKUP(F514,PgSqlRaw!B:B,PgSqlRaw!E:E,"") = "",_xlfn.XLOOKUP(G514,PgSqlRaw!B:B,PgSqlRaw!E:E,""),_xlfn.XLOOKUP(F514,PgSqlRaw!B:B,PgSqlRaw!E:E,""))</f>
        <v/>
      </c>
      <c r="J514" t="str">
        <f>IF(_xlfn.XLOOKUP(F514,PgSqlRaw!B:B,PgSqlRaw!F:F,"") = "", _xlfn.XLOOKUP(G514,PgSqlRaw!B:B,PgSqlRaw!F:F,""), _xlfn.XLOOKUP(F514,PgSqlRaw!B:B,PgSqlRaw!F:F,""))</f>
        <v>BARE_LABEL</v>
      </c>
      <c r="K514" t="str">
        <f t="shared" si="43"/>
        <v>BARE_LABEL</v>
      </c>
      <c r="L514" t="str">
        <f>IF(_xlfn.XLOOKUP(F514,PhpReserved!A:A,PhpReserved!B:B,"") = "", _xlfn.XLOOKUP(G514,PhpReserved!A:A,PhpReserved!B:B,""),_xlfn.XLOOKUP(F514,PhpReserved!A:A,PhpReserved!B:B,""))</f>
        <v>RESERVED</v>
      </c>
      <c r="M514" t="str">
        <f>IF(_xlfn.XLOOKUP(F514,PhpFunctions!A:A,PhpFunctions!B:B,"") =  "", _xlfn.XLOOKUP(G514,PhpFunctions!A:A,PhpFunctions!B:B,""), _xlfn.XLOOKUP(F514,PhpFunctions!A:A,PhpFunctions!B:B,""))</f>
        <v>FUNCTION</v>
      </c>
      <c r="N514" t="str">
        <f>IF(_xlfn.XLOOKUP(F514,PhpParamFunc!A:A,PhpParamFunc!B:B,"") = "", _xlfn.XLOOKUP(G514,PhpParamFunc!A:A,PhpParamFunc!B:B,""), _xlfn.XLOOKUP(F514,PhpParamFunc!A:A,PhpParamFunc!B:B,""))</f>
        <v/>
      </c>
      <c r="O514" t="str">
        <f>IF(_xlfn.XLOOKUP(F514,PhpAggrFunc!A:A,PhpAggrFunc!B:B,"") = "", _xlfn.XLOOKUP(G514,PhpAggrFunc!A:A,PhpAggrFunc!B:B,""), _xlfn.XLOOKUP(F514,PhpAggrFunc!A:A,PhpAggrFunc!B:B,""))</f>
        <v/>
      </c>
      <c r="P514" t="str">
        <f t="shared" si="44"/>
        <v>FUNCTION</v>
      </c>
      <c r="Q514" t="str">
        <f t="shared" si="45"/>
        <v>static const String^ TOK_VERSION = "RECORD_VERSION";</v>
      </c>
      <c r="R514" t="str">
        <f t="shared" si="46"/>
        <v>static const int TOK_VERSION = 431;</v>
      </c>
      <c r="S514" t="str">
        <f t="shared" si="47"/>
        <v>_Tokens-&gt;Add((String^)GramVals::TOK_VERSION, gcnew Token(GramKeys::TOK_VERSION, EnumTokenCategory::FUNCTION,BARE_LABEL, i++));</v>
      </c>
    </row>
    <row r="515" spans="1:19" x14ac:dyDescent="0.25">
      <c r="A515" s="3" t="s">
        <v>1878</v>
      </c>
      <c r="B515" s="5" t="s">
        <v>1370</v>
      </c>
      <c r="C515" s="3" t="s">
        <v>2406</v>
      </c>
      <c r="D515" s="3" t="s">
        <v>881</v>
      </c>
      <c r="F515" t="str">
        <f t="shared" si="42"/>
        <v>VIEW</v>
      </c>
      <c r="G515" t="s">
        <v>3597</v>
      </c>
      <c r="I515" s="3" t="str">
        <f>IF(_xlfn.XLOOKUP(F515,PgSqlRaw!B:B,PgSqlRaw!E:E,"") = "",_xlfn.XLOOKUP(G515,PgSqlRaw!B:B,PgSqlRaw!E:E,""),_xlfn.XLOOKUP(F515,PgSqlRaw!B:B,PgSqlRaw!E:E,""))</f>
        <v/>
      </c>
      <c r="J515" t="str">
        <f>IF(_xlfn.XLOOKUP(F515,PgSqlRaw!B:B,PgSqlRaw!F:F,"") = "", _xlfn.XLOOKUP(G515,PgSqlRaw!B:B,PgSqlRaw!F:F,""), _xlfn.XLOOKUP(F515,PgSqlRaw!B:B,PgSqlRaw!F:F,""))</f>
        <v>BARE_LABEL</v>
      </c>
      <c r="K515" t="str">
        <f t="shared" si="43"/>
        <v>BARE_LABEL</v>
      </c>
      <c r="L515" t="str">
        <f>IF(_xlfn.XLOOKUP(F515,PhpReserved!A:A,PhpReserved!B:B,"") = "", _xlfn.XLOOKUP(G515,PhpReserved!A:A,PhpReserved!B:B,""),_xlfn.XLOOKUP(F515,PhpReserved!A:A,PhpReserved!B:B,""))</f>
        <v/>
      </c>
      <c r="M515" t="str">
        <f>IF(_xlfn.XLOOKUP(F515,PhpFunctions!A:A,PhpFunctions!B:B,"") =  "", _xlfn.XLOOKUP(G515,PhpFunctions!A:A,PhpFunctions!B:B,""), _xlfn.XLOOKUP(F515,PhpFunctions!A:A,PhpFunctions!B:B,""))</f>
        <v/>
      </c>
      <c r="N515" t="str">
        <f>IF(_xlfn.XLOOKUP(F515,PhpParamFunc!A:A,PhpParamFunc!B:B,"") = "", _xlfn.XLOOKUP(G515,PhpParamFunc!A:A,PhpParamFunc!B:B,""), _xlfn.XLOOKUP(F515,PhpParamFunc!A:A,PhpParamFunc!B:B,""))</f>
        <v/>
      </c>
      <c r="O515" t="str">
        <f>IF(_xlfn.XLOOKUP(F515,PhpAggrFunc!A:A,PhpAggrFunc!B:B,"") = "", _xlfn.XLOOKUP(G515,PhpAggrFunc!A:A,PhpAggrFunc!B:B,""), _xlfn.XLOOKUP(F515,PhpAggrFunc!A:A,PhpAggrFunc!B:B,""))</f>
        <v/>
      </c>
      <c r="P515" t="str">
        <f t="shared" si="44"/>
        <v>UNRESERVED</v>
      </c>
      <c r="Q515" t="str">
        <f t="shared" si="45"/>
        <v>static const String^ TOK_VIEW = "VIEW";</v>
      </c>
      <c r="R515" t="str">
        <f t="shared" si="46"/>
        <v>static const int TOK_VIEW = 432;</v>
      </c>
      <c r="S515" t="str">
        <f t="shared" si="47"/>
        <v>// _Tokens-&gt;Add((String^)GramVals::TOK_VIEW, gcnew Token(GramKeys::TOK_VIEW, EnumTokenCategory::UNRESERVED,BARE_LABEL, i++));</v>
      </c>
    </row>
    <row r="516" spans="1:19" x14ac:dyDescent="0.25">
      <c r="A516" s="3" t="s">
        <v>1879</v>
      </c>
      <c r="B516" s="5">
        <v>776</v>
      </c>
      <c r="C516" s="3" t="s">
        <v>2407</v>
      </c>
      <c r="D516" s="2" t="s">
        <v>881</v>
      </c>
      <c r="F516" t="str">
        <f t="shared" ref="F516:F531" si="48">MID(A516,5,99)</f>
        <v>VOID</v>
      </c>
      <c r="G516" t="s">
        <v>3845</v>
      </c>
      <c r="I516" s="3" t="str">
        <f>IF(_xlfn.XLOOKUP(F516,PgSqlRaw!B:B,PgSqlRaw!E:E,"") = "",_xlfn.XLOOKUP(G516,PgSqlRaw!B:B,PgSqlRaw!E:E,""),_xlfn.XLOOKUP(F516,PgSqlRaw!B:B,PgSqlRaw!E:E,""))</f>
        <v/>
      </c>
      <c r="J516" t="str">
        <f>IF(_xlfn.XLOOKUP(F516,PgSqlRaw!B:B,PgSqlRaw!F:F,"") = "", _xlfn.XLOOKUP(G516,PgSqlRaw!B:B,PgSqlRaw!F:F,""), _xlfn.XLOOKUP(F516,PgSqlRaw!B:B,PgSqlRaw!F:F,""))</f>
        <v/>
      </c>
      <c r="K516" t="str">
        <f t="shared" ref="K516:K531" si="49">IF(J516 = "", "BARE_LABEL", J516)</f>
        <v>BARE_LABEL</v>
      </c>
      <c r="L516" t="str">
        <f>IF(_xlfn.XLOOKUP(F516,PhpReserved!A:A,PhpReserved!B:B,"") = "", _xlfn.XLOOKUP(G516,PhpReserved!A:A,PhpReserved!B:B,""),_xlfn.XLOOKUP(F516,PhpReserved!A:A,PhpReserved!B:B,""))</f>
        <v/>
      </c>
      <c r="M516" t="str">
        <f>IF(_xlfn.XLOOKUP(F516,PhpFunctions!A:A,PhpFunctions!B:B,"") =  "", _xlfn.XLOOKUP(G516,PhpFunctions!A:A,PhpFunctions!B:B,""), _xlfn.XLOOKUP(F516,PhpFunctions!A:A,PhpFunctions!B:B,""))</f>
        <v/>
      </c>
      <c r="N516" t="str">
        <f>IF(_xlfn.XLOOKUP(F516,PhpParamFunc!A:A,PhpParamFunc!B:B,"") = "", _xlfn.XLOOKUP(G516,PhpParamFunc!A:A,PhpParamFunc!B:B,""), _xlfn.XLOOKUP(F516,PhpParamFunc!A:A,PhpParamFunc!B:B,""))</f>
        <v/>
      </c>
      <c r="O516" t="str">
        <f>IF(_xlfn.XLOOKUP(F516,PhpAggrFunc!A:A,PhpAggrFunc!B:B,"") = "", _xlfn.XLOOKUP(G516,PhpAggrFunc!A:A,PhpAggrFunc!B:B,""), _xlfn.XLOOKUP(F516,PhpAggrFunc!A:A,PhpAggrFunc!B:B,""))</f>
        <v/>
      </c>
      <c r="P516" t="str">
        <f t="shared" ref="P516:P531" si="50">IF(O516 = "",IF(N516 = "", IF(M516 = "", IF(L516 = "", IF(I516 = "",IF(E516 = "","UNRESERVED",E516),I516),L516),M516),N516),O516)</f>
        <v>UNRESERVED</v>
      </c>
      <c r="Q516" t="str">
        <f t="shared" ref="Q516:Q531" si="51">_xlfn.CONCAT("static const String^ ", A516, " = ", C516, ";")</f>
        <v>static const String^ TOK_VOID = NULL;</v>
      </c>
      <c r="R516" t="str">
        <f t="shared" ref="R516:R531" si="52">_xlfn.CONCAT("static const int ", A516, " = ", B516, ";")</f>
        <v>static const int TOK_VOID = 776;</v>
      </c>
      <c r="S516" t="str">
        <f t="shared" ref="S516:S531" si="53">_xlfn.CONCAT(IF(P516 = "UNRESERVED", "// ", ""),"_Tokens-&gt;Add((String^)GramVals::", A516, ", gcnew Token(GramKeys::", A516, ", EnumTokenCategory::", P516, ",",K516, ", i++));")</f>
        <v>// _Tokens-&gt;Add((String^)GramVals::TOK_VOID, gcnew Token(GramKeys::TOK_VOID, EnumTokenCategory::UNRESERVED,BARE_LABEL, i++));</v>
      </c>
    </row>
    <row r="517" spans="1:19" x14ac:dyDescent="0.25">
      <c r="A517" s="3" t="s">
        <v>1880</v>
      </c>
      <c r="B517" s="5" t="s">
        <v>1371</v>
      </c>
      <c r="C517" s="3" t="s">
        <v>2408</v>
      </c>
      <c r="D517" s="3" t="s">
        <v>2423</v>
      </c>
      <c r="F517" t="str">
        <f t="shared" si="48"/>
        <v>WAIT</v>
      </c>
      <c r="G517" t="s">
        <v>3846</v>
      </c>
      <c r="I517" s="3" t="str">
        <f>IF(_xlfn.XLOOKUP(F517,PgSqlRaw!B:B,PgSqlRaw!E:E,"") = "",_xlfn.XLOOKUP(G517,PgSqlRaw!B:B,PgSqlRaw!E:E,""),_xlfn.XLOOKUP(F517,PgSqlRaw!B:B,PgSqlRaw!E:E,""))</f>
        <v/>
      </c>
      <c r="J517" t="str">
        <f>IF(_xlfn.XLOOKUP(F517,PgSqlRaw!B:B,PgSqlRaw!F:F,"") = "", _xlfn.XLOOKUP(G517,PgSqlRaw!B:B,PgSqlRaw!F:F,""), _xlfn.XLOOKUP(F517,PgSqlRaw!B:B,PgSqlRaw!F:F,""))</f>
        <v/>
      </c>
      <c r="K517" t="str">
        <f t="shared" si="49"/>
        <v>BARE_LABEL</v>
      </c>
      <c r="L517" t="str">
        <f>IF(_xlfn.XLOOKUP(F517,PhpReserved!A:A,PhpReserved!B:B,"") = "", _xlfn.XLOOKUP(G517,PhpReserved!A:A,PhpReserved!B:B,""),_xlfn.XLOOKUP(F517,PhpReserved!A:A,PhpReserved!B:B,""))</f>
        <v/>
      </c>
      <c r="M517" t="str">
        <f>IF(_xlfn.XLOOKUP(F517,PhpFunctions!A:A,PhpFunctions!B:B,"") =  "", _xlfn.XLOOKUP(G517,PhpFunctions!A:A,PhpFunctions!B:B,""), _xlfn.XLOOKUP(F517,PhpFunctions!A:A,PhpFunctions!B:B,""))</f>
        <v/>
      </c>
      <c r="N517" t="str">
        <f>IF(_xlfn.XLOOKUP(F517,PhpParamFunc!A:A,PhpParamFunc!B:B,"") = "", _xlfn.XLOOKUP(G517,PhpParamFunc!A:A,PhpParamFunc!B:B,""), _xlfn.XLOOKUP(F517,PhpParamFunc!A:A,PhpParamFunc!B:B,""))</f>
        <v/>
      </c>
      <c r="O517" t="str">
        <f>IF(_xlfn.XLOOKUP(F517,PhpAggrFunc!A:A,PhpAggrFunc!B:B,"") = "", _xlfn.XLOOKUP(G517,PhpAggrFunc!A:A,PhpAggrFunc!B:B,""), _xlfn.XLOOKUP(F517,PhpAggrFunc!A:A,PhpAggrFunc!B:B,""))</f>
        <v/>
      </c>
      <c r="P517" t="str">
        <f t="shared" si="50"/>
        <v>UNRESERVED</v>
      </c>
      <c r="Q517" t="str">
        <f t="shared" si="51"/>
        <v>static const String^ TOK_WAIT = "WAIT";</v>
      </c>
      <c r="R517" t="str">
        <f t="shared" si="52"/>
        <v>static const int TOK_WAIT = 433;</v>
      </c>
      <c r="S517" t="str">
        <f t="shared" si="53"/>
        <v>// _Tokens-&gt;Add((String^)GramVals::TOK_WAIT, gcnew Token(GramKeys::TOK_WAIT, EnumTokenCategory::UNRESERVED,BARE_LABEL, i++));</v>
      </c>
    </row>
    <row r="518" spans="1:19" x14ac:dyDescent="0.25">
      <c r="A518" s="3" t="s">
        <v>1881</v>
      </c>
      <c r="B518" s="5" t="s">
        <v>1372</v>
      </c>
      <c r="C518" s="3" t="s">
        <v>2409</v>
      </c>
      <c r="D518" s="3" t="s">
        <v>2423</v>
      </c>
      <c r="F518" t="str">
        <f t="shared" si="48"/>
        <v>WEEK</v>
      </c>
      <c r="G518" t="s">
        <v>3078</v>
      </c>
      <c r="I518" s="3" t="str">
        <f>IF(_xlfn.XLOOKUP(F518,PgSqlRaw!B:B,PgSqlRaw!E:E,"") = "",_xlfn.XLOOKUP(G518,PgSqlRaw!B:B,PgSqlRaw!E:E,""),_xlfn.XLOOKUP(F518,PgSqlRaw!B:B,PgSqlRaw!E:E,""))</f>
        <v/>
      </c>
      <c r="J518" t="str">
        <f>IF(_xlfn.XLOOKUP(F518,PgSqlRaw!B:B,PgSqlRaw!F:F,"") = "", _xlfn.XLOOKUP(G518,PgSqlRaw!B:B,PgSqlRaw!F:F,""), _xlfn.XLOOKUP(F518,PgSqlRaw!B:B,PgSqlRaw!F:F,""))</f>
        <v/>
      </c>
      <c r="K518" t="str">
        <f t="shared" si="49"/>
        <v>BARE_LABEL</v>
      </c>
      <c r="L518" t="str">
        <f>IF(_xlfn.XLOOKUP(F518,PhpReserved!A:A,PhpReserved!B:B,"") = "", _xlfn.XLOOKUP(G518,PhpReserved!A:A,PhpReserved!B:B,""),_xlfn.XLOOKUP(F518,PhpReserved!A:A,PhpReserved!B:B,""))</f>
        <v>RESERVED</v>
      </c>
      <c r="M518" t="str">
        <f>IF(_xlfn.XLOOKUP(F518,PhpFunctions!A:A,PhpFunctions!B:B,"") =  "", _xlfn.XLOOKUP(G518,PhpFunctions!A:A,PhpFunctions!B:B,""), _xlfn.XLOOKUP(F518,PhpFunctions!A:A,PhpFunctions!B:B,""))</f>
        <v>FUNCTION</v>
      </c>
      <c r="N518" t="str">
        <f>IF(_xlfn.XLOOKUP(F518,PhpParamFunc!A:A,PhpParamFunc!B:B,"") = "", _xlfn.XLOOKUP(G518,PhpParamFunc!A:A,PhpParamFunc!B:B,""), _xlfn.XLOOKUP(F518,PhpParamFunc!A:A,PhpParamFunc!B:B,""))</f>
        <v>PARAM_FUNCTION</v>
      </c>
      <c r="O518" t="str">
        <f>IF(_xlfn.XLOOKUP(F518,PhpAggrFunc!A:A,PhpAggrFunc!B:B,"") = "", _xlfn.XLOOKUP(G518,PhpAggrFunc!A:A,PhpAggrFunc!B:B,""), _xlfn.XLOOKUP(F518,PhpAggrFunc!A:A,PhpAggrFunc!B:B,""))</f>
        <v/>
      </c>
      <c r="P518" t="str">
        <f t="shared" si="50"/>
        <v>PARAM_FUNCTION</v>
      </c>
      <c r="Q518" t="str">
        <f t="shared" si="51"/>
        <v>static const String^ TOK_WEEK = "WEEK";</v>
      </c>
      <c r="R518" t="str">
        <f t="shared" si="52"/>
        <v>static const int TOK_WEEK = 589;</v>
      </c>
      <c r="S518" t="str">
        <f t="shared" si="53"/>
        <v>_Tokens-&gt;Add((String^)GramVals::TOK_WEEK, gcnew Token(GramKeys::TOK_WEEK, EnumTokenCategory::PARAM_FUNCTION,BARE_LABEL, i++));</v>
      </c>
    </row>
    <row r="519" spans="1:19" x14ac:dyDescent="0.25">
      <c r="A519" s="3" t="s">
        <v>1882</v>
      </c>
      <c r="B519" s="5" t="s">
        <v>1373</v>
      </c>
      <c r="C519" s="3" t="s">
        <v>2410</v>
      </c>
      <c r="D519" s="3" t="s">
        <v>2423</v>
      </c>
      <c r="F519" t="str">
        <f t="shared" si="48"/>
        <v>WEEKDAY</v>
      </c>
      <c r="G519" t="s">
        <v>3079</v>
      </c>
      <c r="I519" s="3" t="str">
        <f>IF(_xlfn.XLOOKUP(F519,PgSqlRaw!B:B,PgSqlRaw!E:E,"") = "",_xlfn.XLOOKUP(G519,PgSqlRaw!B:B,PgSqlRaw!E:E,""),_xlfn.XLOOKUP(F519,PgSqlRaw!B:B,PgSqlRaw!E:E,""))</f>
        <v/>
      </c>
      <c r="J519" t="str">
        <f>IF(_xlfn.XLOOKUP(F519,PgSqlRaw!B:B,PgSqlRaw!F:F,"") = "", _xlfn.XLOOKUP(G519,PgSqlRaw!B:B,PgSqlRaw!F:F,""), _xlfn.XLOOKUP(F519,PgSqlRaw!B:B,PgSqlRaw!F:F,""))</f>
        <v/>
      </c>
      <c r="K519" t="str">
        <f t="shared" si="49"/>
        <v>BARE_LABEL</v>
      </c>
      <c r="L519" t="str">
        <f>IF(_xlfn.XLOOKUP(F519,PhpReserved!A:A,PhpReserved!B:B,"") = "", _xlfn.XLOOKUP(G519,PhpReserved!A:A,PhpReserved!B:B,""),_xlfn.XLOOKUP(F519,PhpReserved!A:A,PhpReserved!B:B,""))</f>
        <v>RESERVED</v>
      </c>
      <c r="M519" t="str">
        <f>IF(_xlfn.XLOOKUP(F519,PhpFunctions!A:A,PhpFunctions!B:B,"") =  "", _xlfn.XLOOKUP(G519,PhpFunctions!A:A,PhpFunctions!B:B,""), _xlfn.XLOOKUP(F519,PhpFunctions!A:A,PhpFunctions!B:B,""))</f>
        <v>FUNCTION</v>
      </c>
      <c r="N519" t="str">
        <f>IF(_xlfn.XLOOKUP(F519,PhpParamFunc!A:A,PhpParamFunc!B:B,"") = "", _xlfn.XLOOKUP(G519,PhpParamFunc!A:A,PhpParamFunc!B:B,""), _xlfn.XLOOKUP(F519,PhpParamFunc!A:A,PhpParamFunc!B:B,""))</f>
        <v>PARAM_FUNCTION</v>
      </c>
      <c r="O519" t="str">
        <f>IF(_xlfn.XLOOKUP(F519,PhpAggrFunc!A:A,PhpAggrFunc!B:B,"") = "", _xlfn.XLOOKUP(G519,PhpAggrFunc!A:A,PhpAggrFunc!B:B,""), _xlfn.XLOOKUP(F519,PhpAggrFunc!A:A,PhpAggrFunc!B:B,""))</f>
        <v/>
      </c>
      <c r="P519" t="str">
        <f t="shared" si="50"/>
        <v>PARAM_FUNCTION</v>
      </c>
      <c r="Q519" t="str">
        <f t="shared" si="51"/>
        <v>static const String^ TOK_WEEKDAY = "WEEKDAY";</v>
      </c>
      <c r="R519" t="str">
        <f t="shared" si="52"/>
        <v>static const int TOK_WEEKDAY = 460;</v>
      </c>
      <c r="S519" t="str">
        <f t="shared" si="53"/>
        <v>_Tokens-&gt;Add((String^)GramVals::TOK_WEEKDAY, gcnew Token(GramKeys::TOK_WEEKDAY, EnumTokenCategory::PARAM_FUNCTION,BARE_LABEL, i++));</v>
      </c>
    </row>
    <row r="520" spans="1:19" x14ac:dyDescent="0.25">
      <c r="A520" s="3" t="s">
        <v>1883</v>
      </c>
      <c r="B520" s="5" t="s">
        <v>1374</v>
      </c>
      <c r="C520" s="3" t="s">
        <v>2411</v>
      </c>
      <c r="D520" s="3" t="s">
        <v>881</v>
      </c>
      <c r="F520" t="str">
        <f t="shared" si="48"/>
        <v>WHEN</v>
      </c>
      <c r="G520" t="s">
        <v>3283</v>
      </c>
      <c r="I520" s="3" t="str">
        <f>IF(_xlfn.XLOOKUP(F520,PgSqlRaw!B:B,PgSqlRaw!E:E,"") = "",_xlfn.XLOOKUP(G520,PgSqlRaw!B:B,PgSqlRaw!E:E,""),_xlfn.XLOOKUP(F520,PgSqlRaw!B:B,PgSqlRaw!E:E,""))</f>
        <v>RESERVED</v>
      </c>
      <c r="J520" t="str">
        <f>IF(_xlfn.XLOOKUP(F520,PgSqlRaw!B:B,PgSqlRaw!F:F,"") = "", _xlfn.XLOOKUP(G520,PgSqlRaw!B:B,PgSqlRaw!F:F,""), _xlfn.XLOOKUP(F520,PgSqlRaw!B:B,PgSqlRaw!F:F,""))</f>
        <v>BARE_LABEL</v>
      </c>
      <c r="K520" t="str">
        <f t="shared" si="49"/>
        <v>BARE_LABEL</v>
      </c>
      <c r="L520" t="str">
        <f>IF(_xlfn.XLOOKUP(F520,PhpReserved!A:A,PhpReserved!B:B,"") = "", _xlfn.XLOOKUP(G520,PhpReserved!A:A,PhpReserved!B:B,""),_xlfn.XLOOKUP(F520,PhpReserved!A:A,PhpReserved!B:B,""))</f>
        <v>RESERVED</v>
      </c>
      <c r="M520" t="str">
        <f>IF(_xlfn.XLOOKUP(F520,PhpFunctions!A:A,PhpFunctions!B:B,"") =  "", _xlfn.XLOOKUP(G520,PhpFunctions!A:A,PhpFunctions!B:B,""), _xlfn.XLOOKUP(F520,PhpFunctions!A:A,PhpFunctions!B:B,""))</f>
        <v/>
      </c>
      <c r="N520" t="str">
        <f>IF(_xlfn.XLOOKUP(F520,PhpParamFunc!A:A,PhpParamFunc!B:B,"") = "", _xlfn.XLOOKUP(G520,PhpParamFunc!A:A,PhpParamFunc!B:B,""), _xlfn.XLOOKUP(F520,PhpParamFunc!A:A,PhpParamFunc!B:B,""))</f>
        <v/>
      </c>
      <c r="O520" t="str">
        <f>IF(_xlfn.XLOOKUP(F520,PhpAggrFunc!A:A,PhpAggrFunc!B:B,"") = "", _xlfn.XLOOKUP(G520,PhpAggrFunc!A:A,PhpAggrFunc!B:B,""), _xlfn.XLOOKUP(F520,PhpAggrFunc!A:A,PhpAggrFunc!B:B,""))</f>
        <v/>
      </c>
      <c r="P520" t="str">
        <f t="shared" si="50"/>
        <v>RESERVED</v>
      </c>
      <c r="Q520" t="str">
        <f t="shared" si="51"/>
        <v>static const String^ TOK_WHEN = "WHEN";</v>
      </c>
      <c r="R520" t="str">
        <f t="shared" si="52"/>
        <v>static const int TOK_WHEN = 434;</v>
      </c>
      <c r="S520" t="str">
        <f t="shared" si="53"/>
        <v>_Tokens-&gt;Add((String^)GramVals::TOK_WHEN, gcnew Token(GramKeys::TOK_WHEN, EnumTokenCategory::RESERVED,BARE_LABEL, i++));</v>
      </c>
    </row>
    <row r="521" spans="1:19" x14ac:dyDescent="0.25">
      <c r="A521" s="3" t="s">
        <v>1884</v>
      </c>
      <c r="B521" s="5" t="s">
        <v>1375</v>
      </c>
      <c r="C521" s="3" t="s">
        <v>2412</v>
      </c>
      <c r="D521" s="3" t="s">
        <v>881</v>
      </c>
      <c r="F521" t="str">
        <f t="shared" si="48"/>
        <v>WHERE</v>
      </c>
      <c r="G521" t="s">
        <v>3284</v>
      </c>
      <c r="I521" s="3" t="str">
        <f>IF(_xlfn.XLOOKUP(F521,PgSqlRaw!B:B,PgSqlRaw!E:E,"") = "",_xlfn.XLOOKUP(G521,PgSqlRaw!B:B,PgSqlRaw!E:E,""),_xlfn.XLOOKUP(F521,PgSqlRaw!B:B,PgSqlRaw!E:E,""))</f>
        <v>RESERVED</v>
      </c>
      <c r="J521" t="str">
        <f>IF(_xlfn.XLOOKUP(F521,PgSqlRaw!B:B,PgSqlRaw!F:F,"") = "", _xlfn.XLOOKUP(G521,PgSqlRaw!B:B,PgSqlRaw!F:F,""), _xlfn.XLOOKUP(F521,PgSqlRaw!B:B,PgSqlRaw!F:F,""))</f>
        <v>AS_LABEL</v>
      </c>
      <c r="K521" t="str">
        <f t="shared" si="49"/>
        <v>AS_LABEL</v>
      </c>
      <c r="L521" t="str">
        <f>IF(_xlfn.XLOOKUP(F521,PhpReserved!A:A,PhpReserved!B:B,"") = "", _xlfn.XLOOKUP(G521,PhpReserved!A:A,PhpReserved!B:B,""),_xlfn.XLOOKUP(F521,PhpReserved!A:A,PhpReserved!B:B,""))</f>
        <v>RESERVED</v>
      </c>
      <c r="M521" t="str">
        <f>IF(_xlfn.XLOOKUP(F521,PhpFunctions!A:A,PhpFunctions!B:B,"") =  "", _xlfn.XLOOKUP(G521,PhpFunctions!A:A,PhpFunctions!B:B,""), _xlfn.XLOOKUP(F521,PhpFunctions!A:A,PhpFunctions!B:B,""))</f>
        <v/>
      </c>
      <c r="N521" t="str">
        <f>IF(_xlfn.XLOOKUP(F521,PhpParamFunc!A:A,PhpParamFunc!B:B,"") = "", _xlfn.XLOOKUP(G521,PhpParamFunc!A:A,PhpParamFunc!B:B,""), _xlfn.XLOOKUP(F521,PhpParamFunc!A:A,PhpParamFunc!B:B,""))</f>
        <v/>
      </c>
      <c r="O521" t="str">
        <f>IF(_xlfn.XLOOKUP(F521,PhpAggrFunc!A:A,PhpAggrFunc!B:B,"") = "", _xlfn.XLOOKUP(G521,PhpAggrFunc!A:A,PhpAggrFunc!B:B,""), _xlfn.XLOOKUP(F521,PhpAggrFunc!A:A,PhpAggrFunc!B:B,""))</f>
        <v/>
      </c>
      <c r="P521" t="str">
        <f t="shared" si="50"/>
        <v>RESERVED</v>
      </c>
      <c r="Q521" t="str">
        <f t="shared" si="51"/>
        <v>static const String^ TOK_WHERE = "WHERE";</v>
      </c>
      <c r="R521" t="str">
        <f t="shared" si="52"/>
        <v>static const int TOK_WHERE = 435;</v>
      </c>
      <c r="S521" t="str">
        <f t="shared" si="53"/>
        <v>_Tokens-&gt;Add((String^)GramVals::TOK_WHERE, gcnew Token(GramKeys::TOK_WHERE, EnumTokenCategory::RESERVED,AS_LABEL, i++));</v>
      </c>
    </row>
    <row r="522" spans="1:19" x14ac:dyDescent="0.25">
      <c r="A522" s="3" t="s">
        <v>1885</v>
      </c>
      <c r="B522" s="5" t="s">
        <v>1376</v>
      </c>
      <c r="C522" s="3" t="s">
        <v>2413</v>
      </c>
      <c r="D522" s="3" t="s">
        <v>881</v>
      </c>
      <c r="F522" t="str">
        <f t="shared" si="48"/>
        <v>WHILE</v>
      </c>
      <c r="G522" t="s">
        <v>3285</v>
      </c>
      <c r="I522" s="3" t="str">
        <f>IF(_xlfn.XLOOKUP(F522,PgSqlRaw!B:B,PgSqlRaw!E:E,"") = "",_xlfn.XLOOKUP(G522,PgSqlRaw!B:B,PgSqlRaw!E:E,""),_xlfn.XLOOKUP(F522,PgSqlRaw!B:B,PgSqlRaw!E:E,""))</f>
        <v/>
      </c>
      <c r="J522" t="str">
        <f>IF(_xlfn.XLOOKUP(F522,PgSqlRaw!B:B,PgSqlRaw!F:F,"") = "", _xlfn.XLOOKUP(G522,PgSqlRaw!B:B,PgSqlRaw!F:F,""), _xlfn.XLOOKUP(F522,PgSqlRaw!B:B,PgSqlRaw!F:F,""))</f>
        <v/>
      </c>
      <c r="K522" t="str">
        <f t="shared" si="49"/>
        <v>BARE_LABEL</v>
      </c>
      <c r="L522" t="str">
        <f>IF(_xlfn.XLOOKUP(F522,PhpReserved!A:A,PhpReserved!B:B,"") = "", _xlfn.XLOOKUP(G522,PhpReserved!A:A,PhpReserved!B:B,""),_xlfn.XLOOKUP(F522,PhpReserved!A:A,PhpReserved!B:B,""))</f>
        <v>RESERVED</v>
      </c>
      <c r="M522" t="str">
        <f>IF(_xlfn.XLOOKUP(F522,PhpFunctions!A:A,PhpFunctions!B:B,"") =  "", _xlfn.XLOOKUP(G522,PhpFunctions!A:A,PhpFunctions!B:B,""), _xlfn.XLOOKUP(F522,PhpFunctions!A:A,PhpFunctions!B:B,""))</f>
        <v/>
      </c>
      <c r="N522" t="str">
        <f>IF(_xlfn.XLOOKUP(F522,PhpParamFunc!A:A,PhpParamFunc!B:B,"") = "", _xlfn.XLOOKUP(G522,PhpParamFunc!A:A,PhpParamFunc!B:B,""), _xlfn.XLOOKUP(F522,PhpParamFunc!A:A,PhpParamFunc!B:B,""))</f>
        <v/>
      </c>
      <c r="O522" t="str">
        <f>IF(_xlfn.XLOOKUP(F522,PhpAggrFunc!A:A,PhpAggrFunc!B:B,"") = "", _xlfn.XLOOKUP(G522,PhpAggrFunc!A:A,PhpAggrFunc!B:B,""), _xlfn.XLOOKUP(F522,PhpAggrFunc!A:A,PhpAggrFunc!B:B,""))</f>
        <v/>
      </c>
      <c r="P522" t="str">
        <f t="shared" si="50"/>
        <v>RESERVED</v>
      </c>
      <c r="Q522" t="str">
        <f t="shared" si="51"/>
        <v>static const String^ TOK_WHILE = "WHILE";</v>
      </c>
      <c r="R522" t="str">
        <f t="shared" si="52"/>
        <v>static const int TOK_WHILE = 436;</v>
      </c>
      <c r="S522" t="str">
        <f t="shared" si="53"/>
        <v>_Tokens-&gt;Add((String^)GramVals::TOK_WHILE, gcnew Token(GramKeys::TOK_WHILE, EnumTokenCategory::RESERVED,BARE_LABEL, i++));</v>
      </c>
    </row>
    <row r="523" spans="1:19" x14ac:dyDescent="0.25">
      <c r="A523" s="3" t="s">
        <v>1886</v>
      </c>
      <c r="B523" s="5">
        <v>777</v>
      </c>
      <c r="C523" s="3" t="s">
        <v>2414</v>
      </c>
      <c r="D523" s="3" t="s">
        <v>881</v>
      </c>
      <c r="F523" t="str">
        <f t="shared" si="48"/>
        <v>WINDOW</v>
      </c>
      <c r="G523" t="s">
        <v>3601</v>
      </c>
      <c r="I523" s="3" t="str">
        <f>IF(_xlfn.XLOOKUP(F523,PgSqlRaw!B:B,PgSqlRaw!E:E,"") = "",_xlfn.XLOOKUP(G523,PgSqlRaw!B:B,PgSqlRaw!E:E,""),_xlfn.XLOOKUP(F523,PgSqlRaw!B:B,PgSqlRaw!E:E,""))</f>
        <v>RESERVED</v>
      </c>
      <c r="J523" t="str">
        <f>IF(_xlfn.XLOOKUP(F523,PgSqlRaw!B:B,PgSqlRaw!F:F,"") = "", _xlfn.XLOOKUP(G523,PgSqlRaw!B:B,PgSqlRaw!F:F,""), _xlfn.XLOOKUP(F523,PgSqlRaw!B:B,PgSqlRaw!F:F,""))</f>
        <v>AS_LABEL</v>
      </c>
      <c r="K523" t="str">
        <f t="shared" si="49"/>
        <v>AS_LABEL</v>
      </c>
      <c r="L523" t="str">
        <f>IF(_xlfn.XLOOKUP(F523,PhpReserved!A:A,PhpReserved!B:B,"") = "", _xlfn.XLOOKUP(G523,PhpReserved!A:A,PhpReserved!B:B,""),_xlfn.XLOOKUP(F523,PhpReserved!A:A,PhpReserved!B:B,""))</f>
        <v/>
      </c>
      <c r="M523" t="str">
        <f>IF(_xlfn.XLOOKUP(F523,PhpFunctions!A:A,PhpFunctions!B:B,"") =  "", _xlfn.XLOOKUP(G523,PhpFunctions!A:A,PhpFunctions!B:B,""), _xlfn.XLOOKUP(F523,PhpFunctions!A:A,PhpFunctions!B:B,""))</f>
        <v/>
      </c>
      <c r="N523" t="str">
        <f>IF(_xlfn.XLOOKUP(F523,PhpParamFunc!A:A,PhpParamFunc!B:B,"") = "", _xlfn.XLOOKUP(G523,PhpParamFunc!A:A,PhpParamFunc!B:B,""), _xlfn.XLOOKUP(F523,PhpParamFunc!A:A,PhpParamFunc!B:B,""))</f>
        <v/>
      </c>
      <c r="O523" t="str">
        <f>IF(_xlfn.XLOOKUP(F523,PhpAggrFunc!A:A,PhpAggrFunc!B:B,"") = "", _xlfn.XLOOKUP(G523,PhpAggrFunc!A:A,PhpAggrFunc!B:B,""), _xlfn.XLOOKUP(F523,PhpAggrFunc!A:A,PhpAggrFunc!B:B,""))</f>
        <v/>
      </c>
      <c r="P523" t="str">
        <f t="shared" si="50"/>
        <v>RESERVED</v>
      </c>
      <c r="Q523" t="str">
        <f t="shared" si="51"/>
        <v>static const String^ TOK_WINDOW = "WINDOW";</v>
      </c>
      <c r="R523" t="str">
        <f t="shared" si="52"/>
        <v>static const int TOK_WINDOW = 777;</v>
      </c>
      <c r="S523" t="str">
        <f t="shared" si="53"/>
        <v>_Tokens-&gt;Add((String^)GramVals::TOK_WINDOW, gcnew Token(GramKeys::TOK_WINDOW, EnumTokenCategory::RESERVED,AS_LABEL, i++));</v>
      </c>
    </row>
    <row r="524" spans="1:19" x14ac:dyDescent="0.25">
      <c r="A524" s="3" t="s">
        <v>1887</v>
      </c>
      <c r="B524" s="5" t="s">
        <v>1377</v>
      </c>
      <c r="C524" s="3" t="s">
        <v>2415</v>
      </c>
      <c r="D524" s="3" t="s">
        <v>881</v>
      </c>
      <c r="F524" t="str">
        <f t="shared" si="48"/>
        <v>WITH</v>
      </c>
      <c r="G524" t="s">
        <v>3286</v>
      </c>
      <c r="I524" s="3" t="str">
        <f>IF(_xlfn.XLOOKUP(F524,PgSqlRaw!B:B,PgSqlRaw!E:E,"") = "",_xlfn.XLOOKUP(G524,PgSqlRaw!B:B,PgSqlRaw!E:E,""),_xlfn.XLOOKUP(F524,PgSqlRaw!B:B,PgSqlRaw!E:E,""))</f>
        <v>RESERVED</v>
      </c>
      <c r="J524" t="str">
        <f>IF(_xlfn.XLOOKUP(F524,PgSqlRaw!B:B,PgSqlRaw!F:F,"") = "", _xlfn.XLOOKUP(G524,PgSqlRaw!B:B,PgSqlRaw!F:F,""), _xlfn.XLOOKUP(F524,PgSqlRaw!B:B,PgSqlRaw!F:F,""))</f>
        <v>AS_LABEL</v>
      </c>
      <c r="K524" t="str">
        <f t="shared" si="49"/>
        <v>AS_LABEL</v>
      </c>
      <c r="L524" t="str">
        <f>IF(_xlfn.XLOOKUP(F524,PhpReserved!A:A,PhpReserved!B:B,"") = "", _xlfn.XLOOKUP(G524,PhpReserved!A:A,PhpReserved!B:B,""),_xlfn.XLOOKUP(F524,PhpReserved!A:A,PhpReserved!B:B,""))</f>
        <v>RESERVED</v>
      </c>
      <c r="M524" t="str">
        <f>IF(_xlfn.XLOOKUP(F524,PhpFunctions!A:A,PhpFunctions!B:B,"") =  "", _xlfn.XLOOKUP(G524,PhpFunctions!A:A,PhpFunctions!B:B,""), _xlfn.XLOOKUP(F524,PhpFunctions!A:A,PhpFunctions!B:B,""))</f>
        <v/>
      </c>
      <c r="N524" t="str">
        <f>IF(_xlfn.XLOOKUP(F524,PhpParamFunc!A:A,PhpParamFunc!B:B,"") = "", _xlfn.XLOOKUP(G524,PhpParamFunc!A:A,PhpParamFunc!B:B,""), _xlfn.XLOOKUP(F524,PhpParamFunc!A:A,PhpParamFunc!B:B,""))</f>
        <v/>
      </c>
      <c r="O524" t="str">
        <f>IF(_xlfn.XLOOKUP(F524,PhpAggrFunc!A:A,PhpAggrFunc!B:B,"") = "", _xlfn.XLOOKUP(G524,PhpAggrFunc!A:A,PhpAggrFunc!B:B,""), _xlfn.XLOOKUP(F524,PhpAggrFunc!A:A,PhpAggrFunc!B:B,""))</f>
        <v/>
      </c>
      <c r="P524" t="str">
        <f t="shared" si="50"/>
        <v>RESERVED</v>
      </c>
      <c r="Q524" t="str">
        <f t="shared" si="51"/>
        <v>static const String^ TOK_WITH = "WITH";</v>
      </c>
      <c r="R524" t="str">
        <f t="shared" si="52"/>
        <v>static const int TOK_WITH = 437;</v>
      </c>
      <c r="S524" t="str">
        <f t="shared" si="53"/>
        <v>_Tokens-&gt;Add((String^)GramVals::TOK_WITH, gcnew Token(GramKeys::TOK_WITH, EnumTokenCategory::RESERVED,AS_LABEL, i++));</v>
      </c>
    </row>
    <row r="525" spans="1:19" x14ac:dyDescent="0.25">
      <c r="A525" s="3" t="s">
        <v>1888</v>
      </c>
      <c r="B525" s="5">
        <v>778</v>
      </c>
      <c r="C525" s="3" t="s">
        <v>2416</v>
      </c>
      <c r="D525" s="3" t="s">
        <v>881</v>
      </c>
      <c r="F525" t="str">
        <f t="shared" si="48"/>
        <v>WITHOUT</v>
      </c>
      <c r="G525" t="s">
        <v>3603</v>
      </c>
      <c r="I525" s="3" t="str">
        <f>IF(_xlfn.XLOOKUP(F525,PgSqlRaw!B:B,PgSqlRaw!E:E,"") = "",_xlfn.XLOOKUP(G525,PgSqlRaw!B:B,PgSqlRaw!E:E,""),_xlfn.XLOOKUP(F525,PgSqlRaw!B:B,PgSqlRaw!E:E,""))</f>
        <v/>
      </c>
      <c r="J525" t="str">
        <f>IF(_xlfn.XLOOKUP(F525,PgSqlRaw!B:B,PgSqlRaw!F:F,"") = "", _xlfn.XLOOKUP(G525,PgSqlRaw!B:B,PgSqlRaw!F:F,""), _xlfn.XLOOKUP(F525,PgSqlRaw!B:B,PgSqlRaw!F:F,""))</f>
        <v>AS_LABEL</v>
      </c>
      <c r="K525" t="str">
        <f t="shared" si="49"/>
        <v>AS_LABEL</v>
      </c>
      <c r="L525" t="str">
        <f>IF(_xlfn.XLOOKUP(F525,PhpReserved!A:A,PhpReserved!B:B,"") = "", _xlfn.XLOOKUP(G525,PhpReserved!A:A,PhpReserved!B:B,""),_xlfn.XLOOKUP(F525,PhpReserved!A:A,PhpReserved!B:B,""))</f>
        <v/>
      </c>
      <c r="M525" t="str">
        <f>IF(_xlfn.XLOOKUP(F525,PhpFunctions!A:A,PhpFunctions!B:B,"") =  "", _xlfn.XLOOKUP(G525,PhpFunctions!A:A,PhpFunctions!B:B,""), _xlfn.XLOOKUP(F525,PhpFunctions!A:A,PhpFunctions!B:B,""))</f>
        <v/>
      </c>
      <c r="N525" t="str">
        <f>IF(_xlfn.XLOOKUP(F525,PhpParamFunc!A:A,PhpParamFunc!B:B,"") = "", _xlfn.XLOOKUP(G525,PhpParamFunc!A:A,PhpParamFunc!B:B,""), _xlfn.XLOOKUP(F525,PhpParamFunc!A:A,PhpParamFunc!B:B,""))</f>
        <v/>
      </c>
      <c r="O525" t="str">
        <f>IF(_xlfn.XLOOKUP(F525,PhpAggrFunc!A:A,PhpAggrFunc!B:B,"") = "", _xlfn.XLOOKUP(G525,PhpAggrFunc!A:A,PhpAggrFunc!B:B,""), _xlfn.XLOOKUP(F525,PhpAggrFunc!A:A,PhpAggrFunc!B:B,""))</f>
        <v/>
      </c>
      <c r="P525" t="str">
        <f t="shared" si="50"/>
        <v>UNRESERVED</v>
      </c>
      <c r="Q525" t="str">
        <f t="shared" si="51"/>
        <v>static const String^ TOK_WITHOUT = "WITHOUT";</v>
      </c>
      <c r="R525" t="str">
        <f t="shared" si="52"/>
        <v>static const int TOK_WITHOUT = 778;</v>
      </c>
      <c r="S525" t="str">
        <f t="shared" si="53"/>
        <v>// _Tokens-&gt;Add((String^)GramVals::TOK_WITHOUT, gcnew Token(GramKeys::TOK_WITHOUT, EnumTokenCategory::UNRESERVED,AS_LABEL, i++));</v>
      </c>
    </row>
    <row r="526" spans="1:19" x14ac:dyDescent="0.25">
      <c r="A526" s="3" t="s">
        <v>1889</v>
      </c>
      <c r="B526" s="5" t="s">
        <v>1378</v>
      </c>
      <c r="C526" s="3" t="s">
        <v>2417</v>
      </c>
      <c r="D526" s="3" t="s">
        <v>2423</v>
      </c>
      <c r="F526" t="str">
        <f t="shared" si="48"/>
        <v>WORK</v>
      </c>
      <c r="G526" t="s">
        <v>3604</v>
      </c>
      <c r="I526" s="3" t="str">
        <f>IF(_xlfn.XLOOKUP(F526,PgSqlRaw!B:B,PgSqlRaw!E:E,"") = "",_xlfn.XLOOKUP(G526,PgSqlRaw!B:B,PgSqlRaw!E:E,""),_xlfn.XLOOKUP(F526,PgSqlRaw!B:B,PgSqlRaw!E:E,""))</f>
        <v/>
      </c>
      <c r="J526" t="str">
        <f>IF(_xlfn.XLOOKUP(F526,PgSqlRaw!B:B,PgSqlRaw!F:F,"") = "", _xlfn.XLOOKUP(G526,PgSqlRaw!B:B,PgSqlRaw!F:F,""), _xlfn.XLOOKUP(F526,PgSqlRaw!B:B,PgSqlRaw!F:F,""))</f>
        <v>BARE_LABEL</v>
      </c>
      <c r="K526" t="str">
        <f t="shared" si="49"/>
        <v>BARE_LABEL</v>
      </c>
      <c r="L526" t="str">
        <f>IF(_xlfn.XLOOKUP(F526,PhpReserved!A:A,PhpReserved!B:B,"") = "", _xlfn.XLOOKUP(G526,PhpReserved!A:A,PhpReserved!B:B,""),_xlfn.XLOOKUP(F526,PhpReserved!A:A,PhpReserved!B:B,""))</f>
        <v/>
      </c>
      <c r="M526" t="str">
        <f>IF(_xlfn.XLOOKUP(F526,PhpFunctions!A:A,PhpFunctions!B:B,"") =  "", _xlfn.XLOOKUP(G526,PhpFunctions!A:A,PhpFunctions!B:B,""), _xlfn.XLOOKUP(F526,PhpFunctions!A:A,PhpFunctions!B:B,""))</f>
        <v/>
      </c>
      <c r="N526" t="str">
        <f>IF(_xlfn.XLOOKUP(F526,PhpParamFunc!A:A,PhpParamFunc!B:B,"") = "", _xlfn.XLOOKUP(G526,PhpParamFunc!A:A,PhpParamFunc!B:B,""), _xlfn.XLOOKUP(F526,PhpParamFunc!A:A,PhpParamFunc!B:B,""))</f>
        <v/>
      </c>
      <c r="O526" t="str">
        <f>IF(_xlfn.XLOOKUP(F526,PhpAggrFunc!A:A,PhpAggrFunc!B:B,"") = "", _xlfn.XLOOKUP(G526,PhpAggrFunc!A:A,PhpAggrFunc!B:B,""), _xlfn.XLOOKUP(F526,PhpAggrFunc!A:A,PhpAggrFunc!B:B,""))</f>
        <v/>
      </c>
      <c r="P526" t="str">
        <f t="shared" si="50"/>
        <v>UNRESERVED</v>
      </c>
      <c r="Q526" t="str">
        <f t="shared" si="51"/>
        <v>static const String^ TOK_WORK = "WORK";</v>
      </c>
      <c r="R526" t="str">
        <f t="shared" si="52"/>
        <v>static const int TOK_WORK = 438;</v>
      </c>
      <c r="S526" t="str">
        <f t="shared" si="53"/>
        <v>// _Tokens-&gt;Add((String^)GramVals::TOK_WORK, gcnew Token(GramKeys::TOK_WORK, EnumTokenCategory::UNRESERVED,BARE_LABEL, i++));</v>
      </c>
    </row>
    <row r="527" spans="1:19" x14ac:dyDescent="0.25">
      <c r="A527" s="3" t="s">
        <v>1890</v>
      </c>
      <c r="B527" s="5" t="s">
        <v>1379</v>
      </c>
      <c r="C527" s="3" t="s">
        <v>2418</v>
      </c>
      <c r="D527" s="3" t="s">
        <v>2423</v>
      </c>
      <c r="F527" t="str">
        <f t="shared" si="48"/>
        <v>WRITE</v>
      </c>
      <c r="G527" t="s">
        <v>3287</v>
      </c>
      <c r="I527" s="3" t="str">
        <f>IF(_xlfn.XLOOKUP(F527,PgSqlRaw!B:B,PgSqlRaw!E:E,"") = "",_xlfn.XLOOKUP(G527,PgSqlRaw!B:B,PgSqlRaw!E:E,""),_xlfn.XLOOKUP(F527,PgSqlRaw!B:B,PgSqlRaw!E:E,""))</f>
        <v/>
      </c>
      <c r="J527" t="str">
        <f>IF(_xlfn.XLOOKUP(F527,PgSqlRaw!B:B,PgSqlRaw!F:F,"") = "", _xlfn.XLOOKUP(G527,PgSqlRaw!B:B,PgSqlRaw!F:F,""), _xlfn.XLOOKUP(F527,PgSqlRaw!B:B,PgSqlRaw!F:F,""))</f>
        <v>BARE_LABEL</v>
      </c>
      <c r="K527" t="str">
        <f t="shared" si="49"/>
        <v>BARE_LABEL</v>
      </c>
      <c r="L527" t="str">
        <f>IF(_xlfn.XLOOKUP(F527,PhpReserved!A:A,PhpReserved!B:B,"") = "", _xlfn.XLOOKUP(G527,PhpReserved!A:A,PhpReserved!B:B,""),_xlfn.XLOOKUP(F527,PhpReserved!A:A,PhpReserved!B:B,""))</f>
        <v>RESERVED</v>
      </c>
      <c r="M527" t="str">
        <f>IF(_xlfn.XLOOKUP(F527,PhpFunctions!A:A,PhpFunctions!B:B,"") =  "", _xlfn.XLOOKUP(G527,PhpFunctions!A:A,PhpFunctions!B:B,""), _xlfn.XLOOKUP(F527,PhpFunctions!A:A,PhpFunctions!B:B,""))</f>
        <v/>
      </c>
      <c r="N527" t="str">
        <f>IF(_xlfn.XLOOKUP(F527,PhpParamFunc!A:A,PhpParamFunc!B:B,"") = "", _xlfn.XLOOKUP(G527,PhpParamFunc!A:A,PhpParamFunc!B:B,""), _xlfn.XLOOKUP(F527,PhpParamFunc!A:A,PhpParamFunc!B:B,""))</f>
        <v/>
      </c>
      <c r="O527" t="str">
        <f>IF(_xlfn.XLOOKUP(F527,PhpAggrFunc!A:A,PhpAggrFunc!B:B,"") = "", _xlfn.XLOOKUP(G527,PhpAggrFunc!A:A,PhpAggrFunc!B:B,""), _xlfn.XLOOKUP(F527,PhpAggrFunc!A:A,PhpAggrFunc!B:B,""))</f>
        <v/>
      </c>
      <c r="P527" t="str">
        <f t="shared" si="50"/>
        <v>RESERVED</v>
      </c>
      <c r="Q527" t="str">
        <f t="shared" si="51"/>
        <v>static const String^ TOK_WRITE = "WRITE";</v>
      </c>
      <c r="R527" t="str">
        <f t="shared" si="52"/>
        <v>static const int TOK_WRITE = 439;</v>
      </c>
      <c r="S527" t="str">
        <f t="shared" si="53"/>
        <v>_Tokens-&gt;Add((String^)GramVals::TOK_WRITE, gcnew Token(GramKeys::TOK_WRITE, EnumTokenCategory::RESERVED,BARE_LABEL, i++));</v>
      </c>
    </row>
    <row r="528" spans="1:19" x14ac:dyDescent="0.25">
      <c r="A528" s="3" t="s">
        <v>1891</v>
      </c>
      <c r="B528" s="5" t="s">
        <v>1380</v>
      </c>
      <c r="C528" s="3" t="s">
        <v>2419</v>
      </c>
      <c r="D528" s="3" t="s">
        <v>881</v>
      </c>
      <c r="F528" t="str">
        <f t="shared" si="48"/>
        <v>YEAR</v>
      </c>
      <c r="G528" t="s">
        <v>3081</v>
      </c>
      <c r="I528" s="3" t="str">
        <f>IF(_xlfn.XLOOKUP(F528,PgSqlRaw!B:B,PgSqlRaw!E:E,"") = "",_xlfn.XLOOKUP(G528,PgSqlRaw!B:B,PgSqlRaw!E:E,""),_xlfn.XLOOKUP(F528,PgSqlRaw!B:B,PgSqlRaw!E:E,""))</f>
        <v/>
      </c>
      <c r="J528" t="str">
        <f>IF(_xlfn.XLOOKUP(F528,PgSqlRaw!B:B,PgSqlRaw!F:F,"") = "", _xlfn.XLOOKUP(G528,PgSqlRaw!B:B,PgSqlRaw!F:F,""), _xlfn.XLOOKUP(F528,PgSqlRaw!B:B,PgSqlRaw!F:F,""))</f>
        <v>AS_LABEL</v>
      </c>
      <c r="K528" t="str">
        <f t="shared" si="49"/>
        <v>AS_LABEL</v>
      </c>
      <c r="L528" t="str">
        <f>IF(_xlfn.XLOOKUP(F528,PhpReserved!A:A,PhpReserved!B:B,"") = "", _xlfn.XLOOKUP(G528,PhpReserved!A:A,PhpReserved!B:B,""),_xlfn.XLOOKUP(F528,PhpReserved!A:A,PhpReserved!B:B,""))</f>
        <v>RESERVED</v>
      </c>
      <c r="M528" t="str">
        <f>IF(_xlfn.XLOOKUP(F528,PhpFunctions!A:A,PhpFunctions!B:B,"") =  "", _xlfn.XLOOKUP(G528,PhpFunctions!A:A,PhpFunctions!B:B,""), _xlfn.XLOOKUP(F528,PhpFunctions!A:A,PhpFunctions!B:B,""))</f>
        <v>FUNCTION</v>
      </c>
      <c r="N528" t="str">
        <f>IF(_xlfn.XLOOKUP(F528,PhpParamFunc!A:A,PhpParamFunc!B:B,"") = "", _xlfn.XLOOKUP(G528,PhpParamFunc!A:A,PhpParamFunc!B:B,""), _xlfn.XLOOKUP(F528,PhpParamFunc!A:A,PhpParamFunc!B:B,""))</f>
        <v>PARAM_FUNCTION</v>
      </c>
      <c r="O528" t="str">
        <f>IF(_xlfn.XLOOKUP(F528,PhpAggrFunc!A:A,PhpAggrFunc!B:B,"") = "", _xlfn.XLOOKUP(G528,PhpAggrFunc!A:A,PhpAggrFunc!B:B,""), _xlfn.XLOOKUP(F528,PhpAggrFunc!A:A,PhpAggrFunc!B:B,""))</f>
        <v/>
      </c>
      <c r="P528" t="str">
        <f t="shared" si="50"/>
        <v>PARAM_FUNCTION</v>
      </c>
      <c r="Q528" t="str">
        <f t="shared" si="51"/>
        <v>static const String^ TOK_YEAR = "YEAR";</v>
      </c>
      <c r="R528" t="str">
        <f t="shared" si="52"/>
        <v>static const int TOK_YEAR = 454;</v>
      </c>
      <c r="S528" t="str">
        <f t="shared" si="53"/>
        <v>_Tokens-&gt;Add((String^)GramVals::TOK_YEAR, gcnew Token(GramKeys::TOK_YEAR, EnumTokenCategory::PARAM_FUNCTION,AS_LABEL, i++));</v>
      </c>
    </row>
    <row r="529" spans="1:19" x14ac:dyDescent="0.25">
      <c r="A529" s="3" t="s">
        <v>1892</v>
      </c>
      <c r="B529" s="5" t="s">
        <v>1381</v>
      </c>
      <c r="C529" s="3" t="s">
        <v>2420</v>
      </c>
      <c r="D529" s="3" t="s">
        <v>2423</v>
      </c>
      <c r="F529" t="str">
        <f t="shared" si="48"/>
        <v>YEARDAY</v>
      </c>
      <c r="G529" t="s">
        <v>3847</v>
      </c>
      <c r="I529" s="3" t="str">
        <f>IF(_xlfn.XLOOKUP(F529,PgSqlRaw!B:B,PgSqlRaw!E:E,"") = "",_xlfn.XLOOKUP(G529,PgSqlRaw!B:B,PgSqlRaw!E:E,""),_xlfn.XLOOKUP(F529,PgSqlRaw!B:B,PgSqlRaw!E:E,""))</f>
        <v/>
      </c>
      <c r="J529" t="str">
        <f>IF(_xlfn.XLOOKUP(F529,PgSqlRaw!B:B,PgSqlRaw!F:F,"") = "", _xlfn.XLOOKUP(G529,PgSqlRaw!B:B,PgSqlRaw!F:F,""), _xlfn.XLOOKUP(F529,PgSqlRaw!B:B,PgSqlRaw!F:F,""))</f>
        <v/>
      </c>
      <c r="K529" t="str">
        <f t="shared" si="49"/>
        <v>BARE_LABEL</v>
      </c>
      <c r="L529" t="str">
        <f>IF(_xlfn.XLOOKUP(F529,PhpReserved!A:A,PhpReserved!B:B,"") = "", _xlfn.XLOOKUP(G529,PhpReserved!A:A,PhpReserved!B:B,""),_xlfn.XLOOKUP(F529,PhpReserved!A:A,PhpReserved!B:B,""))</f>
        <v/>
      </c>
      <c r="M529" t="str">
        <f>IF(_xlfn.XLOOKUP(F529,PhpFunctions!A:A,PhpFunctions!B:B,"") =  "", _xlfn.XLOOKUP(G529,PhpFunctions!A:A,PhpFunctions!B:B,""), _xlfn.XLOOKUP(F529,PhpFunctions!A:A,PhpFunctions!B:B,""))</f>
        <v/>
      </c>
      <c r="N529" t="str">
        <f>IF(_xlfn.XLOOKUP(F529,PhpParamFunc!A:A,PhpParamFunc!B:B,"") = "", _xlfn.XLOOKUP(G529,PhpParamFunc!A:A,PhpParamFunc!B:B,""), _xlfn.XLOOKUP(F529,PhpParamFunc!A:A,PhpParamFunc!B:B,""))</f>
        <v/>
      </c>
      <c r="O529" t="str">
        <f>IF(_xlfn.XLOOKUP(F529,PhpAggrFunc!A:A,PhpAggrFunc!B:B,"") = "", _xlfn.XLOOKUP(G529,PhpAggrFunc!A:A,PhpAggrFunc!B:B,""), _xlfn.XLOOKUP(F529,PhpAggrFunc!A:A,PhpAggrFunc!B:B,""))</f>
        <v/>
      </c>
      <c r="P529" t="str">
        <f t="shared" si="50"/>
        <v>UNRESERVED</v>
      </c>
      <c r="Q529" t="str">
        <f t="shared" si="51"/>
        <v>static const String^ TOK_YEARDAY = "YEARDAY";</v>
      </c>
      <c r="R529" t="str">
        <f t="shared" si="52"/>
        <v>static const int TOK_YEARDAY = 461;</v>
      </c>
      <c r="S529" t="str">
        <f t="shared" si="53"/>
        <v>// _Tokens-&gt;Add((String^)GramVals::TOK_YEARDAY, gcnew Token(GramKeys::TOK_YEARDAY, EnumTokenCategory::UNRESERVED,BARE_LABEL, i++));</v>
      </c>
    </row>
    <row r="530" spans="1:19" x14ac:dyDescent="0.25">
      <c r="A530" s="3" t="s">
        <v>1893</v>
      </c>
      <c r="B530" s="5" t="s">
        <v>1382</v>
      </c>
      <c r="C530" s="3" t="s">
        <v>2421</v>
      </c>
      <c r="D530" s="3" t="s">
        <v>2423</v>
      </c>
      <c r="F530" t="str">
        <f t="shared" si="48"/>
        <v>YYERRCODE</v>
      </c>
      <c r="G530" t="s">
        <v>3848</v>
      </c>
      <c r="I530" s="3" t="str">
        <f>IF(_xlfn.XLOOKUP(F530,PgSqlRaw!B:B,PgSqlRaw!E:E,"") = "",_xlfn.XLOOKUP(G530,PgSqlRaw!B:B,PgSqlRaw!E:E,""),_xlfn.XLOOKUP(F530,PgSqlRaw!B:B,PgSqlRaw!E:E,""))</f>
        <v/>
      </c>
      <c r="J530" t="str">
        <f>IF(_xlfn.XLOOKUP(F530,PgSqlRaw!B:B,PgSqlRaw!F:F,"") = "", _xlfn.XLOOKUP(G530,PgSqlRaw!B:B,PgSqlRaw!F:F,""), _xlfn.XLOOKUP(F530,PgSqlRaw!B:B,PgSqlRaw!F:F,""))</f>
        <v/>
      </c>
      <c r="K530" t="str">
        <f t="shared" si="49"/>
        <v>BARE_LABEL</v>
      </c>
      <c r="L530" t="str">
        <f>IF(_xlfn.XLOOKUP(F530,PhpReserved!A:A,PhpReserved!B:B,"") = "", _xlfn.XLOOKUP(G530,PhpReserved!A:A,PhpReserved!B:B,""),_xlfn.XLOOKUP(F530,PhpReserved!A:A,PhpReserved!B:B,""))</f>
        <v/>
      </c>
      <c r="M530" t="str">
        <f>IF(_xlfn.XLOOKUP(F530,PhpFunctions!A:A,PhpFunctions!B:B,"") =  "", _xlfn.XLOOKUP(G530,PhpFunctions!A:A,PhpFunctions!B:B,""), _xlfn.XLOOKUP(F530,PhpFunctions!A:A,PhpFunctions!B:B,""))</f>
        <v/>
      </c>
      <c r="N530" t="str">
        <f>IF(_xlfn.XLOOKUP(F530,PhpParamFunc!A:A,PhpParamFunc!B:B,"") = "", _xlfn.XLOOKUP(G530,PhpParamFunc!A:A,PhpParamFunc!B:B,""), _xlfn.XLOOKUP(F530,PhpParamFunc!A:A,PhpParamFunc!B:B,""))</f>
        <v/>
      </c>
      <c r="O530" t="str">
        <f>IF(_xlfn.XLOOKUP(F530,PhpAggrFunc!A:A,PhpAggrFunc!B:B,"") = "", _xlfn.XLOOKUP(G530,PhpAggrFunc!A:A,PhpAggrFunc!B:B,""), _xlfn.XLOOKUP(F530,PhpAggrFunc!A:A,PhpAggrFunc!B:B,""))</f>
        <v/>
      </c>
      <c r="P530" t="str">
        <f t="shared" si="50"/>
        <v>UNRESERVED</v>
      </c>
      <c r="Q530" t="str">
        <f t="shared" si="51"/>
        <v>static const String^ TOK_YYERRCODE = "YYERRCODE";</v>
      </c>
      <c r="R530" t="str">
        <f t="shared" si="52"/>
        <v>static const int TOK_YYERRCODE = 256;</v>
      </c>
      <c r="S530" t="str">
        <f t="shared" si="53"/>
        <v>// _Tokens-&gt;Add((String^)GramVals::TOK_YYERRCODE, gcnew Token(GramKeys::TOK_YYERRCODE, EnumTokenCategory::UNRESERVED,BARE_LABEL, i++));</v>
      </c>
    </row>
    <row r="531" spans="1:19" x14ac:dyDescent="0.25">
      <c r="A531" s="3" t="s">
        <v>1894</v>
      </c>
      <c r="B531" s="5">
        <v>779</v>
      </c>
      <c r="C531" s="3" t="s">
        <v>2422</v>
      </c>
      <c r="D531" s="3" t="s">
        <v>2423</v>
      </c>
      <c r="F531" t="str">
        <f t="shared" si="48"/>
        <v>ZONE</v>
      </c>
      <c r="G531" t="s">
        <v>3619</v>
      </c>
      <c r="I531" s="3" t="str">
        <f>IF(_xlfn.XLOOKUP(F531,PgSqlRaw!B:B,PgSqlRaw!E:E,"") = "",_xlfn.XLOOKUP(G531,PgSqlRaw!B:B,PgSqlRaw!E:E,""),_xlfn.XLOOKUP(F531,PgSqlRaw!B:B,PgSqlRaw!E:E,""))</f>
        <v/>
      </c>
      <c r="J531" t="str">
        <f>IF(_xlfn.XLOOKUP(F531,PgSqlRaw!B:B,PgSqlRaw!F:F,"") = "", _xlfn.XLOOKUP(G531,PgSqlRaw!B:B,PgSqlRaw!F:F,""), _xlfn.XLOOKUP(F531,PgSqlRaw!B:B,PgSqlRaw!F:F,""))</f>
        <v>BARE_LABEL</v>
      </c>
      <c r="K531" t="str">
        <f t="shared" si="49"/>
        <v>BARE_LABEL</v>
      </c>
      <c r="L531" t="str">
        <f>IF(_xlfn.XLOOKUP(F531,PhpReserved!A:A,PhpReserved!B:B,"") = "", _xlfn.XLOOKUP(G531,PhpReserved!A:A,PhpReserved!B:B,""),_xlfn.XLOOKUP(F531,PhpReserved!A:A,PhpReserved!B:B,""))</f>
        <v/>
      </c>
      <c r="M531" t="str">
        <f>IF(_xlfn.XLOOKUP(F531,PhpFunctions!A:A,PhpFunctions!B:B,"") =  "", _xlfn.XLOOKUP(G531,PhpFunctions!A:A,PhpFunctions!B:B,""), _xlfn.XLOOKUP(F531,PhpFunctions!A:A,PhpFunctions!B:B,""))</f>
        <v/>
      </c>
      <c r="N531" t="str">
        <f>IF(_xlfn.XLOOKUP(F531,PhpParamFunc!A:A,PhpParamFunc!B:B,"") = "", _xlfn.XLOOKUP(G531,PhpParamFunc!A:A,PhpParamFunc!B:B,""), _xlfn.XLOOKUP(F531,PhpParamFunc!A:A,PhpParamFunc!B:B,""))</f>
        <v/>
      </c>
      <c r="O531" t="str">
        <f>IF(_xlfn.XLOOKUP(F531,PhpAggrFunc!A:A,PhpAggrFunc!B:B,"") = "", _xlfn.XLOOKUP(G531,PhpAggrFunc!A:A,PhpAggrFunc!B:B,""), _xlfn.XLOOKUP(F531,PhpAggrFunc!A:A,PhpAggrFunc!B:B,""))</f>
        <v/>
      </c>
      <c r="P531" t="str">
        <f t="shared" si="50"/>
        <v>UNRESERVED</v>
      </c>
      <c r="Q531" t="str">
        <f t="shared" si="51"/>
        <v>static const String^ TOK_ZONE = "ZONE";</v>
      </c>
      <c r="R531" t="str">
        <f t="shared" si="52"/>
        <v>static const int TOK_ZONE = 779;</v>
      </c>
      <c r="S531" t="str">
        <f t="shared" si="53"/>
        <v>// _Tokens-&gt;Add((String^)GramVals::TOK_ZONE, gcnew Token(GramKeys::TOK_ZONE, EnumTokenCategory::UNRESERVED,BARE_LABEL, i++));</v>
      </c>
    </row>
  </sheetData>
  <sortState xmlns:xlrd2="http://schemas.microsoft.com/office/spreadsheetml/2017/richdata2" ref="A3:D531">
    <sortCondition ref="A3:A531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8CEF8-A415-42DC-AA02-D104F7356753}">
  <dimension ref="A2:F461"/>
  <sheetViews>
    <sheetView workbookViewId="0">
      <selection activeCell="E4" sqref="E4"/>
    </sheetView>
  </sheetViews>
  <sheetFormatPr defaultRowHeight="15" x14ac:dyDescent="0.25"/>
  <cols>
    <col min="1" max="1" width="79" bestFit="1" customWidth="1"/>
    <col min="2" max="2" width="20.85546875" bestFit="1" customWidth="1"/>
    <col min="3" max="3" width="25.7109375" bestFit="1" customWidth="1"/>
    <col min="4" max="4" width="39.5703125" bestFit="1" customWidth="1"/>
    <col min="5" max="5" width="25.5703125" style="3" bestFit="1" customWidth="1"/>
    <col min="6" max="6" width="11.7109375" bestFit="1" customWidth="1"/>
  </cols>
  <sheetData>
    <row r="2" spans="1:6" x14ac:dyDescent="0.25">
      <c r="A2" t="s">
        <v>2424</v>
      </c>
      <c r="B2" t="str">
        <f>UPPER(TRIM(MID(A2, 2, SEARCH(",",A2) - 3)))</f>
        <v>ABORT</v>
      </c>
      <c r="C2" t="s">
        <v>3312</v>
      </c>
      <c r="D2" t="s">
        <v>3295</v>
      </c>
      <c r="E2" s="2" t="s">
        <v>3856</v>
      </c>
      <c r="F2" t="s">
        <v>3293</v>
      </c>
    </row>
    <row r="3" spans="1:6" x14ac:dyDescent="0.25">
      <c r="A3" t="s">
        <v>2425</v>
      </c>
      <c r="B3" t="str">
        <f>UPPER(TRIM(MID(A3, 2, SEARCH(",",A3) - 3)))</f>
        <v>ABSOLUTE</v>
      </c>
      <c r="C3" t="s">
        <v>3313</v>
      </c>
      <c r="D3" t="s">
        <v>3295</v>
      </c>
      <c r="E3" s="2" t="s">
        <v>3856</v>
      </c>
      <c r="F3" t="s">
        <v>3293</v>
      </c>
    </row>
    <row r="4" spans="1:6" x14ac:dyDescent="0.25">
      <c r="A4" t="s">
        <v>2426</v>
      </c>
      <c r="B4" t="str">
        <f>UPPER(TRIM(MID(A4, 2, SEARCH(",",A4) - 3)))</f>
        <v>ACCESS</v>
      </c>
      <c r="C4" t="s">
        <v>3314</v>
      </c>
      <c r="D4" t="s">
        <v>3295</v>
      </c>
      <c r="E4" s="2" t="s">
        <v>3856</v>
      </c>
      <c r="F4" t="s">
        <v>3293</v>
      </c>
    </row>
    <row r="5" spans="1:6" x14ac:dyDescent="0.25">
      <c r="A5" t="s">
        <v>2427</v>
      </c>
      <c r="B5" t="str">
        <f>UPPER(TRIM(MID(A5, 2, SEARCH(",",A5) - 3)))</f>
        <v>ACTION</v>
      </c>
      <c r="C5" t="s">
        <v>3315</v>
      </c>
      <c r="D5" t="s">
        <v>3295</v>
      </c>
      <c r="E5" s="2" t="s">
        <v>3856</v>
      </c>
      <c r="F5" t="s">
        <v>3293</v>
      </c>
    </row>
    <row r="6" spans="1:6" x14ac:dyDescent="0.25">
      <c r="A6" t="s">
        <v>2428</v>
      </c>
      <c r="B6" t="str">
        <f>UPPER(TRIM(MID(A6, 2, SEARCH(",",A6) - 3)))</f>
        <v>ADD</v>
      </c>
      <c r="C6" t="s">
        <v>3083</v>
      </c>
      <c r="D6" t="s">
        <v>3295</v>
      </c>
      <c r="E6" s="2" t="s">
        <v>3856</v>
      </c>
      <c r="F6" t="s">
        <v>3293</v>
      </c>
    </row>
    <row r="7" spans="1:6" x14ac:dyDescent="0.25">
      <c r="A7" t="s">
        <v>2429</v>
      </c>
      <c r="B7" t="str">
        <f>UPPER(TRIM(MID(A7, 2, SEARCH(",",A7) - 3)))</f>
        <v>ADMIN</v>
      </c>
      <c r="C7" t="s">
        <v>3316</v>
      </c>
      <c r="D7" t="s">
        <v>3295</v>
      </c>
      <c r="E7" s="2" t="s">
        <v>3856</v>
      </c>
      <c r="F7" t="s">
        <v>3293</v>
      </c>
    </row>
    <row r="8" spans="1:6" x14ac:dyDescent="0.25">
      <c r="A8" t="s">
        <v>2430</v>
      </c>
      <c r="B8" t="str">
        <f>UPPER(TRIM(MID(A8, 2, SEARCH(",",A8) - 3)))</f>
        <v>AFTER</v>
      </c>
      <c r="C8" t="s">
        <v>3317</v>
      </c>
      <c r="D8" t="s">
        <v>3295</v>
      </c>
      <c r="E8" s="2" t="s">
        <v>3856</v>
      </c>
      <c r="F8" t="s">
        <v>3293</v>
      </c>
    </row>
    <row r="9" spans="1:6" x14ac:dyDescent="0.25">
      <c r="A9" t="s">
        <v>2431</v>
      </c>
      <c r="B9" t="str">
        <f>UPPER(TRIM(MID(A9, 2, SEARCH(",",A9) - 3)))</f>
        <v>AGGREGATE</v>
      </c>
      <c r="C9" t="s">
        <v>3318</v>
      </c>
      <c r="D9" t="s">
        <v>3295</v>
      </c>
      <c r="E9" s="2" t="s">
        <v>3856</v>
      </c>
      <c r="F9" t="s">
        <v>3293</v>
      </c>
    </row>
    <row r="10" spans="1:6" x14ac:dyDescent="0.25">
      <c r="A10" t="s">
        <v>2432</v>
      </c>
      <c r="B10" t="str">
        <f>UPPER(TRIM(MID(A10, 2, SEARCH(",",A10) - 3)))</f>
        <v>ALL</v>
      </c>
      <c r="C10" t="s">
        <v>3084</v>
      </c>
      <c r="D10" t="s">
        <v>3296</v>
      </c>
      <c r="E10" s="3" t="s">
        <v>3291</v>
      </c>
      <c r="F10" t="s">
        <v>3293</v>
      </c>
    </row>
    <row r="11" spans="1:6" x14ac:dyDescent="0.25">
      <c r="A11" t="s">
        <v>2433</v>
      </c>
      <c r="B11" t="str">
        <f>UPPER(TRIM(MID(A11, 2, SEARCH(",",A11) - 3)))</f>
        <v>ALSO</v>
      </c>
      <c r="C11" t="s">
        <v>3319</v>
      </c>
      <c r="D11" t="s">
        <v>3295</v>
      </c>
      <c r="E11" s="2" t="s">
        <v>3856</v>
      </c>
      <c r="F11" t="s">
        <v>3293</v>
      </c>
    </row>
    <row r="12" spans="1:6" x14ac:dyDescent="0.25">
      <c r="A12" t="s">
        <v>2434</v>
      </c>
      <c r="B12" t="str">
        <f>UPPER(TRIM(MID(A12, 2, SEARCH(",",A12) - 3)))</f>
        <v>ALTER</v>
      </c>
      <c r="C12" t="s">
        <v>3085</v>
      </c>
      <c r="D12" t="s">
        <v>3295</v>
      </c>
      <c r="E12" s="2" t="s">
        <v>3856</v>
      </c>
      <c r="F12" t="s">
        <v>3293</v>
      </c>
    </row>
    <row r="13" spans="1:6" x14ac:dyDescent="0.25">
      <c r="A13" t="s">
        <v>2435</v>
      </c>
      <c r="B13" t="str">
        <f>UPPER(TRIM(MID(A13, 2, SEARCH(",",A13) - 3)))</f>
        <v>ALWAYS</v>
      </c>
      <c r="C13" t="s">
        <v>3320</v>
      </c>
      <c r="D13" t="s">
        <v>3295</v>
      </c>
      <c r="E13" s="2" t="s">
        <v>3856</v>
      </c>
      <c r="F13" t="s">
        <v>3293</v>
      </c>
    </row>
    <row r="14" spans="1:6" x14ac:dyDescent="0.25">
      <c r="A14" t="s">
        <v>2436</v>
      </c>
      <c r="B14" t="str">
        <f>UPPER(TRIM(MID(A14, 2, SEARCH(",",A14) - 3)))</f>
        <v>ANALYSE</v>
      </c>
      <c r="C14" t="s">
        <v>3321</v>
      </c>
      <c r="D14" t="s">
        <v>3296</v>
      </c>
      <c r="E14" s="3" t="s">
        <v>3291</v>
      </c>
      <c r="F14" t="s">
        <v>3293</v>
      </c>
    </row>
    <row r="15" spans="1:6" x14ac:dyDescent="0.25">
      <c r="A15" t="s">
        <v>2437</v>
      </c>
      <c r="B15" t="str">
        <f>UPPER(TRIM(MID(A15, 2, SEARCH(",",A15) - 3)))</f>
        <v>ANALYZE</v>
      </c>
      <c r="C15" t="s">
        <v>3086</v>
      </c>
      <c r="D15" t="s">
        <v>3296</v>
      </c>
      <c r="E15" s="3" t="s">
        <v>3291</v>
      </c>
      <c r="F15" t="s">
        <v>3293</v>
      </c>
    </row>
    <row r="16" spans="1:6" x14ac:dyDescent="0.25">
      <c r="A16" t="s">
        <v>2438</v>
      </c>
      <c r="B16" t="str">
        <f>UPPER(TRIM(MID(A16, 2, SEARCH(",",A16) - 3)))</f>
        <v>AND</v>
      </c>
      <c r="C16" t="s">
        <v>3087</v>
      </c>
      <c r="D16" t="s">
        <v>3296</v>
      </c>
      <c r="E16" s="3" t="s">
        <v>3291</v>
      </c>
      <c r="F16" t="s">
        <v>3293</v>
      </c>
    </row>
    <row r="17" spans="1:6" x14ac:dyDescent="0.25">
      <c r="A17" t="s">
        <v>2439</v>
      </c>
      <c r="B17" t="str">
        <f>UPPER(TRIM(MID(A17, 2, SEARCH(",",A17) - 3)))</f>
        <v>ANY</v>
      </c>
      <c r="C17" t="s">
        <v>3322</v>
      </c>
      <c r="D17" t="s">
        <v>3296</v>
      </c>
      <c r="E17" s="3" t="s">
        <v>3291</v>
      </c>
      <c r="F17" t="s">
        <v>3293</v>
      </c>
    </row>
    <row r="18" spans="1:6" x14ac:dyDescent="0.25">
      <c r="A18" t="s">
        <v>2440</v>
      </c>
      <c r="B18" t="str">
        <f>UPPER(TRIM(MID(A18, 2, SEARCH(",",A18) - 3)))</f>
        <v>ARRAY</v>
      </c>
      <c r="C18" t="s">
        <v>3323</v>
      </c>
      <c r="D18" t="s">
        <v>3297</v>
      </c>
      <c r="E18" s="3" t="s">
        <v>3291</v>
      </c>
      <c r="F18" t="s">
        <v>3294</v>
      </c>
    </row>
    <row r="19" spans="1:6" x14ac:dyDescent="0.25">
      <c r="A19" t="s">
        <v>2441</v>
      </c>
      <c r="B19" t="str">
        <f>UPPER(TRIM(MID(A19, 2, SEARCH(",",A19) - 3)))</f>
        <v>AS</v>
      </c>
      <c r="C19" t="s">
        <v>3088</v>
      </c>
      <c r="D19" t="s">
        <v>3297</v>
      </c>
      <c r="E19" s="3" t="s">
        <v>3291</v>
      </c>
      <c r="F19" t="s">
        <v>3294</v>
      </c>
    </row>
    <row r="20" spans="1:6" x14ac:dyDescent="0.25">
      <c r="A20" t="s">
        <v>2442</v>
      </c>
      <c r="B20" t="str">
        <f>UPPER(TRIM(MID(A20, 2, SEARCH(",",A20) - 3)))</f>
        <v>ASC</v>
      </c>
      <c r="C20" t="s">
        <v>3089</v>
      </c>
      <c r="D20" t="s">
        <v>3296</v>
      </c>
      <c r="E20" s="3" t="s">
        <v>3291</v>
      </c>
      <c r="F20" t="s">
        <v>3293</v>
      </c>
    </row>
    <row r="21" spans="1:6" x14ac:dyDescent="0.25">
      <c r="A21" t="s">
        <v>2443</v>
      </c>
      <c r="B21" t="str">
        <f>UPPER(TRIM(MID(A21, 2, SEARCH(",",A21) - 3)))</f>
        <v>ASENSITIVE</v>
      </c>
      <c r="C21" t="s">
        <v>3090</v>
      </c>
      <c r="D21" t="s">
        <v>3295</v>
      </c>
      <c r="E21" s="2" t="s">
        <v>3856</v>
      </c>
      <c r="F21" t="s">
        <v>3293</v>
      </c>
    </row>
    <row r="22" spans="1:6" x14ac:dyDescent="0.25">
      <c r="A22" t="s">
        <v>2444</v>
      </c>
      <c r="B22" t="str">
        <f>UPPER(TRIM(MID(A22, 2, SEARCH(",",A22) - 3)))</f>
        <v>ASSERTION</v>
      </c>
      <c r="C22" t="s">
        <v>3324</v>
      </c>
      <c r="D22" t="s">
        <v>3295</v>
      </c>
      <c r="E22" s="2" t="s">
        <v>3856</v>
      </c>
      <c r="F22" t="s">
        <v>3293</v>
      </c>
    </row>
    <row r="23" spans="1:6" x14ac:dyDescent="0.25">
      <c r="A23" t="s">
        <v>2445</v>
      </c>
      <c r="B23" t="str">
        <f>UPPER(TRIM(MID(A23, 2, SEARCH(",",A23) - 3)))</f>
        <v>ASSIGNMENT</v>
      </c>
      <c r="C23" t="s">
        <v>3325</v>
      </c>
      <c r="D23" t="s">
        <v>3295</v>
      </c>
      <c r="E23" s="2" t="s">
        <v>3856</v>
      </c>
      <c r="F23" t="s">
        <v>3293</v>
      </c>
    </row>
    <row r="24" spans="1:6" x14ac:dyDescent="0.25">
      <c r="A24" t="s">
        <v>2446</v>
      </c>
      <c r="B24" t="str">
        <f>UPPER(TRIM(MID(A24, 2, SEARCH(",",A24) - 3)))</f>
        <v>ASYMMETRIC</v>
      </c>
      <c r="C24" t="s">
        <v>3326</v>
      </c>
      <c r="D24" t="s">
        <v>3296</v>
      </c>
      <c r="E24" s="3" t="s">
        <v>3291</v>
      </c>
      <c r="F24" t="s">
        <v>3293</v>
      </c>
    </row>
    <row r="25" spans="1:6" x14ac:dyDescent="0.25">
      <c r="A25" t="s">
        <v>2447</v>
      </c>
      <c r="B25" t="str">
        <f>UPPER(TRIM(MID(A25, 2, SEARCH(",",A25) - 3)))</f>
        <v>AT</v>
      </c>
      <c r="C25" t="s">
        <v>3327</v>
      </c>
      <c r="D25" t="s">
        <v>3295</v>
      </c>
      <c r="E25" s="2" t="s">
        <v>3856</v>
      </c>
      <c r="F25" t="s">
        <v>3293</v>
      </c>
    </row>
    <row r="26" spans="1:6" x14ac:dyDescent="0.25">
      <c r="A26" t="s">
        <v>2448</v>
      </c>
      <c r="B26" t="str">
        <f>UPPER(TRIM(MID(A26, 2, SEARCH(",",A26) - 3)))</f>
        <v>ATOMIC</v>
      </c>
      <c r="C26" t="s">
        <v>3328</v>
      </c>
      <c r="D26" t="s">
        <v>3295</v>
      </c>
      <c r="E26" s="2" t="s">
        <v>3856</v>
      </c>
      <c r="F26" t="s">
        <v>3293</v>
      </c>
    </row>
    <row r="27" spans="1:6" x14ac:dyDescent="0.25">
      <c r="A27" t="s">
        <v>2449</v>
      </c>
      <c r="B27" t="str">
        <f>UPPER(TRIM(MID(A27, 2, SEARCH(",",A27) - 3)))</f>
        <v>ATTACH</v>
      </c>
      <c r="C27" t="s">
        <v>3329</v>
      </c>
      <c r="D27" t="s">
        <v>3295</v>
      </c>
      <c r="E27" s="2" t="s">
        <v>3856</v>
      </c>
      <c r="F27" t="s">
        <v>3293</v>
      </c>
    </row>
    <row r="28" spans="1:6" x14ac:dyDescent="0.25">
      <c r="A28" t="s">
        <v>2450</v>
      </c>
      <c r="B28" t="str">
        <f>UPPER(TRIM(MID(A28, 2, SEARCH(",",A28) - 3)))</f>
        <v>ATTRIBUTE</v>
      </c>
      <c r="C28" t="s">
        <v>3330</v>
      </c>
      <c r="D28" t="s">
        <v>3295</v>
      </c>
      <c r="E28" s="2" t="s">
        <v>3856</v>
      </c>
      <c r="F28" t="s">
        <v>3293</v>
      </c>
    </row>
    <row r="29" spans="1:6" x14ac:dyDescent="0.25">
      <c r="A29" t="s">
        <v>2810</v>
      </c>
      <c r="B29" t="str">
        <f>UPPER(TRIM(MID(A29, 2, SEARCH(",",A29) - 3)))</f>
        <v>AUTHORIZATION</v>
      </c>
      <c r="C29" t="s">
        <v>3331</v>
      </c>
      <c r="D29" t="s">
        <v>3304</v>
      </c>
      <c r="E29" s="3" t="s">
        <v>3303</v>
      </c>
      <c r="F29" t="s">
        <v>3293</v>
      </c>
    </row>
    <row r="30" spans="1:6" x14ac:dyDescent="0.25">
      <c r="A30" t="s">
        <v>2451</v>
      </c>
      <c r="B30" t="str">
        <f>UPPER(TRIM(MID(A30, 2, SEARCH(",",A30) - 3)))</f>
        <v>BACKWARD</v>
      </c>
      <c r="C30" t="s">
        <v>3332</v>
      </c>
      <c r="D30" t="s">
        <v>3295</v>
      </c>
      <c r="E30" s="2" t="s">
        <v>3856</v>
      </c>
      <c r="F30" t="s">
        <v>3293</v>
      </c>
    </row>
    <row r="31" spans="1:6" x14ac:dyDescent="0.25">
      <c r="A31" t="s">
        <v>2452</v>
      </c>
      <c r="B31" t="str">
        <f>UPPER(TRIM(MID(A31, 2, SEARCH(",",A31) - 3)))</f>
        <v>BEFORE</v>
      </c>
      <c r="C31" t="s">
        <v>3093</v>
      </c>
      <c r="D31" t="s">
        <v>3295</v>
      </c>
      <c r="E31" s="2" t="s">
        <v>3856</v>
      </c>
      <c r="F31" t="s">
        <v>3293</v>
      </c>
    </row>
    <row r="32" spans="1:6" x14ac:dyDescent="0.25">
      <c r="A32" t="s">
        <v>2453</v>
      </c>
      <c r="B32" t="str">
        <f>UPPER(TRIM(MID(A32, 2, SEARCH(",",A32) - 3)))</f>
        <v>BEGIN</v>
      </c>
      <c r="C32" t="s">
        <v>3333</v>
      </c>
      <c r="D32" t="s">
        <v>3295</v>
      </c>
      <c r="E32" s="2" t="s">
        <v>3856</v>
      </c>
      <c r="F32" t="s">
        <v>3293</v>
      </c>
    </row>
    <row r="33" spans="1:6" x14ac:dyDescent="0.25">
      <c r="A33" t="s">
        <v>2833</v>
      </c>
      <c r="B33" t="str">
        <f>UPPER(TRIM(MID(A33, 2, SEARCH(",",A33) - 3)))</f>
        <v>BETWEEN</v>
      </c>
      <c r="C33" t="s">
        <v>3095</v>
      </c>
      <c r="D33" t="s">
        <v>3298</v>
      </c>
      <c r="E33" s="3" t="s">
        <v>3292</v>
      </c>
      <c r="F33" t="s">
        <v>3293</v>
      </c>
    </row>
    <row r="34" spans="1:6" x14ac:dyDescent="0.25">
      <c r="A34" t="s">
        <v>2834</v>
      </c>
      <c r="B34" t="str">
        <f>UPPER(TRIM(MID(A34, 2, SEARCH(",",A34) - 3)))</f>
        <v>BIGINT</v>
      </c>
      <c r="C34" t="s">
        <v>3096</v>
      </c>
      <c r="D34" t="s">
        <v>3298</v>
      </c>
      <c r="E34" s="3" t="s">
        <v>3292</v>
      </c>
      <c r="F34" t="s">
        <v>3293</v>
      </c>
    </row>
    <row r="35" spans="1:6" x14ac:dyDescent="0.25">
      <c r="A35" t="s">
        <v>2811</v>
      </c>
      <c r="B35" t="str">
        <f>UPPER(TRIM(MID(A35, 2, SEARCH(",",A35) - 3)))</f>
        <v>BINARY</v>
      </c>
      <c r="C35" t="s">
        <v>3097</v>
      </c>
      <c r="D35" t="s">
        <v>3304</v>
      </c>
      <c r="E35" s="3" t="s">
        <v>3303</v>
      </c>
      <c r="F35" t="s">
        <v>3293</v>
      </c>
    </row>
    <row r="36" spans="1:6" x14ac:dyDescent="0.25">
      <c r="A36" t="s">
        <v>2835</v>
      </c>
      <c r="B36" t="str">
        <f>UPPER(TRIM(MID(A36, 2, SEARCH(",",A36) - 3)))</f>
        <v>BIT</v>
      </c>
      <c r="C36" t="s">
        <v>3334</v>
      </c>
      <c r="D36" t="s">
        <v>3298</v>
      </c>
      <c r="E36" s="3" t="s">
        <v>3292</v>
      </c>
      <c r="F36" t="s">
        <v>3293</v>
      </c>
    </row>
    <row r="37" spans="1:6" x14ac:dyDescent="0.25">
      <c r="A37" t="s">
        <v>2836</v>
      </c>
      <c r="B37" t="str">
        <f>UPPER(TRIM(MID(A37, 2, SEARCH(",",A37) - 3)))</f>
        <v>BOOLEAN</v>
      </c>
      <c r="C37" t="s">
        <v>3335</v>
      </c>
      <c r="D37" t="s">
        <v>3298</v>
      </c>
      <c r="E37" s="3" t="s">
        <v>3292</v>
      </c>
      <c r="F37" t="s">
        <v>3293</v>
      </c>
    </row>
    <row r="38" spans="1:6" x14ac:dyDescent="0.25">
      <c r="A38" t="s">
        <v>2454</v>
      </c>
      <c r="B38" t="str">
        <f>UPPER(TRIM(MID(A38, 2, SEARCH(",",A38) - 3)))</f>
        <v>BOTH</v>
      </c>
      <c r="C38" t="s">
        <v>3099</v>
      </c>
      <c r="D38" t="s">
        <v>3296</v>
      </c>
      <c r="E38" s="3" t="s">
        <v>3291</v>
      </c>
      <c r="F38" t="s">
        <v>3293</v>
      </c>
    </row>
    <row r="39" spans="1:6" x14ac:dyDescent="0.25">
      <c r="A39" t="s">
        <v>2455</v>
      </c>
      <c r="B39" t="str">
        <f>UPPER(TRIM(MID(A39, 2, SEARCH(",",A39) - 3)))</f>
        <v>BREADTH</v>
      </c>
      <c r="C39" t="s">
        <v>3336</v>
      </c>
      <c r="D39" t="s">
        <v>3295</v>
      </c>
      <c r="E39" s="2" t="s">
        <v>3856</v>
      </c>
      <c r="F39" t="s">
        <v>3293</v>
      </c>
    </row>
    <row r="40" spans="1:6" x14ac:dyDescent="0.25">
      <c r="A40" t="s">
        <v>2456</v>
      </c>
      <c r="B40" t="str">
        <f>UPPER(TRIM(MID(A40, 2, SEARCH(",",A40) - 3)))</f>
        <v>BY</v>
      </c>
      <c r="C40" t="s">
        <v>3100</v>
      </c>
      <c r="D40" t="s">
        <v>3295</v>
      </c>
      <c r="E40" s="2" t="s">
        <v>3856</v>
      </c>
      <c r="F40" t="s">
        <v>3293</v>
      </c>
    </row>
    <row r="41" spans="1:6" x14ac:dyDescent="0.25">
      <c r="A41" t="s">
        <v>2457</v>
      </c>
      <c r="B41" t="str">
        <f>UPPER(TRIM(MID(A41, 2, SEARCH(",",A41) - 3)))</f>
        <v>CACHE</v>
      </c>
      <c r="C41" t="s">
        <v>3337</v>
      </c>
      <c r="D41" t="s">
        <v>3295</v>
      </c>
      <c r="E41" s="2" t="s">
        <v>3856</v>
      </c>
      <c r="F41" t="s">
        <v>3293</v>
      </c>
    </row>
    <row r="42" spans="1:6" x14ac:dyDescent="0.25">
      <c r="A42" t="s">
        <v>2458</v>
      </c>
      <c r="B42" t="str">
        <f>UPPER(TRIM(MID(A42, 2, SEARCH(",",A42) - 3)))</f>
        <v>CALL</v>
      </c>
      <c r="C42" t="s">
        <v>3101</v>
      </c>
      <c r="D42" t="s">
        <v>3295</v>
      </c>
      <c r="E42" s="2" t="s">
        <v>3856</v>
      </c>
      <c r="F42" t="s">
        <v>3293</v>
      </c>
    </row>
    <row r="43" spans="1:6" x14ac:dyDescent="0.25">
      <c r="A43" t="s">
        <v>2459</v>
      </c>
      <c r="B43" t="str">
        <f>UPPER(TRIM(MID(A43, 2, SEARCH(",",A43) - 3)))</f>
        <v>CALLED</v>
      </c>
      <c r="C43" t="s">
        <v>3338</v>
      </c>
      <c r="D43" t="s">
        <v>3295</v>
      </c>
      <c r="E43" s="2" t="s">
        <v>3856</v>
      </c>
      <c r="F43" t="s">
        <v>3293</v>
      </c>
    </row>
    <row r="44" spans="1:6" x14ac:dyDescent="0.25">
      <c r="A44" t="s">
        <v>2460</v>
      </c>
      <c r="B44" t="str">
        <f>UPPER(TRIM(MID(A44, 2, SEARCH(",",A44) - 3)))</f>
        <v>CASCADE</v>
      </c>
      <c r="C44" t="s">
        <v>3102</v>
      </c>
      <c r="D44" t="s">
        <v>3295</v>
      </c>
      <c r="E44" s="2" t="s">
        <v>3856</v>
      </c>
      <c r="F44" t="s">
        <v>3293</v>
      </c>
    </row>
    <row r="45" spans="1:6" x14ac:dyDescent="0.25">
      <c r="A45" t="s">
        <v>2461</v>
      </c>
      <c r="B45" t="str">
        <f>UPPER(TRIM(MID(A45, 2, SEARCH(",",A45) - 3)))</f>
        <v>CASCADED</v>
      </c>
      <c r="C45" t="s">
        <v>3339</v>
      </c>
      <c r="D45" t="s">
        <v>3295</v>
      </c>
      <c r="E45" s="2" t="s">
        <v>3856</v>
      </c>
      <c r="F45" t="s">
        <v>3293</v>
      </c>
    </row>
    <row r="46" spans="1:6" x14ac:dyDescent="0.25">
      <c r="A46" t="s">
        <v>2462</v>
      </c>
      <c r="B46" t="str">
        <f>UPPER(TRIM(MID(A46, 2, SEARCH(",",A46) - 3)))</f>
        <v>CASE</v>
      </c>
      <c r="C46" t="s">
        <v>3103</v>
      </c>
      <c r="D46" t="s">
        <v>3296</v>
      </c>
      <c r="E46" s="3" t="s">
        <v>3291</v>
      </c>
      <c r="F46" t="s">
        <v>3293</v>
      </c>
    </row>
    <row r="47" spans="1:6" x14ac:dyDescent="0.25">
      <c r="A47" t="s">
        <v>2463</v>
      </c>
      <c r="B47" t="str">
        <f>UPPER(TRIM(MID(A47, 2, SEARCH(",",A47) - 3)))</f>
        <v>CAST</v>
      </c>
      <c r="C47" t="s">
        <v>2901</v>
      </c>
      <c r="D47" t="s">
        <v>3296</v>
      </c>
      <c r="E47" s="3" t="s">
        <v>3291</v>
      </c>
      <c r="F47" t="s">
        <v>3293</v>
      </c>
    </row>
    <row r="48" spans="1:6" x14ac:dyDescent="0.25">
      <c r="A48" t="s">
        <v>2464</v>
      </c>
      <c r="B48" t="str">
        <f>UPPER(TRIM(MID(A48, 2, SEARCH(",",A48) - 3)))</f>
        <v>CATALOG</v>
      </c>
      <c r="C48" t="s">
        <v>3340</v>
      </c>
      <c r="D48" t="s">
        <v>3295</v>
      </c>
      <c r="E48" s="2" t="s">
        <v>3856</v>
      </c>
      <c r="F48" t="s">
        <v>3293</v>
      </c>
    </row>
    <row r="49" spans="1:6" x14ac:dyDescent="0.25">
      <c r="A49" t="s">
        <v>2465</v>
      </c>
      <c r="B49" t="str">
        <f>UPPER(TRIM(MID(A49, 2, SEARCH(",",A49) - 3)))</f>
        <v>CHAIN</v>
      </c>
      <c r="C49" t="s">
        <v>3341</v>
      </c>
      <c r="D49" t="s">
        <v>3295</v>
      </c>
      <c r="E49" s="2" t="s">
        <v>3856</v>
      </c>
      <c r="F49" t="s">
        <v>3293</v>
      </c>
    </row>
    <row r="50" spans="1:6" x14ac:dyDescent="0.25">
      <c r="A50" t="s">
        <v>2837</v>
      </c>
      <c r="B50" t="str">
        <f>UPPER(TRIM(MID(A50, 2, SEARCH(",",A50) - 3)))</f>
        <v>CHAR</v>
      </c>
      <c r="C50" t="s">
        <v>2903</v>
      </c>
      <c r="D50" t="s">
        <v>3299</v>
      </c>
      <c r="E50" s="3" t="s">
        <v>3292</v>
      </c>
      <c r="F50" t="s">
        <v>3294</v>
      </c>
    </row>
    <row r="51" spans="1:6" x14ac:dyDescent="0.25">
      <c r="A51" t="s">
        <v>2838</v>
      </c>
      <c r="B51" t="str">
        <f>UPPER(TRIM(MID(A51, 2, SEARCH(",",A51) - 3)))</f>
        <v>CHARACTER</v>
      </c>
      <c r="C51" t="s">
        <v>3105</v>
      </c>
      <c r="D51" t="s">
        <v>3299</v>
      </c>
      <c r="E51" s="3" t="s">
        <v>3292</v>
      </c>
      <c r="F51" t="s">
        <v>3294</v>
      </c>
    </row>
    <row r="52" spans="1:6" x14ac:dyDescent="0.25">
      <c r="A52" t="s">
        <v>2466</v>
      </c>
      <c r="B52" t="str">
        <f>UPPER(TRIM(MID(A52, 2, SEARCH(",",A52) - 3)))</f>
        <v>CHARACTERISTICS</v>
      </c>
      <c r="C52" t="s">
        <v>3342</v>
      </c>
      <c r="D52" t="s">
        <v>3295</v>
      </c>
      <c r="E52" s="2" t="s">
        <v>3856</v>
      </c>
      <c r="F52" t="s">
        <v>3293</v>
      </c>
    </row>
    <row r="53" spans="1:6" x14ac:dyDescent="0.25">
      <c r="A53" t="s">
        <v>2467</v>
      </c>
      <c r="B53" t="str">
        <f>UPPER(TRIM(MID(A53, 2, SEARCH(",",A53) - 3)))</f>
        <v>CHECK</v>
      </c>
      <c r="C53" t="s">
        <v>3106</v>
      </c>
      <c r="D53" t="s">
        <v>3296</v>
      </c>
      <c r="E53" s="3" t="s">
        <v>3291</v>
      </c>
      <c r="F53" t="s">
        <v>3293</v>
      </c>
    </row>
    <row r="54" spans="1:6" x14ac:dyDescent="0.25">
      <c r="A54" t="s">
        <v>2468</v>
      </c>
      <c r="B54" t="str">
        <f>UPPER(TRIM(MID(A54, 2, SEARCH(",",A54) - 3)))</f>
        <v>CHECKPOINT</v>
      </c>
      <c r="C54" t="s">
        <v>3343</v>
      </c>
      <c r="D54" t="s">
        <v>3295</v>
      </c>
      <c r="E54" s="2" t="s">
        <v>3856</v>
      </c>
      <c r="F54" t="s">
        <v>3293</v>
      </c>
    </row>
    <row r="55" spans="1:6" x14ac:dyDescent="0.25">
      <c r="A55" t="s">
        <v>2469</v>
      </c>
      <c r="B55" t="str">
        <f>UPPER(TRIM(MID(A55, 2, SEARCH(",",A55) - 3)))</f>
        <v>CLASS</v>
      </c>
      <c r="C55" t="s">
        <v>3344</v>
      </c>
      <c r="D55" t="s">
        <v>3295</v>
      </c>
      <c r="E55" s="2" t="s">
        <v>3856</v>
      </c>
      <c r="F55" t="s">
        <v>3293</v>
      </c>
    </row>
    <row r="56" spans="1:6" x14ac:dyDescent="0.25">
      <c r="A56" t="s">
        <v>2470</v>
      </c>
      <c r="B56" t="str">
        <f>UPPER(TRIM(MID(A56, 2, SEARCH(",",A56) - 3)))</f>
        <v>CLOSE</v>
      </c>
      <c r="C56" t="s">
        <v>3345</v>
      </c>
      <c r="D56" t="s">
        <v>3295</v>
      </c>
      <c r="E56" s="2" t="s">
        <v>3856</v>
      </c>
      <c r="F56" t="s">
        <v>3293</v>
      </c>
    </row>
    <row r="57" spans="1:6" x14ac:dyDescent="0.25">
      <c r="A57" t="s">
        <v>2471</v>
      </c>
      <c r="B57" t="str">
        <f>UPPER(TRIM(MID(A57, 2, SEARCH(",",A57) - 3)))</f>
        <v>CLUSTER</v>
      </c>
      <c r="C57" t="s">
        <v>3346</v>
      </c>
      <c r="D57" t="s">
        <v>3295</v>
      </c>
      <c r="E57" s="2" t="s">
        <v>3856</v>
      </c>
      <c r="F57" t="s">
        <v>3293</v>
      </c>
    </row>
    <row r="58" spans="1:6" x14ac:dyDescent="0.25">
      <c r="A58" t="s">
        <v>2839</v>
      </c>
      <c r="B58" t="str">
        <f>UPPER(TRIM(MID(A58, 2, SEARCH(",",A58) - 3)))</f>
        <v>COALESCE</v>
      </c>
      <c r="C58" t="s">
        <v>2907</v>
      </c>
      <c r="D58" t="s">
        <v>3298</v>
      </c>
      <c r="E58" s="3" t="s">
        <v>3292</v>
      </c>
      <c r="F58" t="s">
        <v>3293</v>
      </c>
    </row>
    <row r="59" spans="1:6" x14ac:dyDescent="0.25">
      <c r="A59" t="s">
        <v>2472</v>
      </c>
      <c r="B59" t="str">
        <f>UPPER(TRIM(MID(A59, 2, SEARCH(",",A59) - 3)))</f>
        <v>COLLATE</v>
      </c>
      <c r="C59" t="s">
        <v>3107</v>
      </c>
      <c r="D59" t="s">
        <v>3296</v>
      </c>
      <c r="E59" s="3" t="s">
        <v>3291</v>
      </c>
      <c r="F59" t="s">
        <v>3293</v>
      </c>
    </row>
    <row r="60" spans="1:6" x14ac:dyDescent="0.25">
      <c r="A60" t="s">
        <v>2812</v>
      </c>
      <c r="B60" t="str">
        <f>UPPER(TRIM(MID(A60, 2, SEARCH(",",A60) - 3)))</f>
        <v>COLLATION</v>
      </c>
      <c r="C60" t="s">
        <v>2909</v>
      </c>
      <c r="D60" t="s">
        <v>3304</v>
      </c>
      <c r="E60" s="3" t="s">
        <v>3303</v>
      </c>
      <c r="F60" t="s">
        <v>3293</v>
      </c>
    </row>
    <row r="61" spans="1:6" x14ac:dyDescent="0.25">
      <c r="A61" t="s">
        <v>2473</v>
      </c>
      <c r="B61" t="str">
        <f>UPPER(TRIM(MID(A61, 2, SEARCH(",",A61) - 3)))</f>
        <v>COLUMN</v>
      </c>
      <c r="C61" t="s">
        <v>3108</v>
      </c>
      <c r="D61" t="s">
        <v>3296</v>
      </c>
      <c r="E61" s="3" t="s">
        <v>3291</v>
      </c>
      <c r="F61" t="s">
        <v>3293</v>
      </c>
    </row>
    <row r="62" spans="1:6" x14ac:dyDescent="0.25">
      <c r="A62" t="s">
        <v>2474</v>
      </c>
      <c r="B62" t="str">
        <f>UPPER(TRIM(MID(A62, 2, SEARCH(",",A62) - 3)))</f>
        <v>COLUMNS</v>
      </c>
      <c r="C62" t="s">
        <v>3109</v>
      </c>
      <c r="D62" t="s">
        <v>3295</v>
      </c>
      <c r="E62" s="2" t="s">
        <v>3856</v>
      </c>
      <c r="F62" t="s">
        <v>3293</v>
      </c>
    </row>
    <row r="63" spans="1:6" x14ac:dyDescent="0.25">
      <c r="A63" t="s">
        <v>2475</v>
      </c>
      <c r="B63" t="str">
        <f>UPPER(TRIM(MID(A63, 2, SEARCH(",",A63) - 3)))</f>
        <v>COMMENT</v>
      </c>
      <c r="C63" t="s">
        <v>3347</v>
      </c>
      <c r="D63" t="s">
        <v>3295</v>
      </c>
      <c r="E63" s="2" t="s">
        <v>3856</v>
      </c>
      <c r="F63" t="s">
        <v>3293</v>
      </c>
    </row>
    <row r="64" spans="1:6" x14ac:dyDescent="0.25">
      <c r="A64" t="s">
        <v>2476</v>
      </c>
      <c r="B64" t="str">
        <f>UPPER(TRIM(MID(A64, 2, SEARCH(",",A64) - 3)))</f>
        <v>COMMENTS</v>
      </c>
      <c r="C64" t="s">
        <v>3348</v>
      </c>
      <c r="D64" t="s">
        <v>3295</v>
      </c>
      <c r="E64" s="2" t="s">
        <v>3856</v>
      </c>
      <c r="F64" t="s">
        <v>3293</v>
      </c>
    </row>
    <row r="65" spans="1:6" x14ac:dyDescent="0.25">
      <c r="A65" t="s">
        <v>2477</v>
      </c>
      <c r="B65" t="str">
        <f>UPPER(TRIM(MID(A65, 2, SEARCH(",",A65) - 3)))</f>
        <v>COMMIT</v>
      </c>
      <c r="C65" t="s">
        <v>3349</v>
      </c>
      <c r="D65" t="s">
        <v>3295</v>
      </c>
      <c r="E65" s="2" t="s">
        <v>3856</v>
      </c>
      <c r="F65" t="s">
        <v>3293</v>
      </c>
    </row>
    <row r="66" spans="1:6" x14ac:dyDescent="0.25">
      <c r="A66" t="s">
        <v>2478</v>
      </c>
      <c r="B66" t="str">
        <f>UPPER(TRIM(MID(A66, 2, SEARCH(",",A66) - 3)))</f>
        <v>COMMITTED</v>
      </c>
      <c r="C66" t="s">
        <v>3350</v>
      </c>
      <c r="D66" t="s">
        <v>3295</v>
      </c>
      <c r="E66" s="2" t="s">
        <v>3856</v>
      </c>
      <c r="F66" t="s">
        <v>3293</v>
      </c>
    </row>
    <row r="67" spans="1:6" x14ac:dyDescent="0.25">
      <c r="A67" t="s">
        <v>2479</v>
      </c>
      <c r="B67" t="str">
        <f>UPPER(TRIM(MID(A67, 2, SEARCH(",",A67) - 3)))</f>
        <v>COMPRESSION</v>
      </c>
      <c r="C67" t="s">
        <v>3351</v>
      </c>
      <c r="D67" t="s">
        <v>3295</v>
      </c>
      <c r="E67" s="2" t="s">
        <v>3856</v>
      </c>
      <c r="F67" t="s">
        <v>3293</v>
      </c>
    </row>
    <row r="68" spans="1:6" x14ac:dyDescent="0.25">
      <c r="A68" t="s">
        <v>2813</v>
      </c>
      <c r="B68" t="str">
        <f>UPPER(TRIM(MID(A68, 2, SEARCH(",",A68) - 3)))</f>
        <v>CONCURRENTLY</v>
      </c>
      <c r="C68" t="s">
        <v>3352</v>
      </c>
      <c r="D68" t="s">
        <v>3304</v>
      </c>
      <c r="E68" s="3" t="s">
        <v>3303</v>
      </c>
      <c r="F68" t="s">
        <v>3293</v>
      </c>
    </row>
    <row r="69" spans="1:6" x14ac:dyDescent="0.25">
      <c r="A69" t="s">
        <v>2480</v>
      </c>
      <c r="B69" t="str">
        <f>UPPER(TRIM(MID(A69, 2, SEARCH(",",A69) - 3)))</f>
        <v>CONFIGURATION</v>
      </c>
      <c r="C69" t="s">
        <v>3353</v>
      </c>
      <c r="D69" t="s">
        <v>3295</v>
      </c>
      <c r="E69" s="2" t="s">
        <v>3856</v>
      </c>
      <c r="F69" t="s">
        <v>3293</v>
      </c>
    </row>
    <row r="70" spans="1:6" x14ac:dyDescent="0.25">
      <c r="A70" t="s">
        <v>2481</v>
      </c>
      <c r="B70" t="str">
        <f>UPPER(TRIM(MID(A70, 2, SEARCH(",",A70) - 3)))</f>
        <v>CONFLICT</v>
      </c>
      <c r="C70" t="s">
        <v>3354</v>
      </c>
      <c r="D70" t="s">
        <v>3295</v>
      </c>
      <c r="E70" s="2" t="s">
        <v>3856</v>
      </c>
      <c r="F70" t="s">
        <v>3293</v>
      </c>
    </row>
    <row r="71" spans="1:6" x14ac:dyDescent="0.25">
      <c r="A71" t="s">
        <v>2482</v>
      </c>
      <c r="B71" t="str">
        <f>UPPER(TRIM(MID(A71, 2, SEARCH(",",A71) - 3)))</f>
        <v>CONNECTION</v>
      </c>
      <c r="C71" t="s">
        <v>3111</v>
      </c>
      <c r="D71" t="s">
        <v>3295</v>
      </c>
      <c r="E71" s="2" t="s">
        <v>3856</v>
      </c>
      <c r="F71" t="s">
        <v>3293</v>
      </c>
    </row>
    <row r="72" spans="1:6" x14ac:dyDescent="0.25">
      <c r="A72" t="s">
        <v>2483</v>
      </c>
      <c r="B72" t="str">
        <f>UPPER(TRIM(MID(A72, 2, SEARCH(",",A72) - 3)))</f>
        <v>CONSTRAINT</v>
      </c>
      <c r="C72" t="s">
        <v>3112</v>
      </c>
      <c r="D72" t="s">
        <v>3296</v>
      </c>
      <c r="E72" s="3" t="s">
        <v>3291</v>
      </c>
      <c r="F72" t="s">
        <v>3293</v>
      </c>
    </row>
    <row r="73" spans="1:6" x14ac:dyDescent="0.25">
      <c r="A73" t="s">
        <v>2484</v>
      </c>
      <c r="B73" t="str">
        <f>UPPER(TRIM(MID(A73, 2, SEARCH(",",A73) - 3)))</f>
        <v>CONSTRAINTS</v>
      </c>
      <c r="C73" t="s">
        <v>3355</v>
      </c>
      <c r="D73" t="s">
        <v>3295</v>
      </c>
      <c r="E73" s="2" t="s">
        <v>3856</v>
      </c>
      <c r="F73" t="s">
        <v>3293</v>
      </c>
    </row>
    <row r="74" spans="1:6" x14ac:dyDescent="0.25">
      <c r="A74" t="s">
        <v>2485</v>
      </c>
      <c r="B74" t="str">
        <f>UPPER(TRIM(MID(A74, 2, SEARCH(",",A74) - 3)))</f>
        <v>CONTENT</v>
      </c>
      <c r="C74" t="s">
        <v>3356</v>
      </c>
      <c r="D74" t="s">
        <v>3295</v>
      </c>
      <c r="E74" s="2" t="s">
        <v>3856</v>
      </c>
      <c r="F74" t="s">
        <v>3293</v>
      </c>
    </row>
    <row r="75" spans="1:6" x14ac:dyDescent="0.25">
      <c r="A75" t="s">
        <v>2486</v>
      </c>
      <c r="B75" t="str">
        <f>UPPER(TRIM(MID(A75, 2, SEARCH(",",A75) - 3)))</f>
        <v>CONTINUE</v>
      </c>
      <c r="C75" t="s">
        <v>3113</v>
      </c>
      <c r="D75" t="s">
        <v>3295</v>
      </c>
      <c r="E75" s="2" t="s">
        <v>3856</v>
      </c>
      <c r="F75" t="s">
        <v>3293</v>
      </c>
    </row>
    <row r="76" spans="1:6" x14ac:dyDescent="0.25">
      <c r="A76" t="s">
        <v>2487</v>
      </c>
      <c r="B76" t="str">
        <f>UPPER(TRIM(MID(A76, 2, SEARCH(",",A76) - 3)))</f>
        <v>CONVERSION</v>
      </c>
      <c r="C76" t="s">
        <v>3357</v>
      </c>
      <c r="D76" t="s">
        <v>3295</v>
      </c>
      <c r="E76" s="2" t="s">
        <v>3856</v>
      </c>
      <c r="F76" t="s">
        <v>3293</v>
      </c>
    </row>
    <row r="77" spans="1:6" x14ac:dyDescent="0.25">
      <c r="A77" t="s">
        <v>2488</v>
      </c>
      <c r="B77" t="str">
        <f>UPPER(TRIM(MID(A77, 2, SEARCH(",",A77) - 3)))</f>
        <v>COPY</v>
      </c>
      <c r="C77" t="s">
        <v>3358</v>
      </c>
      <c r="D77" t="s">
        <v>3295</v>
      </c>
      <c r="E77" s="2" t="s">
        <v>3856</v>
      </c>
      <c r="F77" t="s">
        <v>3293</v>
      </c>
    </row>
    <row r="78" spans="1:6" x14ac:dyDescent="0.25">
      <c r="A78" t="s">
        <v>2489</v>
      </c>
      <c r="B78" t="str">
        <f>UPPER(TRIM(MID(A78, 2, SEARCH(",",A78) - 3)))</f>
        <v>COST</v>
      </c>
      <c r="C78" t="s">
        <v>3359</v>
      </c>
      <c r="D78" t="s">
        <v>3295</v>
      </c>
      <c r="E78" s="2" t="s">
        <v>3856</v>
      </c>
      <c r="F78" t="s">
        <v>3293</v>
      </c>
    </row>
    <row r="79" spans="1:6" x14ac:dyDescent="0.25">
      <c r="A79" t="s">
        <v>2490</v>
      </c>
      <c r="B79" t="str">
        <f>UPPER(TRIM(MID(A79, 2, SEARCH(",",A79) - 3)))</f>
        <v>CREATE</v>
      </c>
      <c r="C79" t="s">
        <v>3114</v>
      </c>
      <c r="D79" t="s">
        <v>3297</v>
      </c>
      <c r="E79" s="3" t="s">
        <v>3291</v>
      </c>
      <c r="F79" t="s">
        <v>3294</v>
      </c>
    </row>
    <row r="80" spans="1:6" x14ac:dyDescent="0.25">
      <c r="A80" t="s">
        <v>2814</v>
      </c>
      <c r="B80" t="str">
        <f>UPPER(TRIM(MID(A80, 2, SEARCH(",",A80) - 3)))</f>
        <v>CROSS</v>
      </c>
      <c r="C80" t="s">
        <v>3115</v>
      </c>
      <c r="D80" t="s">
        <v>3304</v>
      </c>
      <c r="E80" s="3" t="s">
        <v>3303</v>
      </c>
      <c r="F80" t="s">
        <v>3293</v>
      </c>
    </row>
    <row r="81" spans="1:6" x14ac:dyDescent="0.25">
      <c r="A81" t="s">
        <v>2491</v>
      </c>
      <c r="B81" t="str">
        <f>UPPER(TRIM(MID(A81, 2, SEARCH(",",A81) - 3)))</f>
        <v>CSV</v>
      </c>
      <c r="C81" t="s">
        <v>3360</v>
      </c>
      <c r="D81" t="s">
        <v>3295</v>
      </c>
      <c r="E81" s="2" t="s">
        <v>3856</v>
      </c>
      <c r="F81" t="s">
        <v>3293</v>
      </c>
    </row>
    <row r="82" spans="1:6" x14ac:dyDescent="0.25">
      <c r="A82" t="s">
        <v>2492</v>
      </c>
      <c r="B82" t="str">
        <f>UPPER(TRIM(MID(A82, 2, SEARCH(",",A82) - 3)))</f>
        <v>CUBE</v>
      </c>
      <c r="C82" t="s">
        <v>3361</v>
      </c>
      <c r="D82" t="s">
        <v>3295</v>
      </c>
      <c r="E82" s="2" t="s">
        <v>3856</v>
      </c>
      <c r="F82" t="s">
        <v>3293</v>
      </c>
    </row>
    <row r="83" spans="1:6" x14ac:dyDescent="0.25">
      <c r="A83" t="s">
        <v>2494</v>
      </c>
      <c r="B83" t="str">
        <f>UPPER(TRIM(MID(A83, 2, SEARCH(",",A83) - 3)))</f>
        <v>CURRENT_CATALOG</v>
      </c>
      <c r="C83" t="s">
        <v>3362</v>
      </c>
      <c r="D83" t="s">
        <v>3296</v>
      </c>
      <c r="E83" s="3" t="s">
        <v>3291</v>
      </c>
      <c r="F83" t="s">
        <v>3293</v>
      </c>
    </row>
    <row r="84" spans="1:6" x14ac:dyDescent="0.25">
      <c r="A84" t="s">
        <v>2495</v>
      </c>
      <c r="B84" t="str">
        <f>UPPER(TRIM(MID(A84, 2, SEARCH(",",A84) - 3)))</f>
        <v>CURRENT_DATE</v>
      </c>
      <c r="C84" t="s">
        <v>3116</v>
      </c>
      <c r="D84" t="s">
        <v>3296</v>
      </c>
      <c r="E84" s="3" t="s">
        <v>3291</v>
      </c>
      <c r="F84" t="s">
        <v>3293</v>
      </c>
    </row>
    <row r="85" spans="1:6" x14ac:dyDescent="0.25">
      <c r="A85" t="s">
        <v>2493</v>
      </c>
      <c r="B85" t="str">
        <f>UPPER(TRIM(MID(A85, 2, SEARCH(",",A85) - 3)))</f>
        <v>CURRENT</v>
      </c>
      <c r="C85" t="s">
        <v>3363</v>
      </c>
      <c r="D85" t="s">
        <v>3295</v>
      </c>
      <c r="E85" s="2" t="s">
        <v>3856</v>
      </c>
      <c r="F85" t="s">
        <v>3293</v>
      </c>
    </row>
    <row r="86" spans="1:6" x14ac:dyDescent="0.25">
      <c r="A86" t="s">
        <v>2496</v>
      </c>
      <c r="B86" t="str">
        <f>UPPER(TRIM(MID(A86, 2, SEARCH(",",A86) - 3)))</f>
        <v>CURRENT_ROLE</v>
      </c>
      <c r="C86" t="s">
        <v>3364</v>
      </c>
      <c r="D86" t="s">
        <v>3296</v>
      </c>
      <c r="E86" s="3" t="s">
        <v>3291</v>
      </c>
      <c r="F86" t="s">
        <v>3293</v>
      </c>
    </row>
    <row r="87" spans="1:6" x14ac:dyDescent="0.25">
      <c r="A87" t="s">
        <v>2815</v>
      </c>
      <c r="B87" t="str">
        <f>UPPER(TRIM(MID(A87, 2, SEARCH(",",A87) - 3)))</f>
        <v>CURRENT_SCHEMA</v>
      </c>
      <c r="C87" t="s">
        <v>3365</v>
      </c>
      <c r="D87" t="s">
        <v>3304</v>
      </c>
      <c r="E87" s="3" t="s">
        <v>3303</v>
      </c>
      <c r="F87" t="s">
        <v>3293</v>
      </c>
    </row>
    <row r="88" spans="1:6" x14ac:dyDescent="0.25">
      <c r="A88" t="s">
        <v>2497</v>
      </c>
      <c r="B88" t="str">
        <f>UPPER(TRIM(MID(A88, 2, SEARCH(",",A88) - 3)))</f>
        <v>CURRENT_TIME</v>
      </c>
      <c r="C88" t="s">
        <v>3117</v>
      </c>
      <c r="D88" t="s">
        <v>3296</v>
      </c>
      <c r="E88" s="3" t="s">
        <v>3291</v>
      </c>
      <c r="F88" t="s">
        <v>3293</v>
      </c>
    </row>
    <row r="89" spans="1:6" x14ac:dyDescent="0.25">
      <c r="A89" t="s">
        <v>2498</v>
      </c>
      <c r="B89" t="str">
        <f>UPPER(TRIM(MID(A89, 2, SEARCH(",",A89) - 3)))</f>
        <v>CURRENT_TIMESTAMP</v>
      </c>
      <c r="C89" t="s">
        <v>3118</v>
      </c>
      <c r="D89" t="s">
        <v>3296</v>
      </c>
      <c r="E89" s="3" t="s">
        <v>3291</v>
      </c>
      <c r="F89" t="s">
        <v>3293</v>
      </c>
    </row>
    <row r="90" spans="1:6" x14ac:dyDescent="0.25">
      <c r="A90" t="s">
        <v>2499</v>
      </c>
      <c r="B90" t="str">
        <f>UPPER(TRIM(MID(A90, 2, SEARCH(",",A90) - 3)))</f>
        <v>CURRENT_USER</v>
      </c>
      <c r="C90" t="s">
        <v>2922</v>
      </c>
      <c r="D90" t="s">
        <v>3296</v>
      </c>
      <c r="E90" s="3" t="s">
        <v>3291</v>
      </c>
      <c r="F90" t="s">
        <v>3293</v>
      </c>
    </row>
    <row r="91" spans="1:6" x14ac:dyDescent="0.25">
      <c r="A91" t="s">
        <v>2500</v>
      </c>
      <c r="B91" t="str">
        <f>UPPER(TRIM(MID(A91, 2, SEARCH(",",A91) - 3)))</f>
        <v>CURSOR</v>
      </c>
      <c r="C91" t="s">
        <v>3119</v>
      </c>
      <c r="D91" t="s">
        <v>3295</v>
      </c>
      <c r="E91" s="2" t="s">
        <v>3856</v>
      </c>
      <c r="F91" t="s">
        <v>3293</v>
      </c>
    </row>
    <row r="92" spans="1:6" x14ac:dyDescent="0.25">
      <c r="A92" t="s">
        <v>2501</v>
      </c>
      <c r="B92" t="str">
        <f>UPPER(TRIM(MID(A92, 2, SEARCH(",",A92) - 3)))</f>
        <v>CYCLE</v>
      </c>
      <c r="C92" t="s">
        <v>3366</v>
      </c>
      <c r="D92" t="s">
        <v>3295</v>
      </c>
      <c r="E92" s="2" t="s">
        <v>3856</v>
      </c>
      <c r="F92" t="s">
        <v>3293</v>
      </c>
    </row>
    <row r="93" spans="1:6" x14ac:dyDescent="0.25">
      <c r="A93" t="s">
        <v>2502</v>
      </c>
      <c r="B93" t="str">
        <f>UPPER(TRIM(MID(A93, 2, SEARCH(",",A93) - 3)))</f>
        <v>DATA</v>
      </c>
      <c r="C93" t="s">
        <v>3367</v>
      </c>
      <c r="D93" t="s">
        <v>3295</v>
      </c>
      <c r="E93" s="2" t="s">
        <v>3856</v>
      </c>
      <c r="F93" t="s">
        <v>3293</v>
      </c>
    </row>
    <row r="94" spans="1:6" x14ac:dyDescent="0.25">
      <c r="A94" t="s">
        <v>2503</v>
      </c>
      <c r="B94" t="str">
        <f>UPPER(TRIM(MID(A94, 2, SEARCH(",",A94) - 3)))</f>
        <v>DATABASE</v>
      </c>
      <c r="C94" t="s">
        <v>2925</v>
      </c>
      <c r="D94" t="s">
        <v>3295</v>
      </c>
      <c r="E94" s="2" t="s">
        <v>3856</v>
      </c>
      <c r="F94" t="s">
        <v>3293</v>
      </c>
    </row>
    <row r="95" spans="1:6" x14ac:dyDescent="0.25">
      <c r="A95" t="s">
        <v>2504</v>
      </c>
      <c r="B95" t="str">
        <f>UPPER(TRIM(MID(A95, 2, SEARCH(",",A95) - 3)))</f>
        <v>DAY</v>
      </c>
      <c r="C95" t="s">
        <v>2932</v>
      </c>
      <c r="D95" t="s">
        <v>3300</v>
      </c>
      <c r="E95" s="2" t="s">
        <v>3856</v>
      </c>
      <c r="F95" t="s">
        <v>3294</v>
      </c>
    </row>
    <row r="96" spans="1:6" x14ac:dyDescent="0.25">
      <c r="A96" t="s">
        <v>2505</v>
      </c>
      <c r="B96" t="str">
        <f>UPPER(TRIM(MID(A96, 2, SEARCH(",",A96) - 3)))</f>
        <v>DEALLOCATE</v>
      </c>
      <c r="C96" t="s">
        <v>3368</v>
      </c>
      <c r="D96" t="s">
        <v>3295</v>
      </c>
      <c r="E96" s="2" t="s">
        <v>3856</v>
      </c>
      <c r="F96" t="s">
        <v>3293</v>
      </c>
    </row>
    <row r="97" spans="1:6" x14ac:dyDescent="0.25">
      <c r="A97" t="s">
        <v>2840</v>
      </c>
      <c r="B97" t="str">
        <f>UPPER(TRIM(MID(A97, 2, SEARCH(",",A97) - 3)))</f>
        <v>DEC</v>
      </c>
      <c r="C97" t="s">
        <v>3126</v>
      </c>
      <c r="D97" t="s">
        <v>3298</v>
      </c>
      <c r="E97" s="3" t="s">
        <v>3292</v>
      </c>
      <c r="F97" t="s">
        <v>3293</v>
      </c>
    </row>
    <row r="98" spans="1:6" x14ac:dyDescent="0.25">
      <c r="A98" t="s">
        <v>2841</v>
      </c>
      <c r="B98" t="str">
        <f>UPPER(TRIM(MID(A98, 2, SEARCH(",",A98) - 3)))</f>
        <v>DECIMAL</v>
      </c>
      <c r="C98" t="s">
        <v>3127</v>
      </c>
      <c r="D98" t="s">
        <v>3298</v>
      </c>
      <c r="E98" s="3" t="s">
        <v>3292</v>
      </c>
      <c r="F98" t="s">
        <v>3293</v>
      </c>
    </row>
    <row r="99" spans="1:6" x14ac:dyDescent="0.25">
      <c r="A99" t="s">
        <v>2506</v>
      </c>
      <c r="B99" t="str">
        <f>UPPER(TRIM(MID(A99, 2, SEARCH(",",A99) - 3)))</f>
        <v>DECLARE</v>
      </c>
      <c r="C99" t="s">
        <v>3128</v>
      </c>
      <c r="D99" t="s">
        <v>3295</v>
      </c>
      <c r="E99" s="2" t="s">
        <v>3856</v>
      </c>
      <c r="F99" t="s">
        <v>3293</v>
      </c>
    </row>
    <row r="100" spans="1:6" x14ac:dyDescent="0.25">
      <c r="A100" t="s">
        <v>2507</v>
      </c>
      <c r="B100" t="str">
        <f>UPPER(TRIM(MID(A100, 2, SEARCH(",",A100) - 3)))</f>
        <v>DEFAULT</v>
      </c>
      <c r="C100" t="s">
        <v>2938</v>
      </c>
      <c r="D100" t="s">
        <v>3296</v>
      </c>
      <c r="E100" s="3" t="s">
        <v>3291</v>
      </c>
      <c r="F100" t="s">
        <v>3293</v>
      </c>
    </row>
    <row r="101" spans="1:6" x14ac:dyDescent="0.25">
      <c r="A101" t="s">
        <v>2508</v>
      </c>
      <c r="B101" t="str">
        <f>UPPER(TRIM(MID(A101, 2, SEARCH(",",A101) - 3)))</f>
        <v>DEFAULTS</v>
      </c>
      <c r="C101" t="s">
        <v>3369</v>
      </c>
      <c r="D101" t="s">
        <v>3295</v>
      </c>
      <c r="E101" s="2" t="s">
        <v>3856</v>
      </c>
      <c r="F101" t="s">
        <v>3293</v>
      </c>
    </row>
    <row r="102" spans="1:6" x14ac:dyDescent="0.25">
      <c r="A102" t="s">
        <v>2509</v>
      </c>
      <c r="B102" t="str">
        <f>UPPER(TRIM(MID(A102, 2, SEARCH(",",A102) - 3)))</f>
        <v>DEFERRABLE</v>
      </c>
      <c r="C102" t="s">
        <v>3370</v>
      </c>
      <c r="D102" t="s">
        <v>3296</v>
      </c>
      <c r="E102" s="3" t="s">
        <v>3291</v>
      </c>
      <c r="F102" t="s">
        <v>3293</v>
      </c>
    </row>
    <row r="103" spans="1:6" x14ac:dyDescent="0.25">
      <c r="A103" t="s">
        <v>2510</v>
      </c>
      <c r="B103" t="str">
        <f>UPPER(TRIM(MID(A103, 2, SEARCH(",",A103) - 3)))</f>
        <v>DEFERRED</v>
      </c>
      <c r="C103" t="s">
        <v>3371</v>
      </c>
      <c r="D103" t="s">
        <v>3295</v>
      </c>
      <c r="E103" s="2" t="s">
        <v>3856</v>
      </c>
      <c r="F103" t="s">
        <v>3293</v>
      </c>
    </row>
    <row r="104" spans="1:6" x14ac:dyDescent="0.25">
      <c r="A104" t="s">
        <v>2511</v>
      </c>
      <c r="B104" t="str">
        <f>UPPER(TRIM(MID(A104, 2, SEARCH(",",A104) - 3)))</f>
        <v>DEFINER</v>
      </c>
      <c r="C104" t="s">
        <v>3372</v>
      </c>
      <c r="D104" t="s">
        <v>3295</v>
      </c>
      <c r="E104" s="2" t="s">
        <v>3856</v>
      </c>
      <c r="F104" t="s">
        <v>3293</v>
      </c>
    </row>
    <row r="105" spans="1:6" x14ac:dyDescent="0.25">
      <c r="A105" t="s">
        <v>2512</v>
      </c>
      <c r="B105" t="str">
        <f>UPPER(TRIM(MID(A105, 2, SEARCH(",",A105) - 3)))</f>
        <v>DELETE</v>
      </c>
      <c r="C105" t="s">
        <v>3130</v>
      </c>
      <c r="D105" t="s">
        <v>3295</v>
      </c>
      <c r="E105" s="2" t="s">
        <v>3856</v>
      </c>
      <c r="F105" t="s">
        <v>3293</v>
      </c>
    </row>
    <row r="106" spans="1:6" x14ac:dyDescent="0.25">
      <c r="A106" t="s">
        <v>2513</v>
      </c>
      <c r="B106" t="str">
        <f>UPPER(TRIM(MID(A106, 2, SEARCH(",",A106) - 3)))</f>
        <v>DELIMITER</v>
      </c>
      <c r="C106" t="s">
        <v>3373</v>
      </c>
      <c r="D106" t="s">
        <v>3295</v>
      </c>
      <c r="E106" s="2" t="s">
        <v>3856</v>
      </c>
      <c r="F106" t="s">
        <v>3293</v>
      </c>
    </row>
    <row r="107" spans="1:6" x14ac:dyDescent="0.25">
      <c r="A107" t="s">
        <v>2514</v>
      </c>
      <c r="B107" t="str">
        <f>UPPER(TRIM(MID(A107, 2, SEARCH(",",A107) - 3)))</f>
        <v>DELIMITERS</v>
      </c>
      <c r="C107" t="s">
        <v>3374</v>
      </c>
      <c r="D107" t="s">
        <v>3295</v>
      </c>
      <c r="E107" s="2" t="s">
        <v>3856</v>
      </c>
      <c r="F107" t="s">
        <v>3293</v>
      </c>
    </row>
    <row r="108" spans="1:6" x14ac:dyDescent="0.25">
      <c r="A108" t="s">
        <v>2515</v>
      </c>
      <c r="B108" t="str">
        <f>UPPER(TRIM(MID(A108, 2, SEARCH(",",A108) - 3)))</f>
        <v>DEPENDS</v>
      </c>
      <c r="C108" t="s">
        <v>3375</v>
      </c>
      <c r="D108" t="s">
        <v>3295</v>
      </c>
      <c r="E108" s="2" t="s">
        <v>3856</v>
      </c>
      <c r="F108" t="s">
        <v>3293</v>
      </c>
    </row>
    <row r="109" spans="1:6" x14ac:dyDescent="0.25">
      <c r="A109" t="s">
        <v>2516</v>
      </c>
      <c r="B109" t="str">
        <f>UPPER(TRIM(MID(A109, 2, SEARCH(",",A109) - 3)))</f>
        <v>DEPTH</v>
      </c>
      <c r="C109" t="s">
        <v>3376</v>
      </c>
      <c r="D109" t="s">
        <v>3295</v>
      </c>
      <c r="E109" s="2" t="s">
        <v>3856</v>
      </c>
      <c r="F109" t="s">
        <v>3293</v>
      </c>
    </row>
    <row r="110" spans="1:6" x14ac:dyDescent="0.25">
      <c r="A110" t="s">
        <v>2517</v>
      </c>
      <c r="B110" t="str">
        <f>UPPER(TRIM(MID(A110, 2, SEARCH(",",A110) - 3)))</f>
        <v>DESC</v>
      </c>
      <c r="C110" t="s">
        <v>3131</v>
      </c>
      <c r="D110" t="s">
        <v>3296</v>
      </c>
      <c r="E110" s="3" t="s">
        <v>3291</v>
      </c>
      <c r="F110" t="s">
        <v>3293</v>
      </c>
    </row>
    <row r="111" spans="1:6" x14ac:dyDescent="0.25">
      <c r="A111" t="s">
        <v>2518</v>
      </c>
      <c r="B111" t="str">
        <f>UPPER(TRIM(MID(A111, 2, SEARCH(",",A111) - 3)))</f>
        <v>DETACH</v>
      </c>
      <c r="C111" t="s">
        <v>3377</v>
      </c>
      <c r="D111" t="s">
        <v>3295</v>
      </c>
      <c r="E111" s="2" t="s">
        <v>3856</v>
      </c>
      <c r="F111" t="s">
        <v>3293</v>
      </c>
    </row>
    <row r="112" spans="1:6" x14ac:dyDescent="0.25">
      <c r="A112" t="s">
        <v>2519</v>
      </c>
      <c r="B112" t="str">
        <f>UPPER(TRIM(MID(A112, 2, SEARCH(",",A112) - 3)))</f>
        <v>DICTIONARY</v>
      </c>
      <c r="C112" t="s">
        <v>3378</v>
      </c>
      <c r="D112" t="s">
        <v>3295</v>
      </c>
      <c r="E112" s="2" t="s">
        <v>3856</v>
      </c>
      <c r="F112" t="s">
        <v>3293</v>
      </c>
    </row>
    <row r="113" spans="1:6" x14ac:dyDescent="0.25">
      <c r="A113" t="s">
        <v>2520</v>
      </c>
      <c r="B113" t="str">
        <f>UPPER(TRIM(MID(A113, 2, SEARCH(",",A113) - 3)))</f>
        <v>DISABLE</v>
      </c>
      <c r="C113" t="s">
        <v>3379</v>
      </c>
      <c r="D113" t="s">
        <v>3295</v>
      </c>
      <c r="E113" s="2" t="s">
        <v>3856</v>
      </c>
      <c r="F113" t="s">
        <v>3293</v>
      </c>
    </row>
    <row r="114" spans="1:6" x14ac:dyDescent="0.25">
      <c r="A114" t="s">
        <v>2521</v>
      </c>
      <c r="B114" t="str">
        <f>UPPER(TRIM(MID(A114, 2, SEARCH(",",A114) - 3)))</f>
        <v>DISCARD</v>
      </c>
      <c r="C114" t="s">
        <v>3380</v>
      </c>
      <c r="D114" t="s">
        <v>3295</v>
      </c>
      <c r="E114" s="2" t="s">
        <v>3856</v>
      </c>
      <c r="F114" t="s">
        <v>3293</v>
      </c>
    </row>
    <row r="115" spans="1:6" x14ac:dyDescent="0.25">
      <c r="A115" t="s">
        <v>2522</v>
      </c>
      <c r="B115" t="str">
        <f>UPPER(TRIM(MID(A115, 2, SEARCH(",",A115) - 3)))</f>
        <v>DISTINCT</v>
      </c>
      <c r="C115" t="s">
        <v>3134</v>
      </c>
      <c r="D115" t="s">
        <v>3296</v>
      </c>
      <c r="E115" s="3" t="s">
        <v>3291</v>
      </c>
      <c r="F115" t="s">
        <v>3293</v>
      </c>
    </row>
    <row r="116" spans="1:6" x14ac:dyDescent="0.25">
      <c r="A116" t="s">
        <v>2523</v>
      </c>
      <c r="B116" t="str">
        <f>UPPER(TRIM(MID(A116, 2, SEARCH(",",A116) - 3)))</f>
        <v>DO</v>
      </c>
      <c r="C116" t="s">
        <v>3381</v>
      </c>
      <c r="D116" t="s">
        <v>3296</v>
      </c>
      <c r="E116" s="3" t="s">
        <v>3291</v>
      </c>
      <c r="F116" t="s">
        <v>3293</v>
      </c>
    </row>
    <row r="117" spans="1:6" x14ac:dyDescent="0.25">
      <c r="A117" t="s">
        <v>2524</v>
      </c>
      <c r="B117" t="str">
        <f>UPPER(TRIM(MID(A117, 2, SEARCH(",",A117) - 3)))</f>
        <v>DOCUMENT</v>
      </c>
      <c r="C117" t="s">
        <v>3382</v>
      </c>
      <c r="D117" t="s">
        <v>3295</v>
      </c>
      <c r="E117" s="2" t="s">
        <v>3856</v>
      </c>
      <c r="F117" t="s">
        <v>3293</v>
      </c>
    </row>
    <row r="118" spans="1:6" x14ac:dyDescent="0.25">
      <c r="A118" t="s">
        <v>2525</v>
      </c>
      <c r="B118" t="str">
        <f>UPPER(TRIM(MID(A118, 2, SEARCH(",",A118) - 3)))</f>
        <v>DOMAIN</v>
      </c>
      <c r="C118" t="s">
        <v>3383</v>
      </c>
      <c r="D118" t="s">
        <v>3295</v>
      </c>
      <c r="E118" s="2" t="s">
        <v>3856</v>
      </c>
      <c r="F118" t="s">
        <v>3293</v>
      </c>
    </row>
    <row r="119" spans="1:6" x14ac:dyDescent="0.25">
      <c r="A119" t="s">
        <v>2526</v>
      </c>
      <c r="B119" t="str">
        <f>UPPER(TRIM(MID(A119, 2, SEARCH(",",A119) - 3)))</f>
        <v>DOUBLE</v>
      </c>
      <c r="C119" t="s">
        <v>3137</v>
      </c>
      <c r="D119" t="s">
        <v>3295</v>
      </c>
      <c r="E119" s="2" t="s">
        <v>3856</v>
      </c>
      <c r="F119" t="s">
        <v>3293</v>
      </c>
    </row>
    <row r="120" spans="1:6" x14ac:dyDescent="0.25">
      <c r="A120" t="s">
        <v>2527</v>
      </c>
      <c r="B120" t="str">
        <f>UPPER(TRIM(MID(A120, 2, SEARCH(",",A120) - 3)))</f>
        <v>DROP</v>
      </c>
      <c r="C120" t="s">
        <v>3138</v>
      </c>
      <c r="D120" t="s">
        <v>3295</v>
      </c>
      <c r="E120" s="2" t="s">
        <v>3856</v>
      </c>
      <c r="F120" t="s">
        <v>3293</v>
      </c>
    </row>
    <row r="121" spans="1:6" x14ac:dyDescent="0.25">
      <c r="A121" t="s">
        <v>2528</v>
      </c>
      <c r="B121" t="str">
        <f>UPPER(TRIM(MID(A121, 2, SEARCH(",",A121) - 3)))</f>
        <v>EACH</v>
      </c>
      <c r="C121" t="s">
        <v>3384</v>
      </c>
      <c r="D121" t="s">
        <v>3295</v>
      </c>
      <c r="E121" s="2" t="s">
        <v>3856</v>
      </c>
      <c r="F121" t="s">
        <v>3293</v>
      </c>
    </row>
    <row r="122" spans="1:6" x14ac:dyDescent="0.25">
      <c r="A122" t="s">
        <v>2529</v>
      </c>
      <c r="B122" t="str">
        <f>UPPER(TRIM(MID(A122, 2, SEARCH(",",A122) - 3)))</f>
        <v>ELSE</v>
      </c>
      <c r="C122" t="s">
        <v>3139</v>
      </c>
      <c r="D122" t="s">
        <v>3296</v>
      </c>
      <c r="E122" s="3" t="s">
        <v>3291</v>
      </c>
      <c r="F122" t="s">
        <v>3293</v>
      </c>
    </row>
    <row r="123" spans="1:6" x14ac:dyDescent="0.25">
      <c r="A123" t="s">
        <v>2530</v>
      </c>
      <c r="B123" t="str">
        <f>UPPER(TRIM(MID(A123, 2, SEARCH(",",A123) - 3)))</f>
        <v>ENABLE</v>
      </c>
      <c r="C123" t="s">
        <v>3385</v>
      </c>
      <c r="D123" t="s">
        <v>3295</v>
      </c>
      <c r="E123" s="2" t="s">
        <v>3856</v>
      </c>
      <c r="F123" t="s">
        <v>3293</v>
      </c>
    </row>
    <row r="124" spans="1:6" x14ac:dyDescent="0.25">
      <c r="A124" t="s">
        <v>2531</v>
      </c>
      <c r="B124" t="str">
        <f>UPPER(TRIM(MID(A124, 2, SEARCH(",",A124) - 3)))</f>
        <v>ENCODING</v>
      </c>
      <c r="C124" t="s">
        <v>3386</v>
      </c>
      <c r="D124" t="s">
        <v>3295</v>
      </c>
      <c r="E124" s="2" t="s">
        <v>3856</v>
      </c>
      <c r="F124" t="s">
        <v>3293</v>
      </c>
    </row>
    <row r="125" spans="1:6" x14ac:dyDescent="0.25">
      <c r="A125" t="s">
        <v>2532</v>
      </c>
      <c r="B125" t="str">
        <f>UPPER(TRIM(MID(A125, 2, SEARCH(",",A125) - 3)))</f>
        <v>ENCRYPTED</v>
      </c>
      <c r="C125" t="s">
        <v>3387</v>
      </c>
      <c r="D125" t="s">
        <v>3295</v>
      </c>
      <c r="E125" s="2" t="s">
        <v>3856</v>
      </c>
      <c r="F125" t="s">
        <v>3293</v>
      </c>
    </row>
    <row r="126" spans="1:6" x14ac:dyDescent="0.25">
      <c r="A126" t="s">
        <v>2533</v>
      </c>
      <c r="B126" t="str">
        <f>UPPER(TRIM(MID(A126, 2, SEARCH(",",A126) - 3)))</f>
        <v>END</v>
      </c>
      <c r="C126" t="s">
        <v>3141</v>
      </c>
      <c r="D126" t="s">
        <v>3296</v>
      </c>
      <c r="E126" s="3" t="s">
        <v>3291</v>
      </c>
      <c r="F126" t="s">
        <v>3293</v>
      </c>
    </row>
    <row r="127" spans="1:6" x14ac:dyDescent="0.25">
      <c r="A127" t="s">
        <v>2534</v>
      </c>
      <c r="B127" t="str">
        <f>UPPER(TRIM(MID(A127, 2, SEARCH(",",A127) - 3)))</f>
        <v>ENUM</v>
      </c>
      <c r="C127" t="s">
        <v>3388</v>
      </c>
      <c r="D127" t="s">
        <v>3295</v>
      </c>
      <c r="E127" s="2" t="s">
        <v>3856</v>
      </c>
      <c r="F127" t="s">
        <v>3293</v>
      </c>
    </row>
    <row r="128" spans="1:6" x14ac:dyDescent="0.25">
      <c r="A128" t="s">
        <v>2535</v>
      </c>
      <c r="B128" t="str">
        <f>UPPER(TRIM(MID(A128, 2, SEARCH(",",A128) - 3)))</f>
        <v>ESCAPE</v>
      </c>
      <c r="C128" t="s">
        <v>3389</v>
      </c>
      <c r="D128" t="s">
        <v>3295</v>
      </c>
      <c r="E128" s="2" t="s">
        <v>3856</v>
      </c>
      <c r="F128" t="s">
        <v>3293</v>
      </c>
    </row>
    <row r="129" spans="1:6" x14ac:dyDescent="0.25">
      <c r="A129" t="s">
        <v>2536</v>
      </c>
      <c r="B129" t="str">
        <f>UPPER(TRIM(MID(A129, 2, SEARCH(",",A129) - 3)))</f>
        <v>EVENT</v>
      </c>
      <c r="C129" t="s">
        <v>3390</v>
      </c>
      <c r="D129" t="s">
        <v>3295</v>
      </c>
      <c r="E129" s="2" t="s">
        <v>3856</v>
      </c>
      <c r="F129" t="s">
        <v>3293</v>
      </c>
    </row>
    <row r="130" spans="1:6" x14ac:dyDescent="0.25">
      <c r="A130" t="s">
        <v>2537</v>
      </c>
      <c r="B130" t="str">
        <f>UPPER(TRIM(MID(A130, 2, SEARCH(",",A130) - 3)))</f>
        <v>EXCEPT</v>
      </c>
      <c r="C130" t="s">
        <v>3391</v>
      </c>
      <c r="D130" t="s">
        <v>3297</v>
      </c>
      <c r="E130" s="3" t="s">
        <v>3291</v>
      </c>
      <c r="F130" t="s">
        <v>3294</v>
      </c>
    </row>
    <row r="131" spans="1:6" x14ac:dyDescent="0.25">
      <c r="A131" t="s">
        <v>2538</v>
      </c>
      <c r="B131" t="str">
        <f>UPPER(TRIM(MID(A131, 2, SEARCH(",",A131) - 3)))</f>
        <v>EXCLUDE</v>
      </c>
      <c r="C131" t="s">
        <v>3392</v>
      </c>
      <c r="D131" t="s">
        <v>3295</v>
      </c>
      <c r="E131" s="2" t="s">
        <v>3856</v>
      </c>
      <c r="F131" t="s">
        <v>3293</v>
      </c>
    </row>
    <row r="132" spans="1:6" x14ac:dyDescent="0.25">
      <c r="A132" t="s">
        <v>2539</v>
      </c>
      <c r="B132" t="str">
        <f>UPPER(TRIM(MID(A132, 2, SEARCH(",",A132) - 3)))</f>
        <v>EXCLUDING</v>
      </c>
      <c r="C132" t="s">
        <v>3393</v>
      </c>
      <c r="D132" t="s">
        <v>3295</v>
      </c>
      <c r="E132" s="2" t="s">
        <v>3856</v>
      </c>
      <c r="F132" t="s">
        <v>3293</v>
      </c>
    </row>
    <row r="133" spans="1:6" x14ac:dyDescent="0.25">
      <c r="A133" t="s">
        <v>2540</v>
      </c>
      <c r="B133" t="str">
        <f>UPPER(TRIM(MID(A133, 2, SEARCH(",",A133) - 3)))</f>
        <v>EXCLUSIVE</v>
      </c>
      <c r="C133" t="s">
        <v>3394</v>
      </c>
      <c r="D133" t="s">
        <v>3295</v>
      </c>
      <c r="E133" s="2" t="s">
        <v>3856</v>
      </c>
      <c r="F133" t="s">
        <v>3293</v>
      </c>
    </row>
    <row r="134" spans="1:6" x14ac:dyDescent="0.25">
      <c r="A134" t="s">
        <v>2541</v>
      </c>
      <c r="B134" t="str">
        <f>UPPER(TRIM(MID(A134, 2, SEARCH(",",A134) - 3)))</f>
        <v>EXECUTE</v>
      </c>
      <c r="C134" t="s">
        <v>3395</v>
      </c>
      <c r="D134" t="s">
        <v>3295</v>
      </c>
      <c r="E134" s="2" t="s">
        <v>3856</v>
      </c>
      <c r="F134" t="s">
        <v>3293</v>
      </c>
    </row>
    <row r="135" spans="1:6" x14ac:dyDescent="0.25">
      <c r="A135" t="s">
        <v>2842</v>
      </c>
      <c r="B135" t="str">
        <f>UPPER(TRIM(MID(A135, 2, SEARCH(",",A135) - 3)))</f>
        <v>EXISTS</v>
      </c>
      <c r="C135" t="s">
        <v>2945</v>
      </c>
      <c r="D135" t="s">
        <v>3298</v>
      </c>
      <c r="E135" s="3" t="s">
        <v>3292</v>
      </c>
      <c r="F135" t="s">
        <v>3293</v>
      </c>
    </row>
    <row r="136" spans="1:6" x14ac:dyDescent="0.25">
      <c r="A136" t="s">
        <v>2542</v>
      </c>
      <c r="B136" t="str">
        <f>UPPER(TRIM(MID(A136, 2, SEARCH(",",A136) - 3)))</f>
        <v>EXPLAIN</v>
      </c>
      <c r="C136" t="s">
        <v>3145</v>
      </c>
      <c r="D136" t="s">
        <v>3295</v>
      </c>
      <c r="E136" s="2" t="s">
        <v>3856</v>
      </c>
      <c r="F136" t="s">
        <v>3293</v>
      </c>
    </row>
    <row r="137" spans="1:6" x14ac:dyDescent="0.25">
      <c r="A137" t="s">
        <v>2543</v>
      </c>
      <c r="B137" t="str">
        <f>UPPER(TRIM(MID(A137, 2, SEARCH(",",A137) - 3)))</f>
        <v>EXPRESSION</v>
      </c>
      <c r="C137" t="s">
        <v>3396</v>
      </c>
      <c r="D137" t="s">
        <v>3295</v>
      </c>
      <c r="E137" s="2" t="s">
        <v>3856</v>
      </c>
      <c r="F137" t="s">
        <v>3293</v>
      </c>
    </row>
    <row r="138" spans="1:6" x14ac:dyDescent="0.25">
      <c r="A138" t="s">
        <v>2544</v>
      </c>
      <c r="B138" t="str">
        <f>UPPER(TRIM(MID(A138, 2, SEARCH(",",A138) - 3)))</f>
        <v>EXTENSION</v>
      </c>
      <c r="C138" t="s">
        <v>3397</v>
      </c>
      <c r="D138" t="s">
        <v>3295</v>
      </c>
      <c r="E138" s="2" t="s">
        <v>3856</v>
      </c>
      <c r="F138" t="s">
        <v>3293</v>
      </c>
    </row>
    <row r="139" spans="1:6" x14ac:dyDescent="0.25">
      <c r="A139" t="s">
        <v>2545</v>
      </c>
      <c r="B139" t="str">
        <f>UPPER(TRIM(MID(A139, 2, SEARCH(",",A139) - 3)))</f>
        <v>EXTERNAL</v>
      </c>
      <c r="C139" t="s">
        <v>3398</v>
      </c>
      <c r="D139" t="s">
        <v>3295</v>
      </c>
      <c r="E139" s="2" t="s">
        <v>3856</v>
      </c>
      <c r="F139" t="s">
        <v>3293</v>
      </c>
    </row>
    <row r="140" spans="1:6" x14ac:dyDescent="0.25">
      <c r="A140" t="s">
        <v>2843</v>
      </c>
      <c r="B140" t="str">
        <f>UPPER(TRIM(MID(A140, 2, SEARCH(",",A140) - 3)))</f>
        <v>EXTRACT</v>
      </c>
      <c r="C140" t="s">
        <v>2948</v>
      </c>
      <c r="D140" t="s">
        <v>3298</v>
      </c>
      <c r="E140" s="3" t="s">
        <v>3292</v>
      </c>
      <c r="F140" t="s">
        <v>3293</v>
      </c>
    </row>
    <row r="141" spans="1:6" x14ac:dyDescent="0.25">
      <c r="A141" t="s">
        <v>2546</v>
      </c>
      <c r="B141" t="str">
        <f>UPPER(TRIM(MID(A141, 2, SEARCH(",",A141) - 3)))</f>
        <v>FALSE</v>
      </c>
      <c r="C141" t="s">
        <v>3399</v>
      </c>
      <c r="D141" t="s">
        <v>3296</v>
      </c>
      <c r="E141" s="3" t="s">
        <v>3291</v>
      </c>
      <c r="F141" t="s">
        <v>3293</v>
      </c>
    </row>
    <row r="142" spans="1:6" x14ac:dyDescent="0.25">
      <c r="A142" t="s">
        <v>2547</v>
      </c>
      <c r="B142" t="str">
        <f>UPPER(TRIM(MID(A142, 2, SEARCH(",",A142) - 3)))</f>
        <v>FAMILY</v>
      </c>
      <c r="C142" t="s">
        <v>3400</v>
      </c>
      <c r="D142" t="s">
        <v>3295</v>
      </c>
      <c r="E142" s="2" t="s">
        <v>3856</v>
      </c>
      <c r="F142" t="s">
        <v>3293</v>
      </c>
    </row>
    <row r="143" spans="1:6" x14ac:dyDescent="0.25">
      <c r="A143" t="s">
        <v>2548</v>
      </c>
      <c r="B143" t="str">
        <f>UPPER(TRIM(MID(A143, 2, SEARCH(",",A143) - 3)))</f>
        <v>FETCH</v>
      </c>
      <c r="C143" t="s">
        <v>3146</v>
      </c>
      <c r="D143" t="s">
        <v>3297</v>
      </c>
      <c r="E143" s="3" t="s">
        <v>3291</v>
      </c>
      <c r="F143" t="s">
        <v>3294</v>
      </c>
    </row>
    <row r="144" spans="1:6" x14ac:dyDescent="0.25">
      <c r="A144" t="s">
        <v>2549</v>
      </c>
      <c r="B144" t="str">
        <f>UPPER(TRIM(MID(A144, 2, SEARCH(",",A144) - 3)))</f>
        <v>FILTER</v>
      </c>
      <c r="C144" t="s">
        <v>3401</v>
      </c>
      <c r="D144" t="s">
        <v>3300</v>
      </c>
      <c r="E144" s="2" t="s">
        <v>3856</v>
      </c>
      <c r="F144" t="s">
        <v>3294</v>
      </c>
    </row>
    <row r="145" spans="1:6" x14ac:dyDescent="0.25">
      <c r="A145" t="s">
        <v>2550</v>
      </c>
      <c r="B145" t="str">
        <f>UPPER(TRIM(MID(A145, 2, SEARCH(",",A145) - 3)))</f>
        <v>FINALIZE</v>
      </c>
      <c r="C145" t="s">
        <v>3402</v>
      </c>
      <c r="D145" t="s">
        <v>3295</v>
      </c>
      <c r="E145" s="2" t="s">
        <v>3856</v>
      </c>
      <c r="F145" t="s">
        <v>3293</v>
      </c>
    </row>
    <row r="146" spans="1:6" x14ac:dyDescent="0.25">
      <c r="A146" t="s">
        <v>2551</v>
      </c>
      <c r="B146" t="str">
        <f>UPPER(TRIM(MID(A146, 2, SEARCH(",",A146) - 3)))</f>
        <v>FIRST</v>
      </c>
      <c r="C146" t="s">
        <v>3403</v>
      </c>
      <c r="D146" t="s">
        <v>3295</v>
      </c>
      <c r="E146" s="2" t="s">
        <v>3856</v>
      </c>
      <c r="F146" t="s">
        <v>3293</v>
      </c>
    </row>
    <row r="147" spans="1:6" x14ac:dyDescent="0.25">
      <c r="A147" t="s">
        <v>2844</v>
      </c>
      <c r="B147" t="str">
        <f>UPPER(TRIM(MID(A147, 2, SEARCH(",",A147) - 3)))</f>
        <v>FLOAT</v>
      </c>
      <c r="C147" t="s">
        <v>3148</v>
      </c>
      <c r="D147" t="s">
        <v>3298</v>
      </c>
      <c r="E147" s="3" t="s">
        <v>3292</v>
      </c>
      <c r="F147" t="s">
        <v>3293</v>
      </c>
    </row>
    <row r="148" spans="1:6" x14ac:dyDescent="0.25">
      <c r="A148" t="s">
        <v>2552</v>
      </c>
      <c r="B148" t="str">
        <f>UPPER(TRIM(MID(A148, 2, SEARCH(",",A148) - 3)))</f>
        <v>FOLLOWING</v>
      </c>
      <c r="C148" t="s">
        <v>3404</v>
      </c>
      <c r="D148" t="s">
        <v>3295</v>
      </c>
      <c r="E148" s="2" t="s">
        <v>3856</v>
      </c>
      <c r="F148" t="s">
        <v>3293</v>
      </c>
    </row>
    <row r="149" spans="1:6" x14ac:dyDescent="0.25">
      <c r="A149" t="s">
        <v>2553</v>
      </c>
      <c r="B149" t="str">
        <f>UPPER(TRIM(MID(A149, 2, SEARCH(",",A149) - 3)))</f>
        <v>FOR</v>
      </c>
      <c r="C149" t="s">
        <v>3149</v>
      </c>
      <c r="D149" t="s">
        <v>3297</v>
      </c>
      <c r="E149" s="3" t="s">
        <v>3291</v>
      </c>
      <c r="F149" t="s">
        <v>3294</v>
      </c>
    </row>
    <row r="150" spans="1:6" x14ac:dyDescent="0.25">
      <c r="A150" t="s">
        <v>2554</v>
      </c>
      <c r="B150" t="str">
        <f>UPPER(TRIM(MID(A150, 2, SEARCH(",",A150) - 3)))</f>
        <v>FORCE</v>
      </c>
      <c r="C150" t="s">
        <v>3150</v>
      </c>
      <c r="D150" t="s">
        <v>3295</v>
      </c>
      <c r="E150" s="2" t="s">
        <v>3856</v>
      </c>
      <c r="F150" t="s">
        <v>3293</v>
      </c>
    </row>
    <row r="151" spans="1:6" x14ac:dyDescent="0.25">
      <c r="A151" t="s">
        <v>2555</v>
      </c>
      <c r="B151" t="str">
        <f>UPPER(TRIM(MID(A151, 2, SEARCH(",",A151) - 3)))</f>
        <v>FOREIGN</v>
      </c>
      <c r="C151" t="s">
        <v>3151</v>
      </c>
      <c r="D151" t="s">
        <v>3296</v>
      </c>
      <c r="E151" s="3" t="s">
        <v>3291</v>
      </c>
      <c r="F151" t="s">
        <v>3293</v>
      </c>
    </row>
    <row r="152" spans="1:6" x14ac:dyDescent="0.25">
      <c r="A152" t="s">
        <v>2556</v>
      </c>
      <c r="B152" t="str">
        <f>UPPER(TRIM(MID(A152, 2, SEARCH(",",A152) - 3)))</f>
        <v>FORWARD</v>
      </c>
      <c r="C152" t="s">
        <v>3405</v>
      </c>
      <c r="D152" t="s">
        <v>3295</v>
      </c>
      <c r="E152" s="2" t="s">
        <v>3856</v>
      </c>
      <c r="F152" t="s">
        <v>3293</v>
      </c>
    </row>
    <row r="153" spans="1:6" x14ac:dyDescent="0.25">
      <c r="A153" t="s">
        <v>2816</v>
      </c>
      <c r="B153" t="str">
        <f>UPPER(TRIM(MID(A153, 2, SEARCH(",",A153) - 3)))</f>
        <v>FREEZE</v>
      </c>
      <c r="C153" t="s">
        <v>3406</v>
      </c>
      <c r="D153" t="s">
        <v>3304</v>
      </c>
      <c r="E153" s="3" t="s">
        <v>3303</v>
      </c>
      <c r="F153" t="s">
        <v>3293</v>
      </c>
    </row>
    <row r="154" spans="1:6" x14ac:dyDescent="0.25">
      <c r="A154" t="s">
        <v>2557</v>
      </c>
      <c r="B154" t="str">
        <f>UPPER(TRIM(MID(A154, 2, SEARCH(",",A154) - 3)))</f>
        <v>FROM</v>
      </c>
      <c r="C154" t="s">
        <v>3154</v>
      </c>
      <c r="D154" t="s">
        <v>3297</v>
      </c>
      <c r="E154" s="3" t="s">
        <v>3291</v>
      </c>
      <c r="F154" t="s">
        <v>3294</v>
      </c>
    </row>
    <row r="155" spans="1:6" x14ac:dyDescent="0.25">
      <c r="A155" t="s">
        <v>2817</v>
      </c>
      <c r="B155" t="str">
        <f>UPPER(TRIM(MID(A155, 2, SEARCH(",",A155) - 3)))</f>
        <v>FULL</v>
      </c>
      <c r="C155" t="s">
        <v>3407</v>
      </c>
      <c r="D155" t="s">
        <v>3304</v>
      </c>
      <c r="E155" s="3" t="s">
        <v>3303</v>
      </c>
      <c r="F155" t="s">
        <v>3293</v>
      </c>
    </row>
    <row r="156" spans="1:6" x14ac:dyDescent="0.25">
      <c r="A156" t="s">
        <v>2558</v>
      </c>
      <c r="B156" t="str">
        <f>UPPER(TRIM(MID(A156, 2, SEARCH(",",A156) - 3)))</f>
        <v>FUNCTION</v>
      </c>
      <c r="C156" t="s">
        <v>3303</v>
      </c>
      <c r="D156" t="s">
        <v>3295</v>
      </c>
      <c r="E156" s="2" t="s">
        <v>3856</v>
      </c>
      <c r="F156" t="s">
        <v>3293</v>
      </c>
    </row>
    <row r="157" spans="1:6" x14ac:dyDescent="0.25">
      <c r="A157" t="s">
        <v>2559</v>
      </c>
      <c r="B157" t="str">
        <f>UPPER(TRIM(MID(A157, 2, SEARCH(",",A157) - 3)))</f>
        <v>FUNCTIONS</v>
      </c>
      <c r="C157" t="s">
        <v>3408</v>
      </c>
      <c r="D157" t="s">
        <v>3295</v>
      </c>
      <c r="E157" s="2" t="s">
        <v>3856</v>
      </c>
      <c r="F157" t="s">
        <v>3293</v>
      </c>
    </row>
    <row r="158" spans="1:6" x14ac:dyDescent="0.25">
      <c r="A158" t="s">
        <v>2560</v>
      </c>
      <c r="B158" t="str">
        <f>UPPER(TRIM(MID(A158, 2, SEARCH(",",A158) - 3)))</f>
        <v>GENERATED</v>
      </c>
      <c r="C158" t="s">
        <v>3409</v>
      </c>
      <c r="D158" t="s">
        <v>3295</v>
      </c>
      <c r="E158" s="2" t="s">
        <v>3856</v>
      </c>
      <c r="F158" t="s">
        <v>3293</v>
      </c>
    </row>
    <row r="159" spans="1:6" x14ac:dyDescent="0.25">
      <c r="A159" t="s">
        <v>2561</v>
      </c>
      <c r="B159" t="str">
        <f>UPPER(TRIM(MID(A159, 2, SEARCH(",",A159) - 3)))</f>
        <v>GLOBAL</v>
      </c>
      <c r="C159" t="s">
        <v>3410</v>
      </c>
      <c r="D159" t="s">
        <v>3295</v>
      </c>
      <c r="E159" s="2" t="s">
        <v>3856</v>
      </c>
      <c r="F159" t="s">
        <v>3293</v>
      </c>
    </row>
    <row r="160" spans="1:6" x14ac:dyDescent="0.25">
      <c r="A160" t="s">
        <v>2562</v>
      </c>
      <c r="B160" t="str">
        <f>UPPER(TRIM(MID(A160, 2, SEARCH(",",A160) - 3)))</f>
        <v>GRANT</v>
      </c>
      <c r="C160" t="s">
        <v>3156</v>
      </c>
      <c r="D160" t="s">
        <v>3297</v>
      </c>
      <c r="E160" s="3" t="s">
        <v>3291</v>
      </c>
      <c r="F160" t="s">
        <v>3294</v>
      </c>
    </row>
    <row r="161" spans="1:6" x14ac:dyDescent="0.25">
      <c r="A161" t="s">
        <v>2563</v>
      </c>
      <c r="B161" t="str">
        <f>UPPER(TRIM(MID(A161, 2, SEARCH(",",A161) - 3)))</f>
        <v>GRANTED</v>
      </c>
      <c r="C161" t="s">
        <v>3411</v>
      </c>
      <c r="D161" t="s">
        <v>3295</v>
      </c>
      <c r="E161" s="2" t="s">
        <v>3856</v>
      </c>
      <c r="F161" t="s">
        <v>3293</v>
      </c>
    </row>
    <row r="162" spans="1:6" x14ac:dyDescent="0.25">
      <c r="A162" t="s">
        <v>2845</v>
      </c>
      <c r="B162" t="str">
        <f>UPPER(TRIM(MID(A162, 2, SEARCH(",",A162) - 3)))</f>
        <v>GREATEST</v>
      </c>
      <c r="C162" t="s">
        <v>2959</v>
      </c>
      <c r="D162" t="s">
        <v>3298</v>
      </c>
      <c r="E162" s="3" t="s">
        <v>3292</v>
      </c>
      <c r="F162" t="s">
        <v>3293</v>
      </c>
    </row>
    <row r="163" spans="1:6" x14ac:dyDescent="0.25">
      <c r="A163" t="s">
        <v>2564</v>
      </c>
      <c r="B163" t="str">
        <f>UPPER(TRIM(MID(A163, 2, SEARCH(",",A163) - 3)))</f>
        <v>GROUP</v>
      </c>
      <c r="C163" t="s">
        <v>3157</v>
      </c>
      <c r="D163" t="s">
        <v>3297</v>
      </c>
      <c r="E163" s="3" t="s">
        <v>3291</v>
      </c>
      <c r="F163" t="s">
        <v>3294</v>
      </c>
    </row>
    <row r="164" spans="1:6" x14ac:dyDescent="0.25">
      <c r="A164" t="s">
        <v>2846</v>
      </c>
      <c r="B164" t="str">
        <f>UPPER(TRIM(MID(A164, 2, SEARCH(",",A164) - 3)))</f>
        <v>GROUPING</v>
      </c>
      <c r="C164" t="s">
        <v>3412</v>
      </c>
      <c r="D164" t="s">
        <v>3298</v>
      </c>
      <c r="E164" s="3" t="s">
        <v>3292</v>
      </c>
      <c r="F164" t="s">
        <v>3293</v>
      </c>
    </row>
    <row r="165" spans="1:6" x14ac:dyDescent="0.25">
      <c r="A165" t="s">
        <v>2565</v>
      </c>
      <c r="B165" t="str">
        <f>UPPER(TRIM(MID(A165, 2, SEARCH(",",A165) - 3)))</f>
        <v>GROUPS</v>
      </c>
      <c r="C165" t="s">
        <v>3413</v>
      </c>
      <c r="D165" t="s">
        <v>3295</v>
      </c>
      <c r="E165" s="2" t="s">
        <v>3856</v>
      </c>
      <c r="F165" t="s">
        <v>3293</v>
      </c>
    </row>
    <row r="166" spans="1:6" x14ac:dyDescent="0.25">
      <c r="A166" t="s">
        <v>2566</v>
      </c>
      <c r="B166" t="str">
        <f>UPPER(TRIM(MID(A166, 2, SEARCH(",",A166) - 3)))</f>
        <v>HANDLER</v>
      </c>
      <c r="C166" t="s">
        <v>3414</v>
      </c>
      <c r="D166" t="s">
        <v>3295</v>
      </c>
      <c r="E166" s="2" t="s">
        <v>3856</v>
      </c>
      <c r="F166" t="s">
        <v>3293</v>
      </c>
    </row>
    <row r="167" spans="1:6" x14ac:dyDescent="0.25">
      <c r="A167" t="s">
        <v>2567</v>
      </c>
      <c r="B167" t="str">
        <f>UPPER(TRIM(MID(A167, 2, SEARCH(",",A167) - 3)))</f>
        <v>HAVING</v>
      </c>
      <c r="C167" t="s">
        <v>3158</v>
      </c>
      <c r="D167" t="s">
        <v>3297</v>
      </c>
      <c r="E167" s="3" t="s">
        <v>3291</v>
      </c>
      <c r="F167" t="s">
        <v>3294</v>
      </c>
    </row>
    <row r="168" spans="1:6" x14ac:dyDescent="0.25">
      <c r="A168" t="s">
        <v>2568</v>
      </c>
      <c r="B168" t="str">
        <f>UPPER(TRIM(MID(A168, 2, SEARCH(",",A168) - 3)))</f>
        <v>HEADER</v>
      </c>
      <c r="C168" t="s">
        <v>3415</v>
      </c>
      <c r="D168" t="s">
        <v>3295</v>
      </c>
      <c r="E168" s="2" t="s">
        <v>3856</v>
      </c>
      <c r="F168" t="s">
        <v>3293</v>
      </c>
    </row>
    <row r="169" spans="1:6" x14ac:dyDescent="0.25">
      <c r="A169" t="s">
        <v>2569</v>
      </c>
      <c r="B169" t="str">
        <f>UPPER(TRIM(MID(A169, 2, SEARCH(",",A169) - 3)))</f>
        <v>HOLD</v>
      </c>
      <c r="C169" t="s">
        <v>3416</v>
      </c>
      <c r="D169" t="s">
        <v>3295</v>
      </c>
      <c r="E169" s="2" t="s">
        <v>3856</v>
      </c>
      <c r="F169" t="s">
        <v>3293</v>
      </c>
    </row>
    <row r="170" spans="1:6" x14ac:dyDescent="0.25">
      <c r="A170" t="s">
        <v>2570</v>
      </c>
      <c r="B170" t="str">
        <f>UPPER(TRIM(MID(A170, 2, SEARCH(",",A170) - 3)))</f>
        <v>HOUR</v>
      </c>
      <c r="C170" t="s">
        <v>2961</v>
      </c>
      <c r="D170" t="s">
        <v>3300</v>
      </c>
      <c r="E170" s="2" t="s">
        <v>3856</v>
      </c>
      <c r="F170" t="s">
        <v>3294</v>
      </c>
    </row>
    <row r="171" spans="1:6" x14ac:dyDescent="0.25">
      <c r="A171" t="s">
        <v>2571</v>
      </c>
      <c r="B171" t="str">
        <f>UPPER(TRIM(MID(A171, 2, SEARCH(",",A171) - 3)))</f>
        <v>IDENTITY</v>
      </c>
      <c r="C171" t="s">
        <v>3417</v>
      </c>
      <c r="D171" t="s">
        <v>3295</v>
      </c>
      <c r="E171" s="2" t="s">
        <v>3856</v>
      </c>
      <c r="F171" t="s">
        <v>3293</v>
      </c>
    </row>
    <row r="172" spans="1:6" x14ac:dyDescent="0.25">
      <c r="A172" t="s">
        <v>2572</v>
      </c>
      <c r="B172" t="str">
        <f>UPPER(TRIM(MID(A172, 2, SEARCH(",",A172) - 3)))</f>
        <v>IF</v>
      </c>
      <c r="C172" t="s">
        <v>2962</v>
      </c>
      <c r="D172" t="s">
        <v>3295</v>
      </c>
      <c r="E172" s="2" t="s">
        <v>3856</v>
      </c>
      <c r="F172" t="s">
        <v>3293</v>
      </c>
    </row>
    <row r="173" spans="1:6" x14ac:dyDescent="0.25">
      <c r="A173" t="s">
        <v>2818</v>
      </c>
      <c r="B173" t="str">
        <f>UPPER(TRIM(MID(A173, 2, SEARCH(",",A173) - 3)))</f>
        <v>ILIKE</v>
      </c>
      <c r="C173" t="s">
        <v>3418</v>
      </c>
      <c r="D173" t="s">
        <v>3304</v>
      </c>
      <c r="E173" s="3" t="s">
        <v>3303</v>
      </c>
      <c r="F173" t="s">
        <v>3293</v>
      </c>
    </row>
    <row r="174" spans="1:6" x14ac:dyDescent="0.25">
      <c r="A174" t="s">
        <v>2573</v>
      </c>
      <c r="B174" t="str">
        <f>UPPER(TRIM(MID(A174, 2, SEARCH(",",A174) - 3)))</f>
        <v>IMMEDIATE</v>
      </c>
      <c r="C174" t="s">
        <v>3419</v>
      </c>
      <c r="D174" t="s">
        <v>3295</v>
      </c>
      <c r="E174" s="2" t="s">
        <v>3856</v>
      </c>
      <c r="F174" t="s">
        <v>3293</v>
      </c>
    </row>
    <row r="175" spans="1:6" x14ac:dyDescent="0.25">
      <c r="A175" t="s">
        <v>2574</v>
      </c>
      <c r="B175" t="str">
        <f>UPPER(TRIM(MID(A175, 2, SEARCH(",",A175) - 3)))</f>
        <v>IMMUTABLE</v>
      </c>
      <c r="C175" t="s">
        <v>3420</v>
      </c>
      <c r="D175" t="s">
        <v>3295</v>
      </c>
      <c r="E175" s="2" t="s">
        <v>3856</v>
      </c>
      <c r="F175" t="s">
        <v>3293</v>
      </c>
    </row>
    <row r="176" spans="1:6" x14ac:dyDescent="0.25">
      <c r="A176" t="s">
        <v>2575</v>
      </c>
      <c r="B176" t="str">
        <f>UPPER(TRIM(MID(A176, 2, SEARCH(",",A176) - 3)))</f>
        <v>IMPLICIT</v>
      </c>
      <c r="C176" t="s">
        <v>3421</v>
      </c>
      <c r="D176" t="s">
        <v>3295</v>
      </c>
      <c r="E176" s="2" t="s">
        <v>3856</v>
      </c>
      <c r="F176" t="s">
        <v>3293</v>
      </c>
    </row>
    <row r="177" spans="1:6" x14ac:dyDescent="0.25">
      <c r="A177" t="s">
        <v>2576</v>
      </c>
      <c r="B177" t="str">
        <f>UPPER(TRIM(MID(A177, 2, SEARCH(",",A177) - 3)))</f>
        <v>IMPORT</v>
      </c>
      <c r="C177" t="s">
        <v>3422</v>
      </c>
      <c r="D177" t="s">
        <v>3295</v>
      </c>
      <c r="E177" s="2" t="s">
        <v>3856</v>
      </c>
      <c r="F177" t="s">
        <v>3293</v>
      </c>
    </row>
    <row r="178" spans="1:6" x14ac:dyDescent="0.25">
      <c r="A178" t="s">
        <v>2577</v>
      </c>
      <c r="B178" t="str">
        <f>UPPER(TRIM(MID(A178, 2, SEARCH(",",A178) - 3)))</f>
        <v>IN</v>
      </c>
      <c r="C178" t="s">
        <v>2964</v>
      </c>
      <c r="D178" t="s">
        <v>3296</v>
      </c>
      <c r="E178" s="3" t="s">
        <v>3291</v>
      </c>
      <c r="F178" t="s">
        <v>3293</v>
      </c>
    </row>
    <row r="179" spans="1:6" x14ac:dyDescent="0.25">
      <c r="A179" t="s">
        <v>2578</v>
      </c>
      <c r="B179" t="str">
        <f>UPPER(TRIM(MID(A179, 2, SEARCH(",",A179) - 3)))</f>
        <v>INCLUDE</v>
      </c>
      <c r="C179" t="s">
        <v>3423</v>
      </c>
      <c r="D179" t="s">
        <v>3295</v>
      </c>
      <c r="E179" s="2" t="s">
        <v>3856</v>
      </c>
      <c r="F179" t="s">
        <v>3293</v>
      </c>
    </row>
    <row r="180" spans="1:6" x14ac:dyDescent="0.25">
      <c r="A180" t="s">
        <v>2579</v>
      </c>
      <c r="B180" t="str">
        <f>UPPER(TRIM(MID(A180, 2, SEARCH(",",A180) - 3)))</f>
        <v>INCLUDING</v>
      </c>
      <c r="C180" t="s">
        <v>3424</v>
      </c>
      <c r="D180" t="s">
        <v>3295</v>
      </c>
      <c r="E180" s="2" t="s">
        <v>3856</v>
      </c>
      <c r="F180" t="s">
        <v>3293</v>
      </c>
    </row>
    <row r="181" spans="1:6" x14ac:dyDescent="0.25">
      <c r="A181" t="s">
        <v>2580</v>
      </c>
      <c r="B181" t="str">
        <f>UPPER(TRIM(MID(A181, 2, SEARCH(",",A181) - 3)))</f>
        <v>INCREMENT</v>
      </c>
      <c r="C181" t="s">
        <v>3425</v>
      </c>
      <c r="D181" t="s">
        <v>3295</v>
      </c>
      <c r="E181" s="2" t="s">
        <v>3856</v>
      </c>
      <c r="F181" t="s">
        <v>3293</v>
      </c>
    </row>
    <row r="182" spans="1:6" x14ac:dyDescent="0.25">
      <c r="A182" t="s">
        <v>2581</v>
      </c>
      <c r="B182" t="str">
        <f>UPPER(TRIM(MID(A182, 2, SEARCH(",",A182) - 3)))</f>
        <v>INDEX</v>
      </c>
      <c r="C182" t="s">
        <v>3164</v>
      </c>
      <c r="D182" t="s">
        <v>3295</v>
      </c>
      <c r="E182" s="2" t="s">
        <v>3856</v>
      </c>
      <c r="F182" t="s">
        <v>3293</v>
      </c>
    </row>
    <row r="183" spans="1:6" x14ac:dyDescent="0.25">
      <c r="A183" t="s">
        <v>2582</v>
      </c>
      <c r="B183" t="str">
        <f>UPPER(TRIM(MID(A183, 2, SEARCH(",",A183) - 3)))</f>
        <v>INDEXES</v>
      </c>
      <c r="C183" t="s">
        <v>3426</v>
      </c>
      <c r="D183" t="s">
        <v>3295</v>
      </c>
      <c r="E183" s="2" t="s">
        <v>3856</v>
      </c>
      <c r="F183" t="s">
        <v>3293</v>
      </c>
    </row>
    <row r="184" spans="1:6" x14ac:dyDescent="0.25">
      <c r="A184" t="s">
        <v>2583</v>
      </c>
      <c r="B184" t="str">
        <f>UPPER(TRIM(MID(A184, 2, SEARCH(",",A184) - 3)))</f>
        <v>INHERIT</v>
      </c>
      <c r="C184" t="s">
        <v>3427</v>
      </c>
      <c r="D184" t="s">
        <v>3295</v>
      </c>
      <c r="E184" s="2" t="s">
        <v>3856</v>
      </c>
      <c r="F184" t="s">
        <v>3293</v>
      </c>
    </row>
    <row r="185" spans="1:6" x14ac:dyDescent="0.25">
      <c r="A185" t="s">
        <v>2584</v>
      </c>
      <c r="B185" t="str">
        <f>UPPER(TRIM(MID(A185, 2, SEARCH(",",A185) - 3)))</f>
        <v>INHERITS</v>
      </c>
      <c r="C185" t="s">
        <v>3428</v>
      </c>
      <c r="D185" t="s">
        <v>3295</v>
      </c>
      <c r="E185" s="2" t="s">
        <v>3856</v>
      </c>
      <c r="F185" t="s">
        <v>3293</v>
      </c>
    </row>
    <row r="186" spans="1:6" x14ac:dyDescent="0.25">
      <c r="A186" t="s">
        <v>2585</v>
      </c>
      <c r="B186" t="str">
        <f>UPPER(TRIM(MID(A186, 2, SEARCH(",",A186) - 3)))</f>
        <v>INITIALLY</v>
      </c>
      <c r="C186" t="s">
        <v>3429</v>
      </c>
      <c r="D186" t="s">
        <v>3296</v>
      </c>
      <c r="E186" s="3" t="s">
        <v>3291</v>
      </c>
      <c r="F186" t="s">
        <v>3293</v>
      </c>
    </row>
    <row r="187" spans="1:6" x14ac:dyDescent="0.25">
      <c r="A187" t="s">
        <v>2586</v>
      </c>
      <c r="B187" t="str">
        <f>UPPER(TRIM(MID(A187, 2, SEARCH(",",A187) - 3)))</f>
        <v>INLINE</v>
      </c>
      <c r="C187" t="s">
        <v>3430</v>
      </c>
      <c r="D187" t="s">
        <v>3295</v>
      </c>
      <c r="E187" s="2" t="s">
        <v>3856</v>
      </c>
      <c r="F187" t="s">
        <v>3293</v>
      </c>
    </row>
    <row r="188" spans="1:6" x14ac:dyDescent="0.25">
      <c r="A188" t="s">
        <v>2819</v>
      </c>
      <c r="B188" t="str">
        <f>UPPER(TRIM(MID(A188, 2, SEARCH(",",A188) - 3)))</f>
        <v>INNER</v>
      </c>
      <c r="C188" t="s">
        <v>3166</v>
      </c>
      <c r="D188" t="s">
        <v>3304</v>
      </c>
      <c r="E188" s="3" t="s">
        <v>3303</v>
      </c>
      <c r="F188" t="s">
        <v>3293</v>
      </c>
    </row>
    <row r="189" spans="1:6" x14ac:dyDescent="0.25">
      <c r="A189" t="s">
        <v>2847</v>
      </c>
      <c r="B189" t="str">
        <f>UPPER(TRIM(MID(A189, 2, SEARCH(",",A189) - 3)))</f>
        <v>INOUT</v>
      </c>
      <c r="C189" t="s">
        <v>3168</v>
      </c>
      <c r="D189" t="s">
        <v>3298</v>
      </c>
      <c r="E189" s="3" t="s">
        <v>3292</v>
      </c>
      <c r="F189" t="s">
        <v>3293</v>
      </c>
    </row>
    <row r="190" spans="1:6" x14ac:dyDescent="0.25">
      <c r="A190" t="s">
        <v>2587</v>
      </c>
      <c r="B190" t="str">
        <f>UPPER(TRIM(MID(A190, 2, SEARCH(",",A190) - 3)))</f>
        <v>INPUT</v>
      </c>
      <c r="C190" t="s">
        <v>3431</v>
      </c>
      <c r="D190" t="s">
        <v>3295</v>
      </c>
      <c r="E190" s="2" t="s">
        <v>3856</v>
      </c>
      <c r="F190" t="s">
        <v>3293</v>
      </c>
    </row>
    <row r="191" spans="1:6" x14ac:dyDescent="0.25">
      <c r="A191" t="s">
        <v>2588</v>
      </c>
      <c r="B191" t="str">
        <f>UPPER(TRIM(MID(A191, 2, SEARCH(",",A191) - 3)))</f>
        <v>INSENSITIVE</v>
      </c>
      <c r="C191" t="s">
        <v>3169</v>
      </c>
      <c r="D191" t="s">
        <v>3295</v>
      </c>
      <c r="E191" s="2" t="s">
        <v>3856</v>
      </c>
      <c r="F191" t="s">
        <v>3293</v>
      </c>
    </row>
    <row r="192" spans="1:6" x14ac:dyDescent="0.25">
      <c r="A192" t="s">
        <v>2589</v>
      </c>
      <c r="B192" t="str">
        <f>UPPER(TRIM(MID(A192, 2, SEARCH(",",A192) - 3)))</f>
        <v>INSERT</v>
      </c>
      <c r="C192" t="s">
        <v>2967</v>
      </c>
      <c r="D192" t="s">
        <v>3295</v>
      </c>
      <c r="E192" s="2" t="s">
        <v>3856</v>
      </c>
      <c r="F192" t="s">
        <v>3293</v>
      </c>
    </row>
    <row r="193" spans="1:6" x14ac:dyDescent="0.25">
      <c r="A193" t="s">
        <v>2590</v>
      </c>
      <c r="B193" t="str">
        <f>UPPER(TRIM(MID(A193, 2, SEARCH(",",A193) - 3)))</f>
        <v>INSTEAD</v>
      </c>
      <c r="C193" t="s">
        <v>3432</v>
      </c>
      <c r="D193" t="s">
        <v>3295</v>
      </c>
      <c r="E193" s="2" t="s">
        <v>3856</v>
      </c>
      <c r="F193" t="s">
        <v>3293</v>
      </c>
    </row>
    <row r="194" spans="1:6" x14ac:dyDescent="0.25">
      <c r="A194" t="s">
        <v>2848</v>
      </c>
      <c r="B194" t="str">
        <f>UPPER(TRIM(MID(A194, 2, SEARCH(",",A194) - 3)))</f>
        <v>INT</v>
      </c>
      <c r="C194" t="s">
        <v>3170</v>
      </c>
      <c r="D194" t="s">
        <v>3298</v>
      </c>
      <c r="E194" s="3" t="s">
        <v>3292</v>
      </c>
      <c r="F194" t="s">
        <v>3293</v>
      </c>
    </row>
    <row r="195" spans="1:6" x14ac:dyDescent="0.25">
      <c r="A195" t="s">
        <v>2849</v>
      </c>
      <c r="B195" t="str">
        <f>UPPER(TRIM(MID(A195, 2, SEARCH(",",A195) - 3)))</f>
        <v>INTEGER</v>
      </c>
      <c r="C195" t="s">
        <v>3171</v>
      </c>
      <c r="D195" t="s">
        <v>3298</v>
      </c>
      <c r="E195" s="3" t="s">
        <v>3292</v>
      </c>
      <c r="F195" t="s">
        <v>3293</v>
      </c>
    </row>
    <row r="196" spans="1:6" x14ac:dyDescent="0.25">
      <c r="A196" t="s">
        <v>2591</v>
      </c>
      <c r="B196" t="str">
        <f>UPPER(TRIM(MID(A196, 2, SEARCH(",",A196) - 3)))</f>
        <v>INTERSECT</v>
      </c>
      <c r="C196" t="s">
        <v>3433</v>
      </c>
      <c r="D196" t="s">
        <v>3297</v>
      </c>
      <c r="E196" s="3" t="s">
        <v>3291</v>
      </c>
      <c r="F196" t="s">
        <v>3294</v>
      </c>
    </row>
    <row r="197" spans="1:6" x14ac:dyDescent="0.25">
      <c r="A197" t="s">
        <v>2850</v>
      </c>
      <c r="B197" t="str">
        <f>UPPER(TRIM(MID(A197, 2, SEARCH(",",A197) - 3)))</f>
        <v>INTERVAL</v>
      </c>
      <c r="C197" t="s">
        <v>2969</v>
      </c>
      <c r="D197" t="s">
        <v>3298</v>
      </c>
      <c r="E197" s="3" t="s">
        <v>3292</v>
      </c>
      <c r="F197" t="s">
        <v>3293</v>
      </c>
    </row>
    <row r="198" spans="1:6" x14ac:dyDescent="0.25">
      <c r="A198" t="s">
        <v>2592</v>
      </c>
      <c r="B198" t="str">
        <f>UPPER(TRIM(MID(A198, 2, SEARCH(",",A198) - 3)))</f>
        <v>INTO</v>
      </c>
      <c r="C198" t="s">
        <v>3172</v>
      </c>
      <c r="D198" t="s">
        <v>3297</v>
      </c>
      <c r="E198" s="3" t="s">
        <v>3291</v>
      </c>
      <c r="F198" t="s">
        <v>3294</v>
      </c>
    </row>
    <row r="199" spans="1:6" x14ac:dyDescent="0.25">
      <c r="A199" t="s">
        <v>2593</v>
      </c>
      <c r="B199" t="str">
        <f>UPPER(TRIM(MID(A199, 2, SEARCH(",",A199) - 3)))</f>
        <v>INVOKER</v>
      </c>
      <c r="C199" t="s">
        <v>3434</v>
      </c>
      <c r="D199" t="s">
        <v>3295</v>
      </c>
      <c r="E199" s="2" t="s">
        <v>3856</v>
      </c>
      <c r="F199" t="s">
        <v>3293</v>
      </c>
    </row>
    <row r="200" spans="1:6" x14ac:dyDescent="0.25">
      <c r="A200" t="s">
        <v>2820</v>
      </c>
      <c r="B200" t="str">
        <f>UPPER(TRIM(MID(A200, 2, SEARCH(",",A200) - 3)))</f>
        <v>IS</v>
      </c>
      <c r="C200" t="s">
        <v>3174</v>
      </c>
      <c r="D200" t="s">
        <v>3304</v>
      </c>
      <c r="E200" s="3" t="s">
        <v>3303</v>
      </c>
      <c r="F200" t="s">
        <v>3293</v>
      </c>
    </row>
    <row r="201" spans="1:6" x14ac:dyDescent="0.25">
      <c r="A201" t="s">
        <v>2821</v>
      </c>
      <c r="B201" t="str">
        <f>UPPER(TRIM(MID(A201, 2, SEARCH(",",A201) - 3)))</f>
        <v>ISNULL</v>
      </c>
      <c r="C201" t="s">
        <v>3435</v>
      </c>
      <c r="D201" t="s">
        <v>3305</v>
      </c>
      <c r="E201" s="3" t="s">
        <v>3303</v>
      </c>
      <c r="F201" t="s">
        <v>3294</v>
      </c>
    </row>
    <row r="202" spans="1:6" x14ac:dyDescent="0.25">
      <c r="A202" t="s">
        <v>2594</v>
      </c>
      <c r="B202" t="str">
        <f>UPPER(TRIM(MID(A202, 2, SEARCH(",",A202) - 3)))</f>
        <v>ISOLATION</v>
      </c>
      <c r="C202" t="s">
        <v>3436</v>
      </c>
      <c r="D202" t="s">
        <v>3295</v>
      </c>
      <c r="E202" s="2" t="s">
        <v>3856</v>
      </c>
      <c r="F202" t="s">
        <v>3293</v>
      </c>
    </row>
    <row r="203" spans="1:6" x14ac:dyDescent="0.25">
      <c r="A203" t="s">
        <v>2822</v>
      </c>
      <c r="B203" t="str">
        <f>UPPER(TRIM(MID(A203, 2, SEARCH(",",A203) - 3)))</f>
        <v>JOIN</v>
      </c>
      <c r="C203" t="s">
        <v>3176</v>
      </c>
      <c r="D203" t="s">
        <v>3304</v>
      </c>
      <c r="E203" s="3" t="s">
        <v>3303</v>
      </c>
      <c r="F203" t="s">
        <v>3293</v>
      </c>
    </row>
    <row r="204" spans="1:6" x14ac:dyDescent="0.25">
      <c r="A204" t="s">
        <v>2595</v>
      </c>
      <c r="B204" t="str">
        <f>UPPER(TRIM(MID(A204, 2, SEARCH(",",A204) - 3)))</f>
        <v>KEY</v>
      </c>
      <c r="C204" t="s">
        <v>3177</v>
      </c>
      <c r="D204" t="s">
        <v>3295</v>
      </c>
      <c r="E204" s="2" t="s">
        <v>3856</v>
      </c>
      <c r="F204" t="s">
        <v>3293</v>
      </c>
    </row>
    <row r="205" spans="1:6" x14ac:dyDescent="0.25">
      <c r="A205" t="s">
        <v>2596</v>
      </c>
      <c r="B205" t="str">
        <f>UPPER(TRIM(MID(A205, 2, SEARCH(",",A205) - 3)))</f>
        <v>LABEL</v>
      </c>
      <c r="C205" t="s">
        <v>3437</v>
      </c>
      <c r="D205" t="s">
        <v>3295</v>
      </c>
      <c r="E205" s="2" t="s">
        <v>3856</v>
      </c>
      <c r="F205" t="s">
        <v>3293</v>
      </c>
    </row>
    <row r="206" spans="1:6" x14ac:dyDescent="0.25">
      <c r="A206" t="s">
        <v>2597</v>
      </c>
      <c r="B206" t="str">
        <f>UPPER(TRIM(MID(A206, 2, SEARCH(",",A206) - 3)))</f>
        <v>LANGUAGE</v>
      </c>
      <c r="C206" t="s">
        <v>3438</v>
      </c>
      <c r="D206" t="s">
        <v>3295</v>
      </c>
      <c r="E206" s="2" t="s">
        <v>3856</v>
      </c>
      <c r="F206" t="s">
        <v>3293</v>
      </c>
    </row>
    <row r="207" spans="1:6" x14ac:dyDescent="0.25">
      <c r="A207" t="s">
        <v>2598</v>
      </c>
      <c r="B207" t="str">
        <f>UPPER(TRIM(MID(A207, 2, SEARCH(",",A207) - 3)))</f>
        <v>LARGE</v>
      </c>
      <c r="C207" t="s">
        <v>3439</v>
      </c>
      <c r="D207" t="s">
        <v>3295</v>
      </c>
      <c r="E207" s="2" t="s">
        <v>3856</v>
      </c>
      <c r="F207" t="s">
        <v>3293</v>
      </c>
    </row>
    <row r="208" spans="1:6" x14ac:dyDescent="0.25">
      <c r="A208" t="s">
        <v>2599</v>
      </c>
      <c r="B208" t="str">
        <f>UPPER(TRIM(MID(A208, 2, SEARCH(",",A208) - 3)))</f>
        <v>LAST</v>
      </c>
      <c r="C208" t="s">
        <v>3440</v>
      </c>
      <c r="D208" t="s">
        <v>3295</v>
      </c>
      <c r="E208" s="2" t="s">
        <v>3856</v>
      </c>
      <c r="F208" t="s">
        <v>3293</v>
      </c>
    </row>
    <row r="209" spans="1:6" x14ac:dyDescent="0.25">
      <c r="A209" t="s">
        <v>2600</v>
      </c>
      <c r="B209" t="str">
        <f>UPPER(TRIM(MID(A209, 2, SEARCH(",",A209) - 3)))</f>
        <v>LATERAL</v>
      </c>
      <c r="C209" t="s">
        <v>3441</v>
      </c>
      <c r="D209" t="s">
        <v>3296</v>
      </c>
      <c r="E209" s="3" t="s">
        <v>3291</v>
      </c>
      <c r="F209" t="s">
        <v>3293</v>
      </c>
    </row>
    <row r="210" spans="1:6" x14ac:dyDescent="0.25">
      <c r="A210" t="s">
        <v>2601</v>
      </c>
      <c r="B210" t="str">
        <f>UPPER(TRIM(MID(A210, 2, SEARCH(",",A210) - 3)))</f>
        <v>LEADING</v>
      </c>
      <c r="C210" t="s">
        <v>3180</v>
      </c>
      <c r="D210" t="s">
        <v>3296</v>
      </c>
      <c r="E210" s="3" t="s">
        <v>3291</v>
      </c>
      <c r="F210" t="s">
        <v>3293</v>
      </c>
    </row>
    <row r="211" spans="1:6" x14ac:dyDescent="0.25">
      <c r="A211" t="s">
        <v>2602</v>
      </c>
      <c r="B211" t="str">
        <f>UPPER(TRIM(MID(A211, 2, SEARCH(",",A211) - 3)))</f>
        <v>LEAKPROOF</v>
      </c>
      <c r="C211" t="s">
        <v>3442</v>
      </c>
      <c r="D211" t="s">
        <v>3295</v>
      </c>
      <c r="E211" s="2" t="s">
        <v>3856</v>
      </c>
      <c r="F211" t="s">
        <v>3293</v>
      </c>
    </row>
    <row r="212" spans="1:6" x14ac:dyDescent="0.25">
      <c r="A212" t="s">
        <v>2851</v>
      </c>
      <c r="B212" t="str">
        <f>UPPER(TRIM(MID(A212, 2, SEARCH(",",A212) - 3)))</f>
        <v>LEAST</v>
      </c>
      <c r="C212" t="s">
        <v>2975</v>
      </c>
      <c r="D212" t="s">
        <v>3298</v>
      </c>
      <c r="E212" s="3" t="s">
        <v>3292</v>
      </c>
      <c r="F212" t="s">
        <v>3293</v>
      </c>
    </row>
    <row r="213" spans="1:6" x14ac:dyDescent="0.25">
      <c r="A213" t="s">
        <v>2823</v>
      </c>
      <c r="B213" t="str">
        <f>UPPER(TRIM(MID(A213, 2, SEARCH(",",A213) - 3)))</f>
        <v>LEFT</v>
      </c>
      <c r="C213" t="s">
        <v>2976</v>
      </c>
      <c r="D213" t="s">
        <v>3304</v>
      </c>
      <c r="E213" s="3" t="s">
        <v>3303</v>
      </c>
      <c r="F213" t="s">
        <v>3293</v>
      </c>
    </row>
    <row r="214" spans="1:6" x14ac:dyDescent="0.25">
      <c r="A214" t="s">
        <v>2603</v>
      </c>
      <c r="B214" t="str">
        <f>UPPER(TRIM(MID(A214, 2, SEARCH(",",A214) - 3)))</f>
        <v>LEVEL</v>
      </c>
      <c r="C214" t="s">
        <v>3443</v>
      </c>
      <c r="D214" t="s">
        <v>3295</v>
      </c>
      <c r="E214" s="2" t="s">
        <v>3856</v>
      </c>
      <c r="F214" t="s">
        <v>3293</v>
      </c>
    </row>
    <row r="215" spans="1:6" x14ac:dyDescent="0.25">
      <c r="A215" t="s">
        <v>2824</v>
      </c>
      <c r="B215" t="str">
        <f>UPPER(TRIM(MID(A215, 2, SEARCH(",",A215) - 3)))</f>
        <v>LIKE</v>
      </c>
      <c r="C215" t="s">
        <v>3182</v>
      </c>
      <c r="D215" t="s">
        <v>3304</v>
      </c>
      <c r="E215" s="3" t="s">
        <v>3303</v>
      </c>
      <c r="F215" t="s">
        <v>3293</v>
      </c>
    </row>
    <row r="216" spans="1:6" x14ac:dyDescent="0.25">
      <c r="A216" t="s">
        <v>2604</v>
      </c>
      <c r="B216" t="str">
        <f>UPPER(TRIM(MID(A216, 2, SEARCH(",",A216) - 3)))</f>
        <v>LIMIT</v>
      </c>
      <c r="C216" t="s">
        <v>3183</v>
      </c>
      <c r="D216" t="s">
        <v>3297</v>
      </c>
      <c r="E216" s="3" t="s">
        <v>3291</v>
      </c>
      <c r="F216" t="s">
        <v>3294</v>
      </c>
    </row>
    <row r="217" spans="1:6" x14ac:dyDescent="0.25">
      <c r="A217" t="s">
        <v>2605</v>
      </c>
      <c r="B217" t="str">
        <f>UPPER(TRIM(MID(A217, 2, SEARCH(",",A217) - 3)))</f>
        <v>LISTEN</v>
      </c>
      <c r="C217" t="s">
        <v>3444</v>
      </c>
      <c r="D217" t="s">
        <v>3295</v>
      </c>
      <c r="E217" s="2" t="s">
        <v>3856</v>
      </c>
      <c r="F217" t="s">
        <v>3293</v>
      </c>
    </row>
    <row r="218" spans="1:6" x14ac:dyDescent="0.25">
      <c r="A218" t="s">
        <v>2606</v>
      </c>
      <c r="B218" t="str">
        <f>UPPER(TRIM(MID(A218, 2, SEARCH(",",A218) - 3)))</f>
        <v>LOAD</v>
      </c>
      <c r="C218" t="s">
        <v>3185</v>
      </c>
      <c r="D218" t="s">
        <v>3295</v>
      </c>
      <c r="E218" s="2" t="s">
        <v>3856</v>
      </c>
      <c r="F218" t="s">
        <v>3293</v>
      </c>
    </row>
    <row r="219" spans="1:6" x14ac:dyDescent="0.25">
      <c r="A219" t="s">
        <v>2607</v>
      </c>
      <c r="B219" t="str">
        <f>UPPER(TRIM(MID(A219, 2, SEARCH(",",A219) - 3)))</f>
        <v>LOCAL</v>
      </c>
      <c r="C219" t="s">
        <v>3445</v>
      </c>
      <c r="D219" t="s">
        <v>3295</v>
      </c>
      <c r="E219" s="2" t="s">
        <v>3856</v>
      </c>
      <c r="F219" t="s">
        <v>3293</v>
      </c>
    </row>
    <row r="220" spans="1:6" x14ac:dyDescent="0.25">
      <c r="A220" t="s">
        <v>2608</v>
      </c>
      <c r="B220" t="str">
        <f>UPPER(TRIM(MID(A220, 2, SEARCH(",",A220) - 3)))</f>
        <v>LOCALTIME</v>
      </c>
      <c r="C220" t="s">
        <v>2980</v>
      </c>
      <c r="D220" t="s">
        <v>3296</v>
      </c>
      <c r="E220" s="3" t="s">
        <v>3291</v>
      </c>
      <c r="F220" t="s">
        <v>3293</v>
      </c>
    </row>
    <row r="221" spans="1:6" x14ac:dyDescent="0.25">
      <c r="A221" t="s">
        <v>2609</v>
      </c>
      <c r="B221" t="str">
        <f>UPPER(TRIM(MID(A221, 2, SEARCH(",",A221) - 3)))</f>
        <v>LOCALTIMESTAMP</v>
      </c>
      <c r="C221" t="s">
        <v>2981</v>
      </c>
      <c r="D221" t="s">
        <v>3296</v>
      </c>
      <c r="E221" s="3" t="s">
        <v>3291</v>
      </c>
      <c r="F221" t="s">
        <v>3293</v>
      </c>
    </row>
    <row r="222" spans="1:6" x14ac:dyDescent="0.25">
      <c r="A222" t="s">
        <v>2610</v>
      </c>
      <c r="B222" t="str">
        <f>UPPER(TRIM(MID(A222, 2, SEARCH(",",A222) - 3)))</f>
        <v>LOCATION</v>
      </c>
      <c r="C222" t="s">
        <v>3446</v>
      </c>
      <c r="D222" t="s">
        <v>3295</v>
      </c>
      <c r="E222" s="2" t="s">
        <v>3856</v>
      </c>
      <c r="F222" t="s">
        <v>3293</v>
      </c>
    </row>
    <row r="223" spans="1:6" x14ac:dyDescent="0.25">
      <c r="A223" t="s">
        <v>2611</v>
      </c>
      <c r="B223" t="str">
        <f>UPPER(TRIM(MID(A223, 2, SEARCH(",",A223) - 3)))</f>
        <v>LOCK</v>
      </c>
      <c r="C223" t="s">
        <v>3186</v>
      </c>
      <c r="D223" t="s">
        <v>3295</v>
      </c>
      <c r="E223" s="2" t="s">
        <v>3856</v>
      </c>
      <c r="F223" t="s">
        <v>3293</v>
      </c>
    </row>
    <row r="224" spans="1:6" x14ac:dyDescent="0.25">
      <c r="A224" t="s">
        <v>2612</v>
      </c>
      <c r="B224" t="str">
        <f>UPPER(TRIM(MID(A224, 2, SEARCH(",",A224) - 3)))</f>
        <v>LOCKED</v>
      </c>
      <c r="C224" t="s">
        <v>3447</v>
      </c>
      <c r="D224" t="s">
        <v>3295</v>
      </c>
      <c r="E224" s="2" t="s">
        <v>3856</v>
      </c>
      <c r="F224" t="s">
        <v>3293</v>
      </c>
    </row>
    <row r="225" spans="1:6" x14ac:dyDescent="0.25">
      <c r="A225" t="s">
        <v>2613</v>
      </c>
      <c r="B225" t="str">
        <f>UPPER(TRIM(MID(A225, 2, SEARCH(",",A225) - 3)))</f>
        <v>LOGGED</v>
      </c>
      <c r="C225" t="s">
        <v>3448</v>
      </c>
      <c r="D225" t="s">
        <v>3295</v>
      </c>
      <c r="E225" s="2" t="s">
        <v>3856</v>
      </c>
      <c r="F225" t="s">
        <v>3293</v>
      </c>
    </row>
    <row r="226" spans="1:6" x14ac:dyDescent="0.25">
      <c r="A226" t="s">
        <v>2614</v>
      </c>
      <c r="B226" t="str">
        <f>UPPER(TRIM(MID(A226, 2, SEARCH(",",A226) - 3)))</f>
        <v>MAPPING</v>
      </c>
      <c r="C226" t="s">
        <v>3449</v>
      </c>
      <c r="D226" t="s">
        <v>3295</v>
      </c>
      <c r="E226" s="2" t="s">
        <v>3856</v>
      </c>
      <c r="F226" t="s">
        <v>3293</v>
      </c>
    </row>
    <row r="227" spans="1:6" x14ac:dyDescent="0.25">
      <c r="A227" t="s">
        <v>2615</v>
      </c>
      <c r="B227" t="str">
        <f>UPPER(TRIM(MID(A227, 2, SEARCH(",",A227) - 3)))</f>
        <v>MATCH</v>
      </c>
      <c r="C227" t="s">
        <v>2993</v>
      </c>
      <c r="D227" t="s">
        <v>3295</v>
      </c>
      <c r="E227" s="2" t="s">
        <v>3856</v>
      </c>
      <c r="F227" t="s">
        <v>3293</v>
      </c>
    </row>
    <row r="228" spans="1:6" x14ac:dyDescent="0.25">
      <c r="A228" t="s">
        <v>2616</v>
      </c>
      <c r="B228" t="str">
        <f>UPPER(TRIM(MID(A228, 2, SEARCH(",",A228) - 3)))</f>
        <v>MATCHED</v>
      </c>
      <c r="C228" t="s">
        <v>3450</v>
      </c>
      <c r="D228" t="s">
        <v>3295</v>
      </c>
      <c r="E228" s="2" t="s">
        <v>3856</v>
      </c>
      <c r="F228" t="s">
        <v>3293</v>
      </c>
    </row>
    <row r="229" spans="1:6" x14ac:dyDescent="0.25">
      <c r="A229" t="s">
        <v>2617</v>
      </c>
      <c r="B229" t="str">
        <f>UPPER(TRIM(MID(A229, 2, SEARCH(",",A229) - 3)))</f>
        <v>MATERIALIZED</v>
      </c>
      <c r="C229" t="s">
        <v>3451</v>
      </c>
      <c r="D229" t="s">
        <v>3295</v>
      </c>
      <c r="E229" s="2" t="s">
        <v>3856</v>
      </c>
      <c r="F229" t="s">
        <v>3293</v>
      </c>
    </row>
    <row r="230" spans="1:6" x14ac:dyDescent="0.25">
      <c r="A230" t="s">
        <v>2618</v>
      </c>
      <c r="B230" t="str">
        <f>UPPER(TRIM(MID(A230, 2, SEARCH(",",A230) - 3)))</f>
        <v>MAXVALUE</v>
      </c>
      <c r="C230" t="s">
        <v>3452</v>
      </c>
      <c r="D230" t="s">
        <v>3295</v>
      </c>
      <c r="E230" s="2" t="s">
        <v>3856</v>
      </c>
      <c r="F230" t="s">
        <v>3293</v>
      </c>
    </row>
    <row r="231" spans="1:6" x14ac:dyDescent="0.25">
      <c r="A231" t="s">
        <v>2619</v>
      </c>
      <c r="B231" t="str">
        <f>UPPER(TRIM(MID(A231, 2, SEARCH(",",A231) - 3)))</f>
        <v>MERGE</v>
      </c>
      <c r="C231" t="s">
        <v>3453</v>
      </c>
      <c r="D231" t="s">
        <v>3295</v>
      </c>
      <c r="E231" s="2" t="s">
        <v>3856</v>
      </c>
      <c r="F231" t="s">
        <v>3293</v>
      </c>
    </row>
    <row r="232" spans="1:6" x14ac:dyDescent="0.25">
      <c r="A232" t="s">
        <v>2620</v>
      </c>
      <c r="B232" t="str">
        <f>UPPER(TRIM(MID(A232, 2, SEARCH(",",A232) - 3)))</f>
        <v>METHOD</v>
      </c>
      <c r="C232" t="s">
        <v>3454</v>
      </c>
      <c r="D232" t="s">
        <v>3295</v>
      </c>
      <c r="E232" s="2" t="s">
        <v>3856</v>
      </c>
      <c r="F232" t="s">
        <v>3293</v>
      </c>
    </row>
    <row r="233" spans="1:6" x14ac:dyDescent="0.25">
      <c r="A233" t="s">
        <v>2621</v>
      </c>
      <c r="B233" t="str">
        <f>UPPER(TRIM(MID(A233, 2, SEARCH(",",A233) - 3)))</f>
        <v>MINUTE</v>
      </c>
      <c r="C233" t="s">
        <v>2999</v>
      </c>
      <c r="D233" t="s">
        <v>3300</v>
      </c>
      <c r="E233" s="2" t="s">
        <v>3856</v>
      </c>
      <c r="F233" t="s">
        <v>3294</v>
      </c>
    </row>
    <row r="234" spans="1:6" x14ac:dyDescent="0.25">
      <c r="A234" t="s">
        <v>2622</v>
      </c>
      <c r="B234" t="str">
        <f>UPPER(TRIM(MID(A234, 2, SEARCH(",",A234) - 3)))</f>
        <v>MINVALUE</v>
      </c>
      <c r="C234" t="s">
        <v>3455</v>
      </c>
      <c r="D234" t="s">
        <v>3295</v>
      </c>
      <c r="E234" s="2" t="s">
        <v>3856</v>
      </c>
      <c r="F234" t="s">
        <v>3293</v>
      </c>
    </row>
    <row r="235" spans="1:6" x14ac:dyDescent="0.25">
      <c r="A235" t="s">
        <v>2623</v>
      </c>
      <c r="B235" t="str">
        <f>UPPER(TRIM(MID(A235, 2, SEARCH(",",A235) - 3)))</f>
        <v>MODE</v>
      </c>
      <c r="C235" t="s">
        <v>3456</v>
      </c>
      <c r="D235" t="s">
        <v>3295</v>
      </c>
      <c r="E235" s="2" t="s">
        <v>3856</v>
      </c>
      <c r="F235" t="s">
        <v>3293</v>
      </c>
    </row>
    <row r="236" spans="1:6" x14ac:dyDescent="0.25">
      <c r="A236" t="s">
        <v>2624</v>
      </c>
      <c r="B236" t="str">
        <f>UPPER(TRIM(MID(A236, 2, SEARCH(",",A236) - 3)))</f>
        <v>MONTH</v>
      </c>
      <c r="C236" t="s">
        <v>3001</v>
      </c>
      <c r="D236" t="s">
        <v>3300</v>
      </c>
      <c r="E236" s="2" t="s">
        <v>3856</v>
      </c>
      <c r="F236" t="s">
        <v>3294</v>
      </c>
    </row>
    <row r="237" spans="1:6" x14ac:dyDescent="0.25">
      <c r="A237" t="s">
        <v>2625</v>
      </c>
      <c r="B237" t="str">
        <f>UPPER(TRIM(MID(A237, 2, SEARCH(",",A237) - 3)))</f>
        <v>MOVE</v>
      </c>
      <c r="C237" t="s">
        <v>3457</v>
      </c>
      <c r="D237" t="s">
        <v>3295</v>
      </c>
      <c r="E237" s="2" t="s">
        <v>3856</v>
      </c>
      <c r="F237" t="s">
        <v>3293</v>
      </c>
    </row>
    <row r="238" spans="1:6" x14ac:dyDescent="0.25">
      <c r="A238" t="s">
        <v>2626</v>
      </c>
      <c r="B238" t="str">
        <f>UPPER(TRIM(MID(A238, 2, SEARCH(",",A238) - 3)))</f>
        <v>NAME</v>
      </c>
      <c r="C238" t="s">
        <v>3458</v>
      </c>
      <c r="D238" t="s">
        <v>3295</v>
      </c>
      <c r="E238" s="2" t="s">
        <v>3856</v>
      </c>
      <c r="F238" t="s">
        <v>3293</v>
      </c>
    </row>
    <row r="239" spans="1:6" x14ac:dyDescent="0.25">
      <c r="A239" t="s">
        <v>2627</v>
      </c>
      <c r="B239" t="str">
        <f>UPPER(TRIM(MID(A239, 2, SEARCH(",",A239) - 3)))</f>
        <v>NAMES</v>
      </c>
      <c r="C239" t="s">
        <v>3459</v>
      </c>
      <c r="D239" t="s">
        <v>3295</v>
      </c>
      <c r="E239" s="2" t="s">
        <v>3856</v>
      </c>
      <c r="F239" t="s">
        <v>3293</v>
      </c>
    </row>
    <row r="240" spans="1:6" x14ac:dyDescent="0.25">
      <c r="A240" t="s">
        <v>2852</v>
      </c>
      <c r="B240" t="str">
        <f>UPPER(TRIM(MID(A240, 2, SEARCH(",",A240) - 3)))</f>
        <v>NATIONAL</v>
      </c>
      <c r="C240" t="s">
        <v>3460</v>
      </c>
      <c r="D240" t="s">
        <v>3298</v>
      </c>
      <c r="E240" s="3" t="s">
        <v>3292</v>
      </c>
      <c r="F240" t="s">
        <v>3293</v>
      </c>
    </row>
    <row r="241" spans="1:6" x14ac:dyDescent="0.25">
      <c r="A241" t="s">
        <v>2825</v>
      </c>
      <c r="B241" t="str">
        <f>UPPER(TRIM(MID(A241, 2, SEARCH(",",A241) - 3)))</f>
        <v>NATURAL</v>
      </c>
      <c r="C241" t="s">
        <v>3199</v>
      </c>
      <c r="D241" t="s">
        <v>3304</v>
      </c>
      <c r="E241" s="3" t="s">
        <v>3303</v>
      </c>
      <c r="F241" t="s">
        <v>3293</v>
      </c>
    </row>
    <row r="242" spans="1:6" x14ac:dyDescent="0.25">
      <c r="A242" t="s">
        <v>2853</v>
      </c>
      <c r="B242" t="str">
        <f>UPPER(TRIM(MID(A242, 2, SEARCH(",",A242) - 3)))</f>
        <v>NCHAR</v>
      </c>
      <c r="C242" t="s">
        <v>3461</v>
      </c>
      <c r="D242" t="s">
        <v>3298</v>
      </c>
      <c r="E242" s="3" t="s">
        <v>3292</v>
      </c>
      <c r="F242" t="s">
        <v>3293</v>
      </c>
    </row>
    <row r="243" spans="1:6" x14ac:dyDescent="0.25">
      <c r="A243" t="s">
        <v>2628</v>
      </c>
      <c r="B243" t="str">
        <f>UPPER(TRIM(MID(A243, 2, SEARCH(",",A243) - 3)))</f>
        <v>NEW</v>
      </c>
      <c r="C243" t="s">
        <v>3462</v>
      </c>
      <c r="D243" t="s">
        <v>3295</v>
      </c>
      <c r="E243" s="2" t="s">
        <v>3856</v>
      </c>
      <c r="F243" t="s">
        <v>3293</v>
      </c>
    </row>
    <row r="244" spans="1:6" x14ac:dyDescent="0.25">
      <c r="A244" t="s">
        <v>2629</v>
      </c>
      <c r="B244" t="str">
        <f>UPPER(TRIM(MID(A244, 2, SEARCH(",",A244) - 3)))</f>
        <v>NEXT</v>
      </c>
      <c r="C244" t="s">
        <v>3463</v>
      </c>
      <c r="D244" t="s">
        <v>3295</v>
      </c>
      <c r="E244" s="2" t="s">
        <v>3856</v>
      </c>
      <c r="F244" t="s">
        <v>3293</v>
      </c>
    </row>
    <row r="245" spans="1:6" x14ac:dyDescent="0.25">
      <c r="A245" t="s">
        <v>2630</v>
      </c>
      <c r="B245" t="str">
        <f>UPPER(TRIM(MID(A245, 2, SEARCH(",",A245) - 3)))</f>
        <v>NFC</v>
      </c>
      <c r="C245" t="s">
        <v>3464</v>
      </c>
      <c r="D245" t="s">
        <v>3295</v>
      </c>
      <c r="E245" s="2" t="s">
        <v>3856</v>
      </c>
      <c r="F245" t="s">
        <v>3293</v>
      </c>
    </row>
    <row r="246" spans="1:6" x14ac:dyDescent="0.25">
      <c r="A246" t="s">
        <v>2631</v>
      </c>
      <c r="B246" t="str">
        <f>UPPER(TRIM(MID(A246, 2, SEARCH(",",A246) - 3)))</f>
        <v>NFD</v>
      </c>
      <c r="C246" t="s">
        <v>3465</v>
      </c>
      <c r="D246" t="s">
        <v>3295</v>
      </c>
      <c r="E246" s="2" t="s">
        <v>3856</v>
      </c>
      <c r="F246" t="s">
        <v>3293</v>
      </c>
    </row>
    <row r="247" spans="1:6" x14ac:dyDescent="0.25">
      <c r="A247" t="s">
        <v>2632</v>
      </c>
      <c r="B247" t="str">
        <f>UPPER(TRIM(MID(A247, 2, SEARCH(",",A247) - 3)))</f>
        <v>NFKC</v>
      </c>
      <c r="C247" t="s">
        <v>3466</v>
      </c>
      <c r="D247" t="s">
        <v>3295</v>
      </c>
      <c r="E247" s="2" t="s">
        <v>3856</v>
      </c>
      <c r="F247" t="s">
        <v>3293</v>
      </c>
    </row>
    <row r="248" spans="1:6" x14ac:dyDescent="0.25">
      <c r="A248" t="s">
        <v>2633</v>
      </c>
      <c r="B248" t="str">
        <f>UPPER(TRIM(MID(A248, 2, SEARCH(",",A248) - 3)))</f>
        <v>NFKD</v>
      </c>
      <c r="C248" t="s">
        <v>3467</v>
      </c>
      <c r="D248" t="s">
        <v>3295</v>
      </c>
      <c r="E248" s="2" t="s">
        <v>3856</v>
      </c>
      <c r="F248" t="s">
        <v>3293</v>
      </c>
    </row>
    <row r="249" spans="1:6" x14ac:dyDescent="0.25">
      <c r="A249" t="s">
        <v>2634</v>
      </c>
      <c r="B249" t="str">
        <f>UPPER(TRIM(MID(A249, 2, SEARCH(",",A249) - 3)))</f>
        <v>NO</v>
      </c>
      <c r="C249" t="s">
        <v>3468</v>
      </c>
      <c r="D249" t="s">
        <v>3295</v>
      </c>
      <c r="E249" s="2" t="s">
        <v>3856</v>
      </c>
      <c r="F249" t="s">
        <v>3293</v>
      </c>
    </row>
    <row r="250" spans="1:6" x14ac:dyDescent="0.25">
      <c r="A250" t="s">
        <v>2854</v>
      </c>
      <c r="B250" t="str">
        <f>UPPER(TRIM(MID(A250, 2, SEARCH(",",A250) - 3)))</f>
        <v>NONE</v>
      </c>
      <c r="C250" t="s">
        <v>3469</v>
      </c>
      <c r="D250" t="s">
        <v>3298</v>
      </c>
      <c r="E250" s="3" t="s">
        <v>3292</v>
      </c>
      <c r="F250" t="s">
        <v>3293</v>
      </c>
    </row>
    <row r="251" spans="1:6" x14ac:dyDescent="0.25">
      <c r="A251" t="s">
        <v>2855</v>
      </c>
      <c r="B251" t="str">
        <f>UPPER(TRIM(MID(A251, 2, SEARCH(",",A251) - 3)))</f>
        <v>NORMALIZE</v>
      </c>
      <c r="C251" t="s">
        <v>3470</v>
      </c>
      <c r="D251" t="s">
        <v>3298</v>
      </c>
      <c r="E251" s="3" t="s">
        <v>3292</v>
      </c>
      <c r="F251" t="s">
        <v>3293</v>
      </c>
    </row>
    <row r="252" spans="1:6" x14ac:dyDescent="0.25">
      <c r="A252" t="s">
        <v>2635</v>
      </c>
      <c r="B252" t="str">
        <f>UPPER(TRIM(MID(A252, 2, SEARCH(",",A252) - 3)))</f>
        <v>NORMALIZED</v>
      </c>
      <c r="C252" t="s">
        <v>3471</v>
      </c>
      <c r="D252" t="s">
        <v>3295</v>
      </c>
      <c r="E252" s="2" t="s">
        <v>3856</v>
      </c>
      <c r="F252" t="s">
        <v>3293</v>
      </c>
    </row>
    <row r="253" spans="1:6" x14ac:dyDescent="0.25">
      <c r="A253" t="s">
        <v>2636</v>
      </c>
      <c r="B253" t="str">
        <f>UPPER(TRIM(MID(A253, 2, SEARCH(",",A253) - 3)))</f>
        <v>NOT</v>
      </c>
      <c r="C253" t="s">
        <v>3200</v>
      </c>
      <c r="D253" t="s">
        <v>3296</v>
      </c>
      <c r="E253" s="3" t="s">
        <v>3291</v>
      </c>
      <c r="F253" t="s">
        <v>3293</v>
      </c>
    </row>
    <row r="254" spans="1:6" x14ac:dyDescent="0.25">
      <c r="A254" t="s">
        <v>2637</v>
      </c>
      <c r="B254" t="str">
        <f>UPPER(TRIM(MID(A254, 2, SEARCH(",",A254) - 3)))</f>
        <v>NOTHING</v>
      </c>
      <c r="C254" t="s">
        <v>3472</v>
      </c>
      <c r="D254" t="s">
        <v>3295</v>
      </c>
      <c r="E254" s="2" t="s">
        <v>3856</v>
      </c>
      <c r="F254" t="s">
        <v>3293</v>
      </c>
    </row>
    <row r="255" spans="1:6" x14ac:dyDescent="0.25">
      <c r="A255" t="s">
        <v>2638</v>
      </c>
      <c r="B255" t="str">
        <f>UPPER(TRIM(MID(A255, 2, SEARCH(",",A255) - 3)))</f>
        <v>NOTIFY</v>
      </c>
      <c r="C255" t="s">
        <v>3473</v>
      </c>
      <c r="D255" t="s">
        <v>3295</v>
      </c>
      <c r="E255" s="2" t="s">
        <v>3856</v>
      </c>
      <c r="F255" t="s">
        <v>3293</v>
      </c>
    </row>
    <row r="256" spans="1:6" x14ac:dyDescent="0.25">
      <c r="A256" t="s">
        <v>2826</v>
      </c>
      <c r="B256" t="str">
        <f>UPPER(TRIM(MID(A256, 2, SEARCH(",",A256) - 3)))</f>
        <v>NOTNULL</v>
      </c>
      <c r="C256" t="s">
        <v>3474</v>
      </c>
      <c r="D256" t="s">
        <v>3305</v>
      </c>
      <c r="E256" s="3" t="s">
        <v>3303</v>
      </c>
      <c r="F256" t="s">
        <v>3294</v>
      </c>
    </row>
    <row r="257" spans="1:6" x14ac:dyDescent="0.25">
      <c r="A257" t="s">
        <v>2639</v>
      </c>
      <c r="B257" t="str">
        <f>UPPER(TRIM(MID(A257, 2, SEARCH(",",A257) - 3)))</f>
        <v>NOWAIT</v>
      </c>
      <c r="C257" t="s">
        <v>3475</v>
      </c>
      <c r="D257" t="s">
        <v>3295</v>
      </c>
      <c r="E257" s="2" t="s">
        <v>3856</v>
      </c>
      <c r="F257" t="s">
        <v>3293</v>
      </c>
    </row>
    <row r="258" spans="1:6" x14ac:dyDescent="0.25">
      <c r="A258" t="s">
        <v>2640</v>
      </c>
      <c r="B258" t="str">
        <f>UPPER(TRIM(MID(A258, 2, SEARCH(",",A258) - 3)))</f>
        <v>NULL</v>
      </c>
      <c r="C258" t="s">
        <v>2407</v>
      </c>
      <c r="D258" t="s">
        <v>3296</v>
      </c>
      <c r="E258" s="3" t="s">
        <v>3291</v>
      </c>
      <c r="F258" t="s">
        <v>3293</v>
      </c>
    </row>
    <row r="259" spans="1:6" x14ac:dyDescent="0.25">
      <c r="A259" t="s">
        <v>2856</v>
      </c>
      <c r="B259" t="str">
        <f>UPPER(TRIM(MID(A259, 2, SEARCH(",",A259) - 3)))</f>
        <v>NULLIF</v>
      </c>
      <c r="C259" t="s">
        <v>3005</v>
      </c>
      <c r="D259" t="s">
        <v>3298</v>
      </c>
      <c r="E259" s="3" t="s">
        <v>3292</v>
      </c>
      <c r="F259" t="s">
        <v>3293</v>
      </c>
    </row>
    <row r="260" spans="1:6" x14ac:dyDescent="0.25">
      <c r="A260" t="s">
        <v>2641</v>
      </c>
      <c r="B260" t="str">
        <f>UPPER(TRIM(MID(A260, 2, SEARCH(",",A260) - 3)))</f>
        <v>NULLS</v>
      </c>
      <c r="C260" t="s">
        <v>3476</v>
      </c>
      <c r="D260" t="s">
        <v>3295</v>
      </c>
      <c r="E260" s="2" t="s">
        <v>3856</v>
      </c>
      <c r="F260" t="s">
        <v>3293</v>
      </c>
    </row>
    <row r="261" spans="1:6" x14ac:dyDescent="0.25">
      <c r="A261" t="s">
        <v>2857</v>
      </c>
      <c r="B261" t="str">
        <f>UPPER(TRIM(MID(A261, 2, SEARCH(",",A261) - 3)))</f>
        <v>NUMERIC</v>
      </c>
      <c r="C261" t="s">
        <v>3202</v>
      </c>
      <c r="D261" t="s">
        <v>3298</v>
      </c>
      <c r="E261" s="3" t="s">
        <v>3292</v>
      </c>
      <c r="F261" t="s">
        <v>3293</v>
      </c>
    </row>
    <row r="262" spans="1:6" x14ac:dyDescent="0.25">
      <c r="A262" t="s">
        <v>2642</v>
      </c>
      <c r="B262" t="str">
        <f>UPPER(TRIM(MID(A262, 2, SEARCH(",",A262) - 3)))</f>
        <v>OBJECT</v>
      </c>
      <c r="C262" t="s">
        <v>3477</v>
      </c>
      <c r="D262" t="s">
        <v>3295</v>
      </c>
      <c r="E262" s="2" t="s">
        <v>3856</v>
      </c>
      <c r="F262" t="s">
        <v>3293</v>
      </c>
    </row>
    <row r="263" spans="1:6" x14ac:dyDescent="0.25">
      <c r="A263" t="s">
        <v>2643</v>
      </c>
      <c r="B263" t="str">
        <f>UPPER(TRIM(MID(A263, 2, SEARCH(",",A263) - 3)))</f>
        <v>OF</v>
      </c>
      <c r="C263" t="s">
        <v>3478</v>
      </c>
      <c r="D263" t="s">
        <v>3295</v>
      </c>
      <c r="E263" s="2" t="s">
        <v>3856</v>
      </c>
      <c r="F263" t="s">
        <v>3293</v>
      </c>
    </row>
    <row r="264" spans="1:6" x14ac:dyDescent="0.25">
      <c r="A264" t="s">
        <v>2644</v>
      </c>
      <c r="B264" t="str">
        <f>UPPER(TRIM(MID(A264, 2, SEARCH(",",A264) - 3)))</f>
        <v>OFF</v>
      </c>
      <c r="C264" t="s">
        <v>3479</v>
      </c>
      <c r="D264" t="s">
        <v>3295</v>
      </c>
      <c r="E264" s="2" t="s">
        <v>3856</v>
      </c>
      <c r="F264" t="s">
        <v>3293</v>
      </c>
    </row>
    <row r="265" spans="1:6" x14ac:dyDescent="0.25">
      <c r="A265" t="s">
        <v>2645</v>
      </c>
      <c r="B265" t="str">
        <f>UPPER(TRIM(MID(A265, 2, SEARCH(",",A265) - 3)))</f>
        <v>OFFSET</v>
      </c>
      <c r="C265" t="s">
        <v>3480</v>
      </c>
      <c r="D265" t="s">
        <v>3297</v>
      </c>
      <c r="E265" s="3" t="s">
        <v>3291</v>
      </c>
      <c r="F265" t="s">
        <v>3294</v>
      </c>
    </row>
    <row r="266" spans="1:6" x14ac:dyDescent="0.25">
      <c r="A266" t="s">
        <v>2646</v>
      </c>
      <c r="B266" t="str">
        <f>UPPER(TRIM(MID(A266, 2, SEARCH(",",A266) - 3)))</f>
        <v>OIDS</v>
      </c>
      <c r="C266" t="s">
        <v>3481</v>
      </c>
      <c r="D266" t="s">
        <v>3295</v>
      </c>
      <c r="E266" s="2" t="s">
        <v>3856</v>
      </c>
      <c r="F266" t="s">
        <v>3293</v>
      </c>
    </row>
    <row r="267" spans="1:6" x14ac:dyDescent="0.25">
      <c r="A267" t="s">
        <v>2647</v>
      </c>
      <c r="B267" t="str">
        <f>UPPER(TRIM(MID(A267, 2, SEARCH(",",A267) - 3)))</f>
        <v>OLD</v>
      </c>
      <c r="C267" t="s">
        <v>3482</v>
      </c>
      <c r="D267" t="s">
        <v>3295</v>
      </c>
      <c r="E267" s="2" t="s">
        <v>3856</v>
      </c>
      <c r="F267" t="s">
        <v>3293</v>
      </c>
    </row>
    <row r="268" spans="1:6" x14ac:dyDescent="0.25">
      <c r="A268" t="s">
        <v>2648</v>
      </c>
      <c r="B268" t="str">
        <f>UPPER(TRIM(MID(A268, 2, SEARCH(",",A268) - 3)))</f>
        <v>ON</v>
      </c>
      <c r="C268" t="s">
        <v>3203</v>
      </c>
      <c r="D268" t="s">
        <v>3297</v>
      </c>
      <c r="E268" s="3" t="s">
        <v>3291</v>
      </c>
      <c r="F268" t="s">
        <v>3294</v>
      </c>
    </row>
    <row r="269" spans="1:6" x14ac:dyDescent="0.25">
      <c r="A269" t="s">
        <v>2649</v>
      </c>
      <c r="B269" t="str">
        <f>UPPER(TRIM(MID(A269, 2, SEARCH(",",A269) - 3)))</f>
        <v>ONLY</v>
      </c>
      <c r="C269" t="s">
        <v>3483</v>
      </c>
      <c r="D269" t="s">
        <v>3296</v>
      </c>
      <c r="E269" s="3" t="s">
        <v>3291</v>
      </c>
      <c r="F269" t="s">
        <v>3293</v>
      </c>
    </row>
    <row r="270" spans="1:6" x14ac:dyDescent="0.25">
      <c r="A270" t="s">
        <v>2650</v>
      </c>
      <c r="B270" t="str">
        <f>UPPER(TRIM(MID(A270, 2, SEARCH(",",A270) - 3)))</f>
        <v>OPERATOR</v>
      </c>
      <c r="C270" t="s">
        <v>3484</v>
      </c>
      <c r="D270" t="s">
        <v>3295</v>
      </c>
      <c r="E270" s="2" t="s">
        <v>3856</v>
      </c>
      <c r="F270" t="s">
        <v>3293</v>
      </c>
    </row>
    <row r="271" spans="1:6" x14ac:dyDescent="0.25">
      <c r="A271" t="s">
        <v>2651</v>
      </c>
      <c r="B271" t="str">
        <f>UPPER(TRIM(MID(A271, 2, SEARCH(",",A271) - 3)))</f>
        <v>OPTION</v>
      </c>
      <c r="C271" t="s">
        <v>3205</v>
      </c>
      <c r="D271" t="s">
        <v>3295</v>
      </c>
      <c r="E271" s="2" t="s">
        <v>3856</v>
      </c>
      <c r="F271" t="s">
        <v>3293</v>
      </c>
    </row>
    <row r="272" spans="1:6" x14ac:dyDescent="0.25">
      <c r="A272" t="s">
        <v>2652</v>
      </c>
      <c r="B272" t="str">
        <f>UPPER(TRIM(MID(A272, 2, SEARCH(",",A272) - 3)))</f>
        <v>OPTIONS</v>
      </c>
      <c r="C272" t="s">
        <v>3485</v>
      </c>
      <c r="D272" t="s">
        <v>3295</v>
      </c>
      <c r="E272" s="2" t="s">
        <v>3856</v>
      </c>
      <c r="F272" t="s">
        <v>3293</v>
      </c>
    </row>
    <row r="273" spans="1:6" x14ac:dyDescent="0.25">
      <c r="A273" t="s">
        <v>2653</v>
      </c>
      <c r="B273" t="str">
        <f>UPPER(TRIM(MID(A273, 2, SEARCH(",",A273) - 3)))</f>
        <v>OR</v>
      </c>
      <c r="C273" t="s">
        <v>3207</v>
      </c>
      <c r="D273" t="s">
        <v>3296</v>
      </c>
      <c r="E273" s="3" t="s">
        <v>3291</v>
      </c>
      <c r="F273" t="s">
        <v>3293</v>
      </c>
    </row>
    <row r="274" spans="1:6" x14ac:dyDescent="0.25">
      <c r="A274" t="s">
        <v>2654</v>
      </c>
      <c r="B274" t="str">
        <f>UPPER(TRIM(MID(A274, 2, SEARCH(",",A274) - 3)))</f>
        <v>ORDER</v>
      </c>
      <c r="C274" t="s">
        <v>3208</v>
      </c>
      <c r="D274" t="s">
        <v>3297</v>
      </c>
      <c r="E274" s="3" t="s">
        <v>3291</v>
      </c>
      <c r="F274" t="s">
        <v>3294</v>
      </c>
    </row>
    <row r="275" spans="1:6" x14ac:dyDescent="0.25">
      <c r="A275" t="s">
        <v>2655</v>
      </c>
      <c r="B275" t="str">
        <f>UPPER(TRIM(MID(A275, 2, SEARCH(",",A275) - 3)))</f>
        <v>ORDINALITY</v>
      </c>
      <c r="C275" t="s">
        <v>3486</v>
      </c>
      <c r="D275" t="s">
        <v>3295</v>
      </c>
      <c r="E275" s="2" t="s">
        <v>3856</v>
      </c>
      <c r="F275" t="s">
        <v>3293</v>
      </c>
    </row>
    <row r="276" spans="1:6" x14ac:dyDescent="0.25">
      <c r="A276" t="s">
        <v>2656</v>
      </c>
      <c r="B276" t="str">
        <f>UPPER(TRIM(MID(A276, 2, SEARCH(",",A276) - 3)))</f>
        <v>OTHERS</v>
      </c>
      <c r="C276" t="s">
        <v>3487</v>
      </c>
      <c r="D276" t="s">
        <v>3295</v>
      </c>
      <c r="E276" s="2" t="s">
        <v>3856</v>
      </c>
      <c r="F276" t="s">
        <v>3293</v>
      </c>
    </row>
    <row r="277" spans="1:6" x14ac:dyDescent="0.25">
      <c r="A277" t="s">
        <v>2858</v>
      </c>
      <c r="B277" t="str">
        <f>UPPER(TRIM(MID(A277, 2, SEARCH(",",A277) - 3)))</f>
        <v>OUT</v>
      </c>
      <c r="C277" t="s">
        <v>3209</v>
      </c>
      <c r="D277" t="s">
        <v>3298</v>
      </c>
      <c r="E277" s="3" t="s">
        <v>3292</v>
      </c>
      <c r="F277" t="s">
        <v>3293</v>
      </c>
    </row>
    <row r="278" spans="1:6" x14ac:dyDescent="0.25">
      <c r="A278" t="s">
        <v>2827</v>
      </c>
      <c r="B278" t="str">
        <f>UPPER(TRIM(MID(A278, 2, SEARCH(",",A278) - 3)))</f>
        <v>OUTER</v>
      </c>
      <c r="C278" t="s">
        <v>3210</v>
      </c>
      <c r="D278" t="s">
        <v>3304</v>
      </c>
      <c r="E278" s="3" t="s">
        <v>3303</v>
      </c>
      <c r="F278" t="s">
        <v>3293</v>
      </c>
    </row>
    <row r="279" spans="1:6" x14ac:dyDescent="0.25">
      <c r="A279" t="s">
        <v>2657</v>
      </c>
      <c r="B279" t="str">
        <f>UPPER(TRIM(MID(A279, 2, SEARCH(",",A279) - 3)))</f>
        <v>OVER</v>
      </c>
      <c r="C279" t="s">
        <v>3488</v>
      </c>
      <c r="D279" t="s">
        <v>3300</v>
      </c>
      <c r="E279" s="2" t="s">
        <v>3856</v>
      </c>
      <c r="F279" t="s">
        <v>3294</v>
      </c>
    </row>
    <row r="280" spans="1:6" x14ac:dyDescent="0.25">
      <c r="A280" t="s">
        <v>2828</v>
      </c>
      <c r="B280" t="str">
        <f>UPPER(TRIM(MID(A280, 2, SEARCH(",",A280) - 3)))</f>
        <v>OVERLAPS</v>
      </c>
      <c r="C280" t="s">
        <v>3489</v>
      </c>
      <c r="D280" t="s">
        <v>3305</v>
      </c>
      <c r="E280" s="3" t="s">
        <v>3303</v>
      </c>
      <c r="F280" t="s">
        <v>3294</v>
      </c>
    </row>
    <row r="281" spans="1:6" x14ac:dyDescent="0.25">
      <c r="A281" t="s">
        <v>2859</v>
      </c>
      <c r="B281" t="str">
        <f>UPPER(TRIM(MID(A281, 2, SEARCH(",",A281) - 3)))</f>
        <v>OVERLAY</v>
      </c>
      <c r="C281" t="s">
        <v>3490</v>
      </c>
      <c r="D281" t="s">
        <v>3298</v>
      </c>
      <c r="E281" s="3" t="s">
        <v>3292</v>
      </c>
      <c r="F281" t="s">
        <v>3293</v>
      </c>
    </row>
    <row r="282" spans="1:6" x14ac:dyDescent="0.25">
      <c r="A282" t="s">
        <v>2658</v>
      </c>
      <c r="B282" t="str">
        <f>UPPER(TRIM(MID(A282, 2, SEARCH(",",A282) - 3)))</f>
        <v>OVERRIDING</v>
      </c>
      <c r="C282" t="s">
        <v>3491</v>
      </c>
      <c r="D282" t="s">
        <v>3295</v>
      </c>
      <c r="E282" s="2" t="s">
        <v>3856</v>
      </c>
      <c r="F282" t="s">
        <v>3293</v>
      </c>
    </row>
    <row r="283" spans="1:6" x14ac:dyDescent="0.25">
      <c r="A283" t="s">
        <v>2659</v>
      </c>
      <c r="B283" t="str">
        <f>UPPER(TRIM(MID(A283, 2, SEARCH(",",A283) - 3)))</f>
        <v>OWNED</v>
      </c>
      <c r="C283" t="s">
        <v>3492</v>
      </c>
      <c r="D283" t="s">
        <v>3295</v>
      </c>
      <c r="E283" s="2" t="s">
        <v>3856</v>
      </c>
      <c r="F283" t="s">
        <v>3293</v>
      </c>
    </row>
    <row r="284" spans="1:6" x14ac:dyDescent="0.25">
      <c r="A284" t="s">
        <v>2660</v>
      </c>
      <c r="B284" t="str">
        <f>UPPER(TRIM(MID(A284, 2, SEARCH(",",A284) - 3)))</f>
        <v>OWNER</v>
      </c>
      <c r="C284" t="s">
        <v>3493</v>
      </c>
      <c r="D284" t="s">
        <v>3295</v>
      </c>
      <c r="E284" s="2" t="s">
        <v>3856</v>
      </c>
      <c r="F284" t="s">
        <v>3293</v>
      </c>
    </row>
    <row r="285" spans="1:6" x14ac:dyDescent="0.25">
      <c r="A285" t="s">
        <v>2661</v>
      </c>
      <c r="B285" t="str">
        <f>UPPER(TRIM(MID(A285, 2, SEARCH(",",A285) - 3)))</f>
        <v>PARALLEL</v>
      </c>
      <c r="C285" t="s">
        <v>3494</v>
      </c>
      <c r="D285" t="s">
        <v>3295</v>
      </c>
      <c r="E285" s="2" t="s">
        <v>3856</v>
      </c>
      <c r="F285" t="s">
        <v>3293</v>
      </c>
    </row>
    <row r="286" spans="1:6" x14ac:dyDescent="0.25">
      <c r="A286" t="s">
        <v>2662</v>
      </c>
      <c r="B286" t="str">
        <f>UPPER(TRIM(MID(A286, 2, SEARCH(",",A286) - 3)))</f>
        <v>PARAMETER</v>
      </c>
      <c r="C286" t="s">
        <v>3495</v>
      </c>
      <c r="D286" t="s">
        <v>3295</v>
      </c>
      <c r="E286" s="2" t="s">
        <v>3856</v>
      </c>
      <c r="F286" t="s">
        <v>3293</v>
      </c>
    </row>
    <row r="287" spans="1:6" x14ac:dyDescent="0.25">
      <c r="A287" t="s">
        <v>2663</v>
      </c>
      <c r="B287" t="str">
        <f>UPPER(TRIM(MID(A287, 2, SEARCH(",",A287) - 3)))</f>
        <v>PARSER</v>
      </c>
      <c r="C287" t="s">
        <v>3496</v>
      </c>
      <c r="D287" t="s">
        <v>3295</v>
      </c>
      <c r="E287" s="2" t="s">
        <v>3856</v>
      </c>
      <c r="F287" t="s">
        <v>3293</v>
      </c>
    </row>
    <row r="288" spans="1:6" x14ac:dyDescent="0.25">
      <c r="A288" t="s">
        <v>2664</v>
      </c>
      <c r="B288" t="str">
        <f>UPPER(TRIM(MID(A288, 2, SEARCH(",",A288) - 3)))</f>
        <v>PARTIAL</v>
      </c>
      <c r="C288" t="s">
        <v>3497</v>
      </c>
      <c r="D288" t="s">
        <v>3295</v>
      </c>
      <c r="E288" s="2" t="s">
        <v>3856</v>
      </c>
      <c r="F288" t="s">
        <v>3293</v>
      </c>
    </row>
    <row r="289" spans="1:6" x14ac:dyDescent="0.25">
      <c r="A289" t="s">
        <v>2665</v>
      </c>
      <c r="B289" t="str">
        <f>UPPER(TRIM(MID(A289, 2, SEARCH(",",A289) - 3)))</f>
        <v>PARTITION</v>
      </c>
      <c r="C289" t="s">
        <v>3498</v>
      </c>
      <c r="D289" t="s">
        <v>3295</v>
      </c>
      <c r="E289" s="2" t="s">
        <v>3856</v>
      </c>
      <c r="F289" t="s">
        <v>3293</v>
      </c>
    </row>
    <row r="290" spans="1:6" x14ac:dyDescent="0.25">
      <c r="A290" t="s">
        <v>2666</v>
      </c>
      <c r="B290" t="str">
        <f>UPPER(TRIM(MID(A290, 2, SEARCH(",",A290) - 3)))</f>
        <v>PASSING</v>
      </c>
      <c r="C290" t="s">
        <v>3499</v>
      </c>
      <c r="D290" t="s">
        <v>3295</v>
      </c>
      <c r="E290" s="2" t="s">
        <v>3856</v>
      </c>
      <c r="F290" t="s">
        <v>3293</v>
      </c>
    </row>
    <row r="291" spans="1:6" x14ac:dyDescent="0.25">
      <c r="A291" t="s">
        <v>2667</v>
      </c>
      <c r="B291" t="str">
        <f>UPPER(TRIM(MID(A291, 2, SEARCH(",",A291) - 3)))</f>
        <v>PASSWORD</v>
      </c>
      <c r="C291" t="s">
        <v>3010</v>
      </c>
      <c r="D291" t="s">
        <v>3295</v>
      </c>
      <c r="E291" s="2" t="s">
        <v>3856</v>
      </c>
      <c r="F291" t="s">
        <v>3293</v>
      </c>
    </row>
    <row r="292" spans="1:6" x14ac:dyDescent="0.25">
      <c r="A292" t="s">
        <v>2668</v>
      </c>
      <c r="B292" t="str">
        <f>UPPER(TRIM(MID(A292, 2, SEARCH(",",A292) - 3)))</f>
        <v>PLACING</v>
      </c>
      <c r="C292" t="s">
        <v>3500</v>
      </c>
      <c r="D292" t="s">
        <v>3296</v>
      </c>
      <c r="E292" s="3" t="s">
        <v>3291</v>
      </c>
      <c r="F292" t="s">
        <v>3293</v>
      </c>
    </row>
    <row r="293" spans="1:6" x14ac:dyDescent="0.25">
      <c r="A293" t="s">
        <v>2669</v>
      </c>
      <c r="B293" t="str">
        <f>UPPER(TRIM(MID(A293, 2, SEARCH(",",A293) - 3)))</f>
        <v>PLANS</v>
      </c>
      <c r="C293" t="s">
        <v>3501</v>
      </c>
      <c r="D293" t="s">
        <v>3295</v>
      </c>
      <c r="E293" s="2" t="s">
        <v>3856</v>
      </c>
      <c r="F293" t="s">
        <v>3293</v>
      </c>
    </row>
    <row r="294" spans="1:6" x14ac:dyDescent="0.25">
      <c r="A294" t="s">
        <v>2670</v>
      </c>
      <c r="B294" t="str">
        <f>UPPER(TRIM(MID(A294, 2, SEARCH(",",A294) - 3)))</f>
        <v>POLICY</v>
      </c>
      <c r="C294" t="s">
        <v>3502</v>
      </c>
      <c r="D294" t="s">
        <v>3295</v>
      </c>
      <c r="E294" s="2" t="s">
        <v>3856</v>
      </c>
      <c r="F294" t="s">
        <v>3293</v>
      </c>
    </row>
    <row r="295" spans="1:6" x14ac:dyDescent="0.25">
      <c r="A295" t="s">
        <v>2860</v>
      </c>
      <c r="B295" t="str">
        <f>UPPER(TRIM(MID(A295, 2, SEARCH(",",A295) - 3)))</f>
        <v>POSITION</v>
      </c>
      <c r="C295" t="s">
        <v>3014</v>
      </c>
      <c r="D295" t="s">
        <v>3298</v>
      </c>
      <c r="E295" s="3" t="s">
        <v>3292</v>
      </c>
      <c r="F295" t="s">
        <v>3293</v>
      </c>
    </row>
    <row r="296" spans="1:6" x14ac:dyDescent="0.25">
      <c r="A296" t="s">
        <v>2671</v>
      </c>
      <c r="B296" t="str">
        <f>UPPER(TRIM(MID(A296, 2, SEARCH(",",A296) - 3)))</f>
        <v>PRECEDING</v>
      </c>
      <c r="C296" t="s">
        <v>3503</v>
      </c>
      <c r="D296" t="s">
        <v>3295</v>
      </c>
      <c r="E296" s="2" t="s">
        <v>3856</v>
      </c>
      <c r="F296" t="s">
        <v>3293</v>
      </c>
    </row>
    <row r="297" spans="1:6" x14ac:dyDescent="0.25">
      <c r="A297" t="s">
        <v>2861</v>
      </c>
      <c r="B297" t="str">
        <f>UPPER(TRIM(MID(A297, 2, SEARCH(",",A297) - 3)))</f>
        <v>PRECISION</v>
      </c>
      <c r="C297" t="s">
        <v>3212</v>
      </c>
      <c r="D297" t="s">
        <v>3299</v>
      </c>
      <c r="E297" s="3" t="s">
        <v>3292</v>
      </c>
      <c r="F297" t="s">
        <v>3294</v>
      </c>
    </row>
    <row r="298" spans="1:6" x14ac:dyDescent="0.25">
      <c r="A298" t="s">
        <v>2672</v>
      </c>
      <c r="B298" t="str">
        <f>UPPER(TRIM(MID(A298, 2, SEARCH(",",A298) - 3)))</f>
        <v>PREPARE</v>
      </c>
      <c r="C298" t="s">
        <v>3504</v>
      </c>
      <c r="D298" t="s">
        <v>3295</v>
      </c>
      <c r="E298" s="2" t="s">
        <v>3856</v>
      </c>
      <c r="F298" t="s">
        <v>3293</v>
      </c>
    </row>
    <row r="299" spans="1:6" x14ac:dyDescent="0.25">
      <c r="A299" t="s">
        <v>2673</v>
      </c>
      <c r="B299" t="str">
        <f>UPPER(TRIM(MID(A299, 2, SEARCH(",",A299) - 3)))</f>
        <v>PREPARED</v>
      </c>
      <c r="C299" t="s">
        <v>3505</v>
      </c>
      <c r="D299" t="s">
        <v>3295</v>
      </c>
      <c r="E299" s="2" t="s">
        <v>3856</v>
      </c>
      <c r="F299" t="s">
        <v>3293</v>
      </c>
    </row>
    <row r="300" spans="1:6" x14ac:dyDescent="0.25">
      <c r="A300" t="s">
        <v>2674</v>
      </c>
      <c r="B300" t="str">
        <f>UPPER(TRIM(MID(A300, 2, SEARCH(",",A300) - 3)))</f>
        <v>PRESERVE</v>
      </c>
      <c r="C300" t="s">
        <v>3506</v>
      </c>
      <c r="D300" t="s">
        <v>3295</v>
      </c>
      <c r="E300" s="2" t="s">
        <v>3856</v>
      </c>
      <c r="F300" t="s">
        <v>3293</v>
      </c>
    </row>
    <row r="301" spans="1:6" x14ac:dyDescent="0.25">
      <c r="A301" t="s">
        <v>2675</v>
      </c>
      <c r="B301" t="str">
        <f>UPPER(TRIM(MID(A301, 2, SEARCH(",",A301) - 3)))</f>
        <v>PRIMARY</v>
      </c>
      <c r="C301" t="s">
        <v>3213</v>
      </c>
      <c r="D301" t="s">
        <v>3296</v>
      </c>
      <c r="E301" s="3" t="s">
        <v>3291</v>
      </c>
      <c r="F301" t="s">
        <v>3293</v>
      </c>
    </row>
    <row r="302" spans="1:6" x14ac:dyDescent="0.25">
      <c r="A302" t="s">
        <v>2676</v>
      </c>
      <c r="B302" t="str">
        <f>UPPER(TRIM(MID(A302, 2, SEARCH(",",A302) - 3)))</f>
        <v>PRIOR</v>
      </c>
      <c r="C302" t="s">
        <v>3507</v>
      </c>
      <c r="D302" t="s">
        <v>3295</v>
      </c>
      <c r="E302" s="2" t="s">
        <v>3856</v>
      </c>
      <c r="F302" t="s">
        <v>3293</v>
      </c>
    </row>
    <row r="303" spans="1:6" x14ac:dyDescent="0.25">
      <c r="A303" t="s">
        <v>2677</v>
      </c>
      <c r="B303" t="str">
        <f>UPPER(TRIM(MID(A303, 2, SEARCH(",",A303) - 3)))</f>
        <v>PRIVILEGES</v>
      </c>
      <c r="C303" t="s">
        <v>3214</v>
      </c>
      <c r="D303" t="s">
        <v>3295</v>
      </c>
      <c r="E303" s="2" t="s">
        <v>3856</v>
      </c>
      <c r="F303" t="s">
        <v>3293</v>
      </c>
    </row>
    <row r="304" spans="1:6" x14ac:dyDescent="0.25">
      <c r="A304" t="s">
        <v>2678</v>
      </c>
      <c r="B304" t="str">
        <f>UPPER(TRIM(MID(A304, 2, SEARCH(",",A304) - 3)))</f>
        <v>PROCEDURAL</v>
      </c>
      <c r="C304" t="s">
        <v>3508</v>
      </c>
      <c r="D304" t="s">
        <v>3295</v>
      </c>
      <c r="E304" s="2" t="s">
        <v>3856</v>
      </c>
      <c r="F304" t="s">
        <v>3293</v>
      </c>
    </row>
    <row r="305" spans="1:6" x14ac:dyDescent="0.25">
      <c r="A305" t="s">
        <v>2679</v>
      </c>
      <c r="B305" t="str">
        <f>UPPER(TRIM(MID(A305, 2, SEARCH(",",A305) - 3)))</f>
        <v>PROCEDURE</v>
      </c>
      <c r="C305" t="s">
        <v>3215</v>
      </c>
      <c r="D305" t="s">
        <v>3295</v>
      </c>
      <c r="E305" s="2" t="s">
        <v>3856</v>
      </c>
      <c r="F305" t="s">
        <v>3293</v>
      </c>
    </row>
    <row r="306" spans="1:6" x14ac:dyDescent="0.25">
      <c r="A306" t="s">
        <v>2680</v>
      </c>
      <c r="B306" t="str">
        <f>UPPER(TRIM(MID(A306, 2, SEARCH(",",A306) - 3)))</f>
        <v>PROCEDURES</v>
      </c>
      <c r="C306" t="s">
        <v>3509</v>
      </c>
      <c r="D306" t="s">
        <v>3295</v>
      </c>
      <c r="E306" s="2" t="s">
        <v>3856</v>
      </c>
      <c r="F306" t="s">
        <v>3293</v>
      </c>
    </row>
    <row r="307" spans="1:6" x14ac:dyDescent="0.25">
      <c r="A307" t="s">
        <v>2681</v>
      </c>
      <c r="B307" t="str">
        <f>UPPER(TRIM(MID(A307, 2, SEARCH(",",A307) - 3)))</f>
        <v>PROGRAM</v>
      </c>
      <c r="C307" t="s">
        <v>3510</v>
      </c>
      <c r="D307" t="s">
        <v>3295</v>
      </c>
      <c r="E307" s="2" t="s">
        <v>3856</v>
      </c>
      <c r="F307" t="s">
        <v>3293</v>
      </c>
    </row>
    <row r="308" spans="1:6" x14ac:dyDescent="0.25">
      <c r="A308" t="s">
        <v>2682</v>
      </c>
      <c r="B308" t="str">
        <f>UPPER(TRIM(MID(A308, 2, SEARCH(",",A308) - 3)))</f>
        <v>PUBLICATION</v>
      </c>
      <c r="C308" t="s">
        <v>3511</v>
      </c>
      <c r="D308" t="s">
        <v>3295</v>
      </c>
      <c r="E308" s="2" t="s">
        <v>3856</v>
      </c>
      <c r="F308" t="s">
        <v>3293</v>
      </c>
    </row>
    <row r="309" spans="1:6" x14ac:dyDescent="0.25">
      <c r="A309" t="s">
        <v>2683</v>
      </c>
      <c r="B309" t="str">
        <f>UPPER(TRIM(MID(A309, 2, SEARCH(",",A309) - 3)))</f>
        <v>QUOTE</v>
      </c>
      <c r="C309" t="s">
        <v>3018</v>
      </c>
      <c r="D309" t="s">
        <v>3295</v>
      </c>
      <c r="E309" s="2" t="s">
        <v>3856</v>
      </c>
      <c r="F309" t="s">
        <v>3293</v>
      </c>
    </row>
    <row r="310" spans="1:6" x14ac:dyDescent="0.25">
      <c r="A310" t="s">
        <v>2684</v>
      </c>
      <c r="B310" t="str">
        <f>UPPER(TRIM(MID(A310, 2, SEARCH(",",A310) - 3)))</f>
        <v>RANGE</v>
      </c>
      <c r="C310" t="s">
        <v>3512</v>
      </c>
      <c r="D310" t="s">
        <v>3295</v>
      </c>
      <c r="E310" s="2" t="s">
        <v>3856</v>
      </c>
      <c r="F310" t="s">
        <v>3293</v>
      </c>
    </row>
    <row r="311" spans="1:6" x14ac:dyDescent="0.25">
      <c r="A311" t="s">
        <v>2685</v>
      </c>
      <c r="B311" t="str">
        <f>UPPER(TRIM(MID(A311, 2, SEARCH(",",A311) - 3)))</f>
        <v>READ</v>
      </c>
      <c r="C311" t="s">
        <v>3217</v>
      </c>
      <c r="D311" t="s">
        <v>3295</v>
      </c>
      <c r="E311" s="2" t="s">
        <v>3856</v>
      </c>
      <c r="F311" t="s">
        <v>3293</v>
      </c>
    </row>
    <row r="312" spans="1:6" x14ac:dyDescent="0.25">
      <c r="A312" t="s">
        <v>2862</v>
      </c>
      <c r="B312" t="str">
        <f>UPPER(TRIM(MID(A312, 2, SEARCH(",",A312) - 3)))</f>
        <v>REAL</v>
      </c>
      <c r="C312" t="s">
        <v>3218</v>
      </c>
      <c r="D312" t="s">
        <v>3298</v>
      </c>
      <c r="E312" s="3" t="s">
        <v>3292</v>
      </c>
      <c r="F312" t="s">
        <v>3293</v>
      </c>
    </row>
    <row r="313" spans="1:6" x14ac:dyDescent="0.25">
      <c r="A313" t="s">
        <v>2686</v>
      </c>
      <c r="B313" t="str">
        <f>UPPER(TRIM(MID(A313, 2, SEARCH(",",A313) - 3)))</f>
        <v>REASSIGN</v>
      </c>
      <c r="C313" t="s">
        <v>3513</v>
      </c>
      <c r="D313" t="s">
        <v>3295</v>
      </c>
      <c r="E313" s="2" t="s">
        <v>3856</v>
      </c>
      <c r="F313" t="s">
        <v>3293</v>
      </c>
    </row>
    <row r="314" spans="1:6" x14ac:dyDescent="0.25">
      <c r="A314" t="s">
        <v>2687</v>
      </c>
      <c r="B314" t="str">
        <f>UPPER(TRIM(MID(A314, 2, SEARCH(",",A314) - 3)))</f>
        <v>RECHECK</v>
      </c>
      <c r="C314" t="s">
        <v>3514</v>
      </c>
      <c r="D314" t="s">
        <v>3295</v>
      </c>
      <c r="E314" s="2" t="s">
        <v>3856</v>
      </c>
      <c r="F314" t="s">
        <v>3293</v>
      </c>
    </row>
    <row r="315" spans="1:6" x14ac:dyDescent="0.25">
      <c r="A315" t="s">
        <v>2688</v>
      </c>
      <c r="B315" t="str">
        <f>UPPER(TRIM(MID(A315, 2, SEARCH(",",A315) - 3)))</f>
        <v>RECURSIVE</v>
      </c>
      <c r="C315" t="s">
        <v>3515</v>
      </c>
      <c r="D315" t="s">
        <v>3295</v>
      </c>
      <c r="E315" s="2" t="s">
        <v>3856</v>
      </c>
      <c r="F315" t="s">
        <v>3293</v>
      </c>
    </row>
    <row r="316" spans="1:6" x14ac:dyDescent="0.25">
      <c r="A316" t="s">
        <v>2689</v>
      </c>
      <c r="B316" t="str">
        <f>UPPER(TRIM(MID(A316, 2, SEARCH(",",A316) - 3)))</f>
        <v>REF</v>
      </c>
      <c r="C316" t="s">
        <v>3516</v>
      </c>
      <c r="D316" t="s">
        <v>3295</v>
      </c>
      <c r="E316" s="2" t="s">
        <v>3856</v>
      </c>
      <c r="F316" t="s">
        <v>3293</v>
      </c>
    </row>
    <row r="317" spans="1:6" x14ac:dyDescent="0.25">
      <c r="A317" t="s">
        <v>2690</v>
      </c>
      <c r="B317" t="str">
        <f>UPPER(TRIM(MID(A317, 2, SEARCH(",",A317) - 3)))</f>
        <v>REFERENCES</v>
      </c>
      <c r="C317" t="s">
        <v>3219</v>
      </c>
      <c r="D317" t="s">
        <v>3296</v>
      </c>
      <c r="E317" s="3" t="s">
        <v>3291</v>
      </c>
      <c r="F317" t="s">
        <v>3293</v>
      </c>
    </row>
    <row r="318" spans="1:6" x14ac:dyDescent="0.25">
      <c r="A318" t="s">
        <v>2691</v>
      </c>
      <c r="B318" t="str">
        <f>UPPER(TRIM(MID(A318, 2, SEARCH(",",A318) - 3)))</f>
        <v>REFERENCING</v>
      </c>
      <c r="C318" t="s">
        <v>3517</v>
      </c>
      <c r="D318" t="s">
        <v>3295</v>
      </c>
      <c r="E318" s="2" t="s">
        <v>3856</v>
      </c>
      <c r="F318" t="s">
        <v>3293</v>
      </c>
    </row>
    <row r="319" spans="1:6" x14ac:dyDescent="0.25">
      <c r="A319" t="s">
        <v>2692</v>
      </c>
      <c r="B319" t="str">
        <f>UPPER(TRIM(MID(A319, 2, SEARCH(",",A319) - 3)))</f>
        <v>REFRESH</v>
      </c>
      <c r="C319" t="s">
        <v>3518</v>
      </c>
      <c r="D319" t="s">
        <v>3295</v>
      </c>
      <c r="E319" s="2" t="s">
        <v>3856</v>
      </c>
      <c r="F319" t="s">
        <v>3293</v>
      </c>
    </row>
    <row r="320" spans="1:6" x14ac:dyDescent="0.25">
      <c r="A320" t="s">
        <v>2693</v>
      </c>
      <c r="B320" t="str">
        <f>UPPER(TRIM(MID(A320, 2, SEARCH(",",A320) - 3)))</f>
        <v>REINDEX</v>
      </c>
      <c r="C320" t="s">
        <v>3519</v>
      </c>
      <c r="D320" t="s">
        <v>3295</v>
      </c>
      <c r="E320" s="2" t="s">
        <v>3856</v>
      </c>
      <c r="F320" t="s">
        <v>3293</v>
      </c>
    </row>
    <row r="321" spans="1:6" x14ac:dyDescent="0.25">
      <c r="A321" t="s">
        <v>2694</v>
      </c>
      <c r="B321" t="str">
        <f>UPPER(TRIM(MID(A321, 2, SEARCH(",",A321) - 3)))</f>
        <v>RELATIVE</v>
      </c>
      <c r="C321" t="s">
        <v>3520</v>
      </c>
      <c r="D321" t="s">
        <v>3295</v>
      </c>
      <c r="E321" s="2" t="s">
        <v>3856</v>
      </c>
      <c r="F321" t="s">
        <v>3293</v>
      </c>
    </row>
    <row r="322" spans="1:6" x14ac:dyDescent="0.25">
      <c r="A322" t="s">
        <v>2695</v>
      </c>
      <c r="B322" t="str">
        <f>UPPER(TRIM(MID(A322, 2, SEARCH(",",A322) - 3)))</f>
        <v>RELEASE</v>
      </c>
      <c r="C322" t="s">
        <v>3521</v>
      </c>
      <c r="D322" t="s">
        <v>3295</v>
      </c>
      <c r="E322" s="2" t="s">
        <v>3856</v>
      </c>
      <c r="F322" t="s">
        <v>3293</v>
      </c>
    </row>
    <row r="323" spans="1:6" x14ac:dyDescent="0.25">
      <c r="A323" t="s">
        <v>2696</v>
      </c>
      <c r="B323" t="str">
        <f>UPPER(TRIM(MID(A323, 2, SEARCH(",",A323) - 3)))</f>
        <v>RENAME</v>
      </c>
      <c r="C323" t="s">
        <v>3221</v>
      </c>
      <c r="D323" t="s">
        <v>3295</v>
      </c>
      <c r="E323" s="2" t="s">
        <v>3856</v>
      </c>
      <c r="F323" t="s">
        <v>3293</v>
      </c>
    </row>
    <row r="324" spans="1:6" x14ac:dyDescent="0.25">
      <c r="A324" t="s">
        <v>2697</v>
      </c>
      <c r="B324" t="str">
        <f>UPPER(TRIM(MID(A324, 2, SEARCH(",",A324) - 3)))</f>
        <v>REPEATABLE</v>
      </c>
      <c r="C324" t="s">
        <v>3522</v>
      </c>
      <c r="D324" t="s">
        <v>3295</v>
      </c>
      <c r="E324" s="2" t="s">
        <v>3856</v>
      </c>
      <c r="F324" t="s">
        <v>3293</v>
      </c>
    </row>
    <row r="325" spans="1:6" x14ac:dyDescent="0.25">
      <c r="A325" t="s">
        <v>2698</v>
      </c>
      <c r="B325" t="str">
        <f>UPPER(TRIM(MID(A325, 2, SEARCH(",",A325) - 3)))</f>
        <v>REPLACE</v>
      </c>
      <c r="C325" t="s">
        <v>3023</v>
      </c>
      <c r="D325" t="s">
        <v>3295</v>
      </c>
      <c r="E325" s="2" t="s">
        <v>3856</v>
      </c>
      <c r="F325" t="s">
        <v>3293</v>
      </c>
    </row>
    <row r="326" spans="1:6" x14ac:dyDescent="0.25">
      <c r="A326" t="s">
        <v>2699</v>
      </c>
      <c r="B326" t="str">
        <f>UPPER(TRIM(MID(A326, 2, SEARCH(",",A326) - 3)))</f>
        <v>REPLICA</v>
      </c>
      <c r="C326" t="s">
        <v>3523</v>
      </c>
      <c r="D326" t="s">
        <v>3295</v>
      </c>
      <c r="E326" s="2" t="s">
        <v>3856</v>
      </c>
      <c r="F326" t="s">
        <v>3293</v>
      </c>
    </row>
    <row r="327" spans="1:6" x14ac:dyDescent="0.25">
      <c r="A327" t="s">
        <v>2700</v>
      </c>
      <c r="B327" t="str">
        <f>UPPER(TRIM(MID(A327, 2, SEARCH(",",A327) - 3)))</f>
        <v>RESET</v>
      </c>
      <c r="C327" t="s">
        <v>3524</v>
      </c>
      <c r="D327" t="s">
        <v>3295</v>
      </c>
      <c r="E327" s="2" t="s">
        <v>3856</v>
      </c>
      <c r="F327" t="s">
        <v>3293</v>
      </c>
    </row>
    <row r="328" spans="1:6" x14ac:dyDescent="0.25">
      <c r="A328" t="s">
        <v>2701</v>
      </c>
      <c r="B328" t="str">
        <f>UPPER(TRIM(MID(A328, 2, SEARCH(",",A328) - 3)))</f>
        <v>RESTART</v>
      </c>
      <c r="C328" t="s">
        <v>3525</v>
      </c>
      <c r="D328" t="s">
        <v>3295</v>
      </c>
      <c r="E328" s="2" t="s">
        <v>3856</v>
      </c>
      <c r="F328" t="s">
        <v>3293</v>
      </c>
    </row>
    <row r="329" spans="1:6" x14ac:dyDescent="0.25">
      <c r="A329" t="s">
        <v>2702</v>
      </c>
      <c r="B329" t="str">
        <f>UPPER(TRIM(MID(A329, 2, SEARCH(",",A329) - 3)))</f>
        <v>RESTRICT</v>
      </c>
      <c r="C329" t="s">
        <v>3223</v>
      </c>
      <c r="D329" t="s">
        <v>3295</v>
      </c>
      <c r="E329" s="2" t="s">
        <v>3856</v>
      </c>
      <c r="F329" t="s">
        <v>3293</v>
      </c>
    </row>
    <row r="330" spans="1:6" x14ac:dyDescent="0.25">
      <c r="A330" t="s">
        <v>2703</v>
      </c>
      <c r="B330" t="str">
        <f>UPPER(TRIM(MID(A330, 2, SEARCH(",",A330) - 3)))</f>
        <v>RETURN</v>
      </c>
      <c r="C330" t="s">
        <v>3224</v>
      </c>
      <c r="D330" t="s">
        <v>3295</v>
      </c>
      <c r="E330" s="2" t="s">
        <v>3856</v>
      </c>
      <c r="F330" t="s">
        <v>3293</v>
      </c>
    </row>
    <row r="331" spans="1:6" x14ac:dyDescent="0.25">
      <c r="A331" t="s">
        <v>2704</v>
      </c>
      <c r="B331" t="str">
        <f>UPPER(TRIM(MID(A331, 2, SEARCH(",",A331) - 3)))</f>
        <v>RETURNING</v>
      </c>
      <c r="C331" t="s">
        <v>3526</v>
      </c>
      <c r="D331" t="s">
        <v>3297</v>
      </c>
      <c r="E331" s="3" t="s">
        <v>3291</v>
      </c>
      <c r="F331" t="s">
        <v>3294</v>
      </c>
    </row>
    <row r="332" spans="1:6" x14ac:dyDescent="0.25">
      <c r="A332" t="s">
        <v>2705</v>
      </c>
      <c r="B332" t="str">
        <f>UPPER(TRIM(MID(A332, 2, SEARCH(",",A332) - 3)))</f>
        <v>RETURNS</v>
      </c>
      <c r="C332" t="s">
        <v>3527</v>
      </c>
      <c r="D332" t="s">
        <v>3295</v>
      </c>
      <c r="E332" s="2" t="s">
        <v>3856</v>
      </c>
      <c r="F332" t="s">
        <v>3293</v>
      </c>
    </row>
    <row r="333" spans="1:6" x14ac:dyDescent="0.25">
      <c r="A333" t="s">
        <v>2706</v>
      </c>
      <c r="B333" t="str">
        <f>UPPER(TRIM(MID(A333, 2, SEARCH(",",A333) - 3)))</f>
        <v>REVOKE</v>
      </c>
      <c r="C333" t="s">
        <v>3225</v>
      </c>
      <c r="D333" t="s">
        <v>3295</v>
      </c>
      <c r="E333" s="2" t="s">
        <v>3856</v>
      </c>
      <c r="F333" t="s">
        <v>3293</v>
      </c>
    </row>
    <row r="334" spans="1:6" x14ac:dyDescent="0.25">
      <c r="A334" t="s">
        <v>2829</v>
      </c>
      <c r="B334" t="str">
        <f>UPPER(TRIM(MID(A334, 2, SEARCH(",",A334) - 3)))</f>
        <v>RIGHT</v>
      </c>
      <c r="C334" t="s">
        <v>3025</v>
      </c>
      <c r="D334" t="s">
        <v>3304</v>
      </c>
      <c r="E334" s="3" t="s">
        <v>3303</v>
      </c>
      <c r="F334" t="s">
        <v>3293</v>
      </c>
    </row>
    <row r="335" spans="1:6" x14ac:dyDescent="0.25">
      <c r="A335" t="s">
        <v>2707</v>
      </c>
      <c r="B335" t="str">
        <f>UPPER(TRIM(MID(A335, 2, SEARCH(",",A335) - 3)))</f>
        <v>ROLE</v>
      </c>
      <c r="C335" t="s">
        <v>3528</v>
      </c>
      <c r="D335" t="s">
        <v>3295</v>
      </c>
      <c r="E335" s="2" t="s">
        <v>3856</v>
      </c>
      <c r="F335" t="s">
        <v>3293</v>
      </c>
    </row>
    <row r="336" spans="1:6" x14ac:dyDescent="0.25">
      <c r="A336" t="s">
        <v>2708</v>
      </c>
      <c r="B336" t="str">
        <f>UPPER(TRIM(MID(A336, 2, SEARCH(",",A336) - 3)))</f>
        <v>ROLLBACK</v>
      </c>
      <c r="C336" t="s">
        <v>3529</v>
      </c>
      <c r="D336" t="s">
        <v>3295</v>
      </c>
      <c r="E336" s="2" t="s">
        <v>3856</v>
      </c>
      <c r="F336" t="s">
        <v>3293</v>
      </c>
    </row>
    <row r="337" spans="1:6" x14ac:dyDescent="0.25">
      <c r="A337" t="s">
        <v>2709</v>
      </c>
      <c r="B337" t="str">
        <f>UPPER(TRIM(MID(A337, 2, SEARCH(",",A337) - 3)))</f>
        <v>ROLLUP</v>
      </c>
      <c r="C337" t="s">
        <v>3530</v>
      </c>
      <c r="D337" t="s">
        <v>3295</v>
      </c>
      <c r="E337" s="2" t="s">
        <v>3856</v>
      </c>
      <c r="F337" t="s">
        <v>3293</v>
      </c>
    </row>
    <row r="338" spans="1:6" x14ac:dyDescent="0.25">
      <c r="A338" t="s">
        <v>2710</v>
      </c>
      <c r="B338" t="str">
        <f>UPPER(TRIM(MID(A338, 2, SEARCH(",",A338) - 3)))</f>
        <v>ROUTINE</v>
      </c>
      <c r="C338" t="s">
        <v>3531</v>
      </c>
      <c r="D338" t="s">
        <v>3295</v>
      </c>
      <c r="E338" s="2" t="s">
        <v>3856</v>
      </c>
      <c r="F338" t="s">
        <v>3293</v>
      </c>
    </row>
    <row r="339" spans="1:6" x14ac:dyDescent="0.25">
      <c r="A339" t="s">
        <v>2711</v>
      </c>
      <c r="B339" t="str">
        <f>UPPER(TRIM(MID(A339, 2, SEARCH(",",A339) - 3)))</f>
        <v>ROUTINES</v>
      </c>
      <c r="C339" t="s">
        <v>3532</v>
      </c>
      <c r="D339" t="s">
        <v>3295</v>
      </c>
      <c r="E339" s="2" t="s">
        <v>3856</v>
      </c>
      <c r="F339" t="s">
        <v>3293</v>
      </c>
    </row>
    <row r="340" spans="1:6" x14ac:dyDescent="0.25">
      <c r="A340" t="s">
        <v>2863</v>
      </c>
      <c r="B340" t="str">
        <f>UPPER(TRIM(MID(A340, 2, SEARCH(",",A340) - 3)))</f>
        <v>ROW</v>
      </c>
      <c r="C340" t="s">
        <v>3533</v>
      </c>
      <c r="D340" t="s">
        <v>3298</v>
      </c>
      <c r="E340" s="3" t="s">
        <v>3292</v>
      </c>
      <c r="F340" t="s">
        <v>3293</v>
      </c>
    </row>
    <row r="341" spans="1:6" x14ac:dyDescent="0.25">
      <c r="A341" t="s">
        <v>2712</v>
      </c>
      <c r="B341" t="str">
        <f>UPPER(TRIM(MID(A341, 2, SEARCH(",",A341) - 3)))</f>
        <v>ROWS</v>
      </c>
      <c r="C341" t="s">
        <v>3534</v>
      </c>
      <c r="D341" t="s">
        <v>3295</v>
      </c>
      <c r="E341" s="2" t="s">
        <v>3856</v>
      </c>
      <c r="F341" t="s">
        <v>3293</v>
      </c>
    </row>
    <row r="342" spans="1:6" x14ac:dyDescent="0.25">
      <c r="A342" t="s">
        <v>2713</v>
      </c>
      <c r="B342" t="str">
        <f>UPPER(TRIM(MID(A342, 2, SEARCH(",",A342) - 3)))</f>
        <v>RULE</v>
      </c>
      <c r="C342" t="s">
        <v>3535</v>
      </c>
      <c r="D342" t="s">
        <v>3295</v>
      </c>
      <c r="E342" s="2" t="s">
        <v>3856</v>
      </c>
      <c r="F342" t="s">
        <v>3293</v>
      </c>
    </row>
    <row r="343" spans="1:6" x14ac:dyDescent="0.25">
      <c r="A343" t="s">
        <v>2714</v>
      </c>
      <c r="B343" t="str">
        <f>UPPER(TRIM(MID(A343, 2, SEARCH(",",A343) - 3)))</f>
        <v>SAVEPOINT</v>
      </c>
      <c r="C343" t="s">
        <v>3536</v>
      </c>
      <c r="D343" t="s">
        <v>3295</v>
      </c>
      <c r="E343" s="2" t="s">
        <v>3856</v>
      </c>
      <c r="F343" t="s">
        <v>3293</v>
      </c>
    </row>
    <row r="344" spans="1:6" x14ac:dyDescent="0.25">
      <c r="A344" t="s">
        <v>2715</v>
      </c>
      <c r="B344" t="str">
        <f>UPPER(TRIM(MID(A344, 2, SEARCH(",",A344) - 3)))</f>
        <v>SCHEMA</v>
      </c>
      <c r="C344" t="s">
        <v>2926</v>
      </c>
      <c r="D344" t="s">
        <v>3295</v>
      </c>
      <c r="E344" s="2" t="s">
        <v>3856</v>
      </c>
      <c r="F344" t="s">
        <v>3293</v>
      </c>
    </row>
    <row r="345" spans="1:6" x14ac:dyDescent="0.25">
      <c r="A345" t="s">
        <v>2716</v>
      </c>
      <c r="B345" t="str">
        <f>UPPER(TRIM(MID(A345, 2, SEARCH(",",A345) - 3)))</f>
        <v>SCHEMAS</v>
      </c>
      <c r="C345" t="s">
        <v>3121</v>
      </c>
      <c r="D345" t="s">
        <v>3295</v>
      </c>
      <c r="E345" s="2" t="s">
        <v>3856</v>
      </c>
      <c r="F345" t="s">
        <v>3293</v>
      </c>
    </row>
    <row r="346" spans="1:6" x14ac:dyDescent="0.25">
      <c r="A346" t="s">
        <v>2717</v>
      </c>
      <c r="B346" t="str">
        <f>UPPER(TRIM(MID(A346, 2, SEARCH(",",A346) - 3)))</f>
        <v>SCROLL</v>
      </c>
      <c r="C346" t="s">
        <v>3537</v>
      </c>
      <c r="D346" t="s">
        <v>3295</v>
      </c>
      <c r="E346" s="2" t="s">
        <v>3856</v>
      </c>
      <c r="F346" t="s">
        <v>3293</v>
      </c>
    </row>
    <row r="347" spans="1:6" x14ac:dyDescent="0.25">
      <c r="A347" t="s">
        <v>2718</v>
      </c>
      <c r="B347" t="str">
        <f>UPPER(TRIM(MID(A347, 2, SEARCH(",",A347) - 3)))</f>
        <v>SEARCH</v>
      </c>
      <c r="C347" t="s">
        <v>3538</v>
      </c>
      <c r="D347" t="s">
        <v>3295</v>
      </c>
      <c r="E347" s="2" t="s">
        <v>3856</v>
      </c>
      <c r="F347" t="s">
        <v>3293</v>
      </c>
    </row>
    <row r="348" spans="1:6" x14ac:dyDescent="0.25">
      <c r="A348" t="s">
        <v>2719</v>
      </c>
      <c r="B348" t="str">
        <f>UPPER(TRIM(MID(A348, 2, SEARCH(",",A348) - 3)))</f>
        <v>SECOND</v>
      </c>
      <c r="C348" t="s">
        <v>3031</v>
      </c>
      <c r="D348" t="s">
        <v>3300</v>
      </c>
      <c r="E348" s="2" t="s">
        <v>3856</v>
      </c>
      <c r="F348" t="s">
        <v>3294</v>
      </c>
    </row>
    <row r="349" spans="1:6" x14ac:dyDescent="0.25">
      <c r="A349" t="s">
        <v>2720</v>
      </c>
      <c r="B349" t="str">
        <f>UPPER(TRIM(MID(A349, 2, SEARCH(",",A349) - 3)))</f>
        <v>SECURITY</v>
      </c>
      <c r="C349" t="s">
        <v>3539</v>
      </c>
      <c r="D349" t="s">
        <v>3295</v>
      </c>
      <c r="E349" s="2" t="s">
        <v>3856</v>
      </c>
      <c r="F349" t="s">
        <v>3293</v>
      </c>
    </row>
    <row r="350" spans="1:6" x14ac:dyDescent="0.25">
      <c r="A350" t="s">
        <v>2721</v>
      </c>
      <c r="B350" t="str">
        <f>UPPER(TRIM(MID(A350, 2, SEARCH(",",A350) - 3)))</f>
        <v>SELECT</v>
      </c>
      <c r="C350" t="s">
        <v>3228</v>
      </c>
      <c r="D350" t="s">
        <v>3296</v>
      </c>
      <c r="E350" s="3" t="s">
        <v>3291</v>
      </c>
      <c r="F350" t="s">
        <v>3293</v>
      </c>
    </row>
    <row r="351" spans="1:6" x14ac:dyDescent="0.25">
      <c r="A351" t="s">
        <v>2722</v>
      </c>
      <c r="B351" t="str">
        <f>UPPER(TRIM(MID(A351, 2, SEARCH(",",A351) - 3)))</f>
        <v>SEQUENCE</v>
      </c>
      <c r="C351" t="s">
        <v>3540</v>
      </c>
      <c r="D351" t="s">
        <v>3295</v>
      </c>
      <c r="E351" s="2" t="s">
        <v>3856</v>
      </c>
      <c r="F351" t="s">
        <v>3293</v>
      </c>
    </row>
    <row r="352" spans="1:6" x14ac:dyDescent="0.25">
      <c r="A352" t="s">
        <v>2723</v>
      </c>
      <c r="B352" t="str">
        <f>UPPER(TRIM(MID(A352, 2, SEARCH(",",A352) - 3)))</f>
        <v>SEQUENCES</v>
      </c>
      <c r="C352" t="s">
        <v>3541</v>
      </c>
      <c r="D352" t="s">
        <v>3295</v>
      </c>
      <c r="E352" s="2" t="s">
        <v>3856</v>
      </c>
      <c r="F352" t="s">
        <v>3293</v>
      </c>
    </row>
    <row r="353" spans="1:6" x14ac:dyDescent="0.25">
      <c r="A353" t="s">
        <v>2724</v>
      </c>
      <c r="B353" t="str">
        <f>UPPER(TRIM(MID(A353, 2, SEARCH(",",A353) - 3)))</f>
        <v>SERIALIZABLE</v>
      </c>
      <c r="C353" t="s">
        <v>3542</v>
      </c>
      <c r="D353" t="s">
        <v>3295</v>
      </c>
      <c r="E353" s="2" t="s">
        <v>3856</v>
      </c>
      <c r="F353" t="s">
        <v>3293</v>
      </c>
    </row>
    <row r="354" spans="1:6" x14ac:dyDescent="0.25">
      <c r="A354" t="s">
        <v>2725</v>
      </c>
      <c r="B354" t="str">
        <f>UPPER(TRIM(MID(A354, 2, SEARCH(",",A354) - 3)))</f>
        <v>SERVER</v>
      </c>
      <c r="C354" t="s">
        <v>3543</v>
      </c>
      <c r="D354" t="s">
        <v>3295</v>
      </c>
      <c r="E354" s="2" t="s">
        <v>3856</v>
      </c>
      <c r="F354" t="s">
        <v>3293</v>
      </c>
    </row>
    <row r="355" spans="1:6" x14ac:dyDescent="0.25">
      <c r="A355" t="s">
        <v>2726</v>
      </c>
      <c r="B355" t="str">
        <f>UPPER(TRIM(MID(A355, 2, SEARCH(",",A355) - 3)))</f>
        <v>SESSION</v>
      </c>
      <c r="C355" t="s">
        <v>3544</v>
      </c>
      <c r="D355" t="s">
        <v>3295</v>
      </c>
      <c r="E355" s="2" t="s">
        <v>3856</v>
      </c>
      <c r="F355" t="s">
        <v>3293</v>
      </c>
    </row>
    <row r="356" spans="1:6" x14ac:dyDescent="0.25">
      <c r="A356" t="s">
        <v>2727</v>
      </c>
      <c r="B356" t="str">
        <f>UPPER(TRIM(MID(A356, 2, SEARCH(",",A356) - 3)))</f>
        <v>SESSION_USER</v>
      </c>
      <c r="C356" t="s">
        <v>3032</v>
      </c>
      <c r="D356" t="s">
        <v>3296</v>
      </c>
      <c r="E356" s="3" t="s">
        <v>3291</v>
      </c>
      <c r="F356" t="s">
        <v>3293</v>
      </c>
    </row>
    <row r="357" spans="1:6" x14ac:dyDescent="0.25">
      <c r="A357" t="s">
        <v>2728</v>
      </c>
      <c r="B357" t="str">
        <f>UPPER(TRIM(MID(A357, 2, SEARCH(",",A357) - 3)))</f>
        <v>SET</v>
      </c>
      <c r="C357" t="s">
        <v>3231</v>
      </c>
      <c r="D357" t="s">
        <v>3295</v>
      </c>
      <c r="E357" s="2" t="s">
        <v>3856</v>
      </c>
      <c r="F357" t="s">
        <v>3293</v>
      </c>
    </row>
    <row r="358" spans="1:6" x14ac:dyDescent="0.25">
      <c r="A358" t="s">
        <v>2864</v>
      </c>
      <c r="B358" t="str">
        <f>UPPER(TRIM(MID(A358, 2, SEARCH(",",A358) - 3)))</f>
        <v>SETOF</v>
      </c>
      <c r="C358" t="s">
        <v>3545</v>
      </c>
      <c r="D358" t="s">
        <v>3298</v>
      </c>
      <c r="E358" s="3" t="s">
        <v>3292</v>
      </c>
      <c r="F358" t="s">
        <v>3293</v>
      </c>
    </row>
    <row r="359" spans="1:6" x14ac:dyDescent="0.25">
      <c r="A359" t="s">
        <v>2729</v>
      </c>
      <c r="B359" t="str">
        <f>UPPER(TRIM(MID(A359, 2, SEARCH(",",A359) - 3)))</f>
        <v>SETS</v>
      </c>
      <c r="C359" t="s">
        <v>3546</v>
      </c>
      <c r="D359" t="s">
        <v>3295</v>
      </c>
      <c r="E359" s="2" t="s">
        <v>3856</v>
      </c>
      <c r="F359" t="s">
        <v>3293</v>
      </c>
    </row>
    <row r="360" spans="1:6" x14ac:dyDescent="0.25">
      <c r="A360" t="s">
        <v>2730</v>
      </c>
      <c r="B360" t="str">
        <f>UPPER(TRIM(MID(A360, 2, SEARCH(",",A360) - 3)))</f>
        <v>SHARE</v>
      </c>
      <c r="C360" t="s">
        <v>3547</v>
      </c>
      <c r="D360" t="s">
        <v>3295</v>
      </c>
      <c r="E360" s="2" t="s">
        <v>3856</v>
      </c>
      <c r="F360" t="s">
        <v>3293</v>
      </c>
    </row>
    <row r="361" spans="1:6" x14ac:dyDescent="0.25">
      <c r="A361" t="s">
        <v>2731</v>
      </c>
      <c r="B361" t="str">
        <f>UPPER(TRIM(MID(A361, 2, SEARCH(",",A361) - 3)))</f>
        <v>SHOW</v>
      </c>
      <c r="C361" t="s">
        <v>3232</v>
      </c>
      <c r="D361" t="s">
        <v>3295</v>
      </c>
      <c r="E361" s="2" t="s">
        <v>3856</v>
      </c>
      <c r="F361" t="s">
        <v>3293</v>
      </c>
    </row>
    <row r="362" spans="1:6" x14ac:dyDescent="0.25">
      <c r="A362" t="s">
        <v>2830</v>
      </c>
      <c r="B362" t="str">
        <f>UPPER(TRIM(MID(A362, 2, SEARCH(",",A362) - 3)))</f>
        <v>SIMILAR</v>
      </c>
      <c r="C362" t="s">
        <v>3548</v>
      </c>
      <c r="D362" t="s">
        <v>3304</v>
      </c>
      <c r="E362" s="3" t="s">
        <v>3303</v>
      </c>
      <c r="F362" t="s">
        <v>3293</v>
      </c>
    </row>
    <row r="363" spans="1:6" x14ac:dyDescent="0.25">
      <c r="A363" t="s">
        <v>2732</v>
      </c>
      <c r="B363" t="str">
        <f>UPPER(TRIM(MID(A363, 2, SEARCH(",",A363) - 3)))</f>
        <v>SIMPLE</v>
      </c>
      <c r="C363" t="s">
        <v>3549</v>
      </c>
      <c r="D363" t="s">
        <v>3295</v>
      </c>
      <c r="E363" s="2" t="s">
        <v>3856</v>
      </c>
      <c r="F363" t="s">
        <v>3293</v>
      </c>
    </row>
    <row r="364" spans="1:6" x14ac:dyDescent="0.25">
      <c r="A364" t="s">
        <v>2733</v>
      </c>
      <c r="B364" t="str">
        <f>UPPER(TRIM(MID(A364, 2, SEARCH(",",A364) - 3)))</f>
        <v>SKIP</v>
      </c>
      <c r="C364" t="s">
        <v>3550</v>
      </c>
      <c r="D364" t="s">
        <v>3295</v>
      </c>
      <c r="E364" s="2" t="s">
        <v>3856</v>
      </c>
      <c r="F364" t="s">
        <v>3293</v>
      </c>
    </row>
    <row r="365" spans="1:6" x14ac:dyDescent="0.25">
      <c r="A365" t="s">
        <v>2865</v>
      </c>
      <c r="B365" t="str">
        <f>UPPER(TRIM(MID(A365, 2, SEARCH(",",A365) - 3)))</f>
        <v>SMALLINT</v>
      </c>
      <c r="C365" t="s">
        <v>3233</v>
      </c>
      <c r="D365" t="s">
        <v>3298</v>
      </c>
      <c r="E365" s="3" t="s">
        <v>3292</v>
      </c>
      <c r="F365" t="s">
        <v>3293</v>
      </c>
    </row>
    <row r="366" spans="1:6" x14ac:dyDescent="0.25">
      <c r="A366" t="s">
        <v>2734</v>
      </c>
      <c r="B366" t="str">
        <f>UPPER(TRIM(MID(A366, 2, SEARCH(",",A366) - 3)))</f>
        <v>SNAPSHOT</v>
      </c>
      <c r="C366" t="s">
        <v>3551</v>
      </c>
      <c r="D366" t="s">
        <v>3295</v>
      </c>
      <c r="E366" s="2" t="s">
        <v>3856</v>
      </c>
      <c r="F366" t="s">
        <v>3293</v>
      </c>
    </row>
    <row r="367" spans="1:6" x14ac:dyDescent="0.25">
      <c r="A367" t="s">
        <v>2735</v>
      </c>
      <c r="B367" t="str">
        <f>UPPER(TRIM(MID(A367, 2, SEARCH(",",A367) - 3)))</f>
        <v>SOME</v>
      </c>
      <c r="C367" t="s">
        <v>3234</v>
      </c>
      <c r="D367" t="s">
        <v>3296</v>
      </c>
      <c r="E367" s="3" t="s">
        <v>3291</v>
      </c>
      <c r="F367" t="s">
        <v>3293</v>
      </c>
    </row>
    <row r="368" spans="1:6" x14ac:dyDescent="0.25">
      <c r="A368" t="s">
        <v>2736</v>
      </c>
      <c r="B368" t="str">
        <f>UPPER(TRIM(MID(A368, 2, SEARCH(",",A368) - 3)))</f>
        <v>SQL</v>
      </c>
      <c r="C368" t="s">
        <v>3238</v>
      </c>
      <c r="D368" t="s">
        <v>3295</v>
      </c>
      <c r="E368" s="2" t="s">
        <v>3856</v>
      </c>
      <c r="F368" t="s">
        <v>3293</v>
      </c>
    </row>
    <row r="369" spans="1:6" x14ac:dyDescent="0.25">
      <c r="A369" t="s">
        <v>2737</v>
      </c>
      <c r="B369" t="str">
        <f>UPPER(TRIM(MID(A369, 2, SEARCH(",",A369) - 3)))</f>
        <v>STABLE</v>
      </c>
      <c r="C369" t="s">
        <v>3552</v>
      </c>
      <c r="D369" t="s">
        <v>3295</v>
      </c>
      <c r="E369" s="2" t="s">
        <v>3856</v>
      </c>
      <c r="F369" t="s">
        <v>3293</v>
      </c>
    </row>
    <row r="370" spans="1:6" x14ac:dyDescent="0.25">
      <c r="A370" t="s">
        <v>2738</v>
      </c>
      <c r="B370" t="str">
        <f>UPPER(TRIM(MID(A370, 2, SEARCH(",",A370) - 3)))</f>
        <v>STANDALONE</v>
      </c>
      <c r="C370" t="s">
        <v>3553</v>
      </c>
      <c r="D370" t="s">
        <v>3295</v>
      </c>
      <c r="E370" s="2" t="s">
        <v>3856</v>
      </c>
      <c r="F370" t="s">
        <v>3293</v>
      </c>
    </row>
    <row r="371" spans="1:6" x14ac:dyDescent="0.25">
      <c r="A371" t="s">
        <v>2739</v>
      </c>
      <c r="B371" t="str">
        <f>UPPER(TRIM(MID(A371, 2, SEARCH(",",A371) - 3)))</f>
        <v>START</v>
      </c>
      <c r="C371" t="s">
        <v>3554</v>
      </c>
      <c r="D371" t="s">
        <v>3295</v>
      </c>
      <c r="E371" s="2" t="s">
        <v>3856</v>
      </c>
      <c r="F371" t="s">
        <v>3293</v>
      </c>
    </row>
    <row r="372" spans="1:6" x14ac:dyDescent="0.25">
      <c r="A372" t="s">
        <v>2740</v>
      </c>
      <c r="B372" t="str">
        <f>UPPER(TRIM(MID(A372, 2, SEARCH(",",A372) - 3)))</f>
        <v>STATEMENT</v>
      </c>
      <c r="C372" t="s">
        <v>3555</v>
      </c>
      <c r="D372" t="s">
        <v>3295</v>
      </c>
      <c r="E372" s="2" t="s">
        <v>3856</v>
      </c>
      <c r="F372" t="s">
        <v>3293</v>
      </c>
    </row>
    <row r="373" spans="1:6" x14ac:dyDescent="0.25">
      <c r="A373" t="s">
        <v>2741</v>
      </c>
      <c r="B373" t="str">
        <f>UPPER(TRIM(MID(A373, 2, SEARCH(",",A373) - 3)))</f>
        <v>STATISTICS</v>
      </c>
      <c r="C373" t="s">
        <v>3556</v>
      </c>
      <c r="D373" t="s">
        <v>3295</v>
      </c>
      <c r="E373" s="2" t="s">
        <v>3856</v>
      </c>
      <c r="F373" t="s">
        <v>3293</v>
      </c>
    </row>
    <row r="374" spans="1:6" x14ac:dyDescent="0.25">
      <c r="A374" t="s">
        <v>2742</v>
      </c>
      <c r="B374" t="str">
        <f>UPPER(TRIM(MID(A374, 2, SEARCH(",",A374) - 3)))</f>
        <v>STDIN</v>
      </c>
      <c r="C374" t="s">
        <v>3557</v>
      </c>
      <c r="D374" t="s">
        <v>3295</v>
      </c>
      <c r="E374" s="2" t="s">
        <v>3856</v>
      </c>
      <c r="F374" t="s">
        <v>3293</v>
      </c>
    </row>
    <row r="375" spans="1:6" x14ac:dyDescent="0.25">
      <c r="A375" t="s">
        <v>2743</v>
      </c>
      <c r="B375" t="str">
        <f>UPPER(TRIM(MID(A375, 2, SEARCH(",",A375) - 3)))</f>
        <v>STDOUT</v>
      </c>
      <c r="C375" t="s">
        <v>3558</v>
      </c>
      <c r="D375" t="s">
        <v>3295</v>
      </c>
      <c r="E375" s="2" t="s">
        <v>3856</v>
      </c>
      <c r="F375" t="s">
        <v>3293</v>
      </c>
    </row>
    <row r="376" spans="1:6" x14ac:dyDescent="0.25">
      <c r="A376" t="s">
        <v>2744</v>
      </c>
      <c r="B376" t="str">
        <f>UPPER(TRIM(MID(A376, 2, SEARCH(",",A376) - 3)))</f>
        <v>STORAGE</v>
      </c>
      <c r="C376" t="s">
        <v>3559</v>
      </c>
      <c r="D376" t="s">
        <v>3295</v>
      </c>
      <c r="E376" s="2" t="s">
        <v>3856</v>
      </c>
      <c r="F376" t="s">
        <v>3293</v>
      </c>
    </row>
    <row r="377" spans="1:6" x14ac:dyDescent="0.25">
      <c r="A377" t="s">
        <v>2745</v>
      </c>
      <c r="B377" t="str">
        <f>UPPER(TRIM(MID(A377, 2, SEARCH(",",A377) - 3)))</f>
        <v>STORED</v>
      </c>
      <c r="C377" t="s">
        <v>3560</v>
      </c>
      <c r="D377" t="s">
        <v>3295</v>
      </c>
      <c r="E377" s="2" t="s">
        <v>3856</v>
      </c>
      <c r="F377" t="s">
        <v>3293</v>
      </c>
    </row>
    <row r="378" spans="1:6" x14ac:dyDescent="0.25">
      <c r="A378" t="s">
        <v>2746</v>
      </c>
      <c r="B378" t="str">
        <f>UPPER(TRIM(MID(A378, 2, SEARCH(",",A378) - 3)))</f>
        <v>STRICT</v>
      </c>
      <c r="C378" t="s">
        <v>3561</v>
      </c>
      <c r="D378" t="s">
        <v>3295</v>
      </c>
      <c r="E378" s="2" t="s">
        <v>3856</v>
      </c>
      <c r="F378" t="s">
        <v>3293</v>
      </c>
    </row>
    <row r="379" spans="1:6" x14ac:dyDescent="0.25">
      <c r="A379" t="s">
        <v>2747</v>
      </c>
      <c r="B379" t="str">
        <f>UPPER(TRIM(MID(A379, 2, SEARCH(",",A379) - 3)))</f>
        <v>STRIP</v>
      </c>
      <c r="C379" t="s">
        <v>3562</v>
      </c>
      <c r="D379" t="s">
        <v>3295</v>
      </c>
      <c r="E379" s="2" t="s">
        <v>3856</v>
      </c>
      <c r="F379" t="s">
        <v>3293</v>
      </c>
    </row>
    <row r="380" spans="1:6" x14ac:dyDescent="0.25">
      <c r="A380" t="s">
        <v>2748</v>
      </c>
      <c r="B380" t="str">
        <f>UPPER(TRIM(MID(A380, 2, SEARCH(",",A380) - 3)))</f>
        <v>SUBSCRIPTION</v>
      </c>
      <c r="C380" t="s">
        <v>3563</v>
      </c>
      <c r="D380" t="s">
        <v>3295</v>
      </c>
      <c r="E380" s="2" t="s">
        <v>3856</v>
      </c>
      <c r="F380" t="s">
        <v>3293</v>
      </c>
    </row>
    <row r="381" spans="1:6" x14ac:dyDescent="0.25">
      <c r="A381" t="s">
        <v>2866</v>
      </c>
      <c r="B381" t="str">
        <f>UPPER(TRIM(MID(A381, 2, SEARCH(",",A381) - 3)))</f>
        <v>SUBSTRING</v>
      </c>
      <c r="C381" t="s">
        <v>3046</v>
      </c>
      <c r="D381" t="s">
        <v>3298</v>
      </c>
      <c r="E381" s="3" t="s">
        <v>3292</v>
      </c>
      <c r="F381" t="s">
        <v>3293</v>
      </c>
    </row>
    <row r="382" spans="1:6" x14ac:dyDescent="0.25">
      <c r="A382" t="s">
        <v>2749</v>
      </c>
      <c r="B382" t="str">
        <f>UPPER(TRIM(MID(A382, 2, SEARCH(",",A382) - 3)))</f>
        <v>SUPPORT</v>
      </c>
      <c r="C382" t="s">
        <v>3564</v>
      </c>
      <c r="D382" t="s">
        <v>3295</v>
      </c>
      <c r="E382" s="2" t="s">
        <v>3856</v>
      </c>
      <c r="F382" t="s">
        <v>3293</v>
      </c>
    </row>
    <row r="383" spans="1:6" x14ac:dyDescent="0.25">
      <c r="A383" t="s">
        <v>2750</v>
      </c>
      <c r="B383" t="str">
        <f>UPPER(TRIM(MID(A383, 2, SEARCH(",",A383) - 3)))</f>
        <v>SYMMETRIC</v>
      </c>
      <c r="C383" t="s">
        <v>3565</v>
      </c>
      <c r="D383" t="s">
        <v>3296</v>
      </c>
      <c r="E383" s="3" t="s">
        <v>3291</v>
      </c>
      <c r="F383" t="s">
        <v>3293</v>
      </c>
    </row>
    <row r="384" spans="1:6" x14ac:dyDescent="0.25">
      <c r="A384" t="s">
        <v>2751</v>
      </c>
      <c r="B384" t="str">
        <f>UPPER(TRIM(MID(A384, 2, SEARCH(",",A384) - 3)))</f>
        <v>SYSID</v>
      </c>
      <c r="C384" t="s">
        <v>3566</v>
      </c>
      <c r="D384" t="s">
        <v>3295</v>
      </c>
      <c r="E384" s="2" t="s">
        <v>3856</v>
      </c>
      <c r="F384" t="s">
        <v>3293</v>
      </c>
    </row>
    <row r="385" spans="1:6" x14ac:dyDescent="0.25">
      <c r="A385" t="s">
        <v>2752</v>
      </c>
      <c r="B385" t="str">
        <f>UPPER(TRIM(MID(A385, 2, SEARCH(",",A385) - 3)))</f>
        <v>SYSTEM</v>
      </c>
      <c r="C385" t="s">
        <v>3567</v>
      </c>
      <c r="D385" t="s">
        <v>3295</v>
      </c>
      <c r="E385" s="2" t="s">
        <v>3856</v>
      </c>
      <c r="F385" t="s">
        <v>3293</v>
      </c>
    </row>
    <row r="386" spans="1:6" x14ac:dyDescent="0.25">
      <c r="A386" t="s">
        <v>2753</v>
      </c>
      <c r="B386" t="str">
        <f>UPPER(TRIM(MID(A386, 2, SEARCH(",",A386) - 3)))</f>
        <v>TABLE</v>
      </c>
      <c r="C386" t="s">
        <v>3258</v>
      </c>
      <c r="D386" t="s">
        <v>3296</v>
      </c>
      <c r="E386" s="3" t="s">
        <v>3291</v>
      </c>
      <c r="F386" t="s">
        <v>3293</v>
      </c>
    </row>
    <row r="387" spans="1:6" x14ac:dyDescent="0.25">
      <c r="A387" t="s">
        <v>2754</v>
      </c>
      <c r="B387" t="str">
        <f>UPPER(TRIM(MID(A387, 2, SEARCH(",",A387) - 3)))</f>
        <v>TABLES</v>
      </c>
      <c r="C387" t="s">
        <v>3259</v>
      </c>
      <c r="D387" t="s">
        <v>3295</v>
      </c>
      <c r="E387" s="2" t="s">
        <v>3856</v>
      </c>
      <c r="F387" t="s">
        <v>3293</v>
      </c>
    </row>
    <row r="388" spans="1:6" x14ac:dyDescent="0.25">
      <c r="A388" t="s">
        <v>2831</v>
      </c>
      <c r="B388" t="str">
        <f>UPPER(TRIM(MID(A388, 2, SEARCH(",",A388) - 3)))</f>
        <v>TABLESAMPLE</v>
      </c>
      <c r="C388" t="s">
        <v>3568</v>
      </c>
      <c r="D388" t="s">
        <v>3304</v>
      </c>
      <c r="E388" s="3" t="s">
        <v>3303</v>
      </c>
      <c r="F388" t="s">
        <v>3293</v>
      </c>
    </row>
    <row r="389" spans="1:6" x14ac:dyDescent="0.25">
      <c r="A389" t="s">
        <v>2755</v>
      </c>
      <c r="B389" t="str">
        <f>UPPER(TRIM(MID(A389, 2, SEARCH(",",A389) - 3)))</f>
        <v>TABLESPACE</v>
      </c>
      <c r="C389" t="s">
        <v>3569</v>
      </c>
      <c r="D389" t="s">
        <v>3295</v>
      </c>
      <c r="E389" s="2" t="s">
        <v>3856</v>
      </c>
      <c r="F389" t="s">
        <v>3293</v>
      </c>
    </row>
    <row r="390" spans="1:6" x14ac:dyDescent="0.25">
      <c r="A390" t="s">
        <v>2756</v>
      </c>
      <c r="B390" t="str">
        <f>UPPER(TRIM(MID(A390, 2, SEARCH(",",A390) - 3)))</f>
        <v>TEMP</v>
      </c>
      <c r="C390" t="s">
        <v>3570</v>
      </c>
      <c r="D390" t="s">
        <v>3295</v>
      </c>
      <c r="E390" s="2" t="s">
        <v>3856</v>
      </c>
      <c r="F390" t="s">
        <v>3293</v>
      </c>
    </row>
    <row r="391" spans="1:6" x14ac:dyDescent="0.25">
      <c r="A391" t="s">
        <v>2757</v>
      </c>
      <c r="B391" t="str">
        <f>UPPER(TRIM(MID(A391, 2, SEARCH(",",A391) - 3)))</f>
        <v>TEMPLATE</v>
      </c>
      <c r="C391" t="s">
        <v>3571</v>
      </c>
      <c r="D391" t="s">
        <v>3295</v>
      </c>
      <c r="E391" s="2" t="s">
        <v>3856</v>
      </c>
      <c r="F391" t="s">
        <v>3293</v>
      </c>
    </row>
    <row r="392" spans="1:6" x14ac:dyDescent="0.25">
      <c r="A392" t="s">
        <v>2758</v>
      </c>
      <c r="B392" t="str">
        <f>UPPER(TRIM(MID(A392, 2, SEARCH(",",A392) - 3)))</f>
        <v>TEMPORARY</v>
      </c>
      <c r="C392" t="s">
        <v>3260</v>
      </c>
      <c r="D392" t="s">
        <v>3295</v>
      </c>
      <c r="E392" s="2" t="s">
        <v>3856</v>
      </c>
      <c r="F392" t="s">
        <v>3293</v>
      </c>
    </row>
    <row r="393" spans="1:6" x14ac:dyDescent="0.25">
      <c r="A393" t="s">
        <v>2759</v>
      </c>
      <c r="B393" t="str">
        <f>UPPER(TRIM(MID(A393, 2, SEARCH(",",A393) - 3)))</f>
        <v>TEXT</v>
      </c>
      <c r="C393" t="s">
        <v>3572</v>
      </c>
      <c r="D393" t="s">
        <v>3295</v>
      </c>
      <c r="E393" s="2" t="s">
        <v>3856</v>
      </c>
      <c r="F393" t="s">
        <v>3293</v>
      </c>
    </row>
    <row r="394" spans="1:6" x14ac:dyDescent="0.25">
      <c r="A394" t="s">
        <v>2760</v>
      </c>
      <c r="B394" t="str">
        <f>UPPER(TRIM(MID(A394, 2, SEARCH(",",A394) - 3)))</f>
        <v>THEN</v>
      </c>
      <c r="C394" t="s">
        <v>3262</v>
      </c>
      <c r="D394" t="s">
        <v>3296</v>
      </c>
      <c r="E394" s="3" t="s">
        <v>3291</v>
      </c>
      <c r="F394" t="s">
        <v>3293</v>
      </c>
    </row>
    <row r="395" spans="1:6" x14ac:dyDescent="0.25">
      <c r="A395" t="s">
        <v>2761</v>
      </c>
      <c r="B395" t="str">
        <f>UPPER(TRIM(MID(A395, 2, SEARCH(",",A395) - 3)))</f>
        <v>TIES</v>
      </c>
      <c r="C395" t="s">
        <v>3573</v>
      </c>
      <c r="D395" t="s">
        <v>3295</v>
      </c>
      <c r="E395" s="2" t="s">
        <v>3856</v>
      </c>
      <c r="F395" t="s">
        <v>3293</v>
      </c>
    </row>
    <row r="396" spans="1:6" x14ac:dyDescent="0.25">
      <c r="A396" t="s">
        <v>2867</v>
      </c>
      <c r="B396" t="str">
        <f>UPPER(TRIM(MID(A396, 2, SEARCH(",",A396) - 3)))</f>
        <v>TIME</v>
      </c>
      <c r="C396" t="s">
        <v>3053</v>
      </c>
      <c r="D396" t="s">
        <v>3298</v>
      </c>
      <c r="E396" s="3" t="s">
        <v>3292</v>
      </c>
      <c r="F396" t="s">
        <v>3293</v>
      </c>
    </row>
    <row r="397" spans="1:6" x14ac:dyDescent="0.25">
      <c r="A397" t="s">
        <v>2868</v>
      </c>
      <c r="B397" t="str">
        <f>UPPER(TRIM(MID(A397, 2, SEARCH(",",A397) - 3)))</f>
        <v>TIMESTAMP</v>
      </c>
      <c r="C397" t="s">
        <v>3055</v>
      </c>
      <c r="D397" t="s">
        <v>3298</v>
      </c>
      <c r="E397" s="3" t="s">
        <v>3292</v>
      </c>
      <c r="F397" t="s">
        <v>3293</v>
      </c>
    </row>
    <row r="398" spans="1:6" x14ac:dyDescent="0.25">
      <c r="A398" t="s">
        <v>2762</v>
      </c>
      <c r="B398" t="str">
        <f>UPPER(TRIM(MID(A398, 2, SEARCH(",",A398) - 3)))</f>
        <v>TO</v>
      </c>
      <c r="C398" t="s">
        <v>3266</v>
      </c>
      <c r="D398" t="s">
        <v>3297</v>
      </c>
      <c r="E398" s="3" t="s">
        <v>3291</v>
      </c>
      <c r="F398" t="s">
        <v>3294</v>
      </c>
    </row>
    <row r="399" spans="1:6" x14ac:dyDescent="0.25">
      <c r="A399" t="s">
        <v>2763</v>
      </c>
      <c r="B399" t="str">
        <f>UPPER(TRIM(MID(A399, 2, SEARCH(",",A399) - 3)))</f>
        <v>TRAILING</v>
      </c>
      <c r="C399" t="s">
        <v>3267</v>
      </c>
      <c r="D399" t="s">
        <v>3296</v>
      </c>
      <c r="E399" s="3" t="s">
        <v>3291</v>
      </c>
      <c r="F399" t="s">
        <v>3293</v>
      </c>
    </row>
    <row r="400" spans="1:6" x14ac:dyDescent="0.25">
      <c r="A400" t="s">
        <v>2764</v>
      </c>
      <c r="B400" t="str">
        <f>UPPER(TRIM(MID(A400, 2, SEARCH(",",A400) - 3)))</f>
        <v>TRANSACTION</v>
      </c>
      <c r="C400" t="s">
        <v>3574</v>
      </c>
      <c r="D400" t="s">
        <v>3295</v>
      </c>
      <c r="E400" s="2" t="s">
        <v>3856</v>
      </c>
      <c r="F400" t="s">
        <v>3293</v>
      </c>
    </row>
    <row r="401" spans="1:6" x14ac:dyDescent="0.25">
      <c r="A401" t="s">
        <v>2765</v>
      </c>
      <c r="B401" t="str">
        <f>UPPER(TRIM(MID(A401, 2, SEARCH(",",A401) - 3)))</f>
        <v>TRANSFORM</v>
      </c>
      <c r="C401" t="s">
        <v>3575</v>
      </c>
      <c r="D401" t="s">
        <v>3295</v>
      </c>
      <c r="E401" s="2" t="s">
        <v>3856</v>
      </c>
      <c r="F401" t="s">
        <v>3293</v>
      </c>
    </row>
    <row r="402" spans="1:6" x14ac:dyDescent="0.25">
      <c r="A402" t="s">
        <v>2869</v>
      </c>
      <c r="B402" t="str">
        <f>UPPER(TRIM(MID(A402, 2, SEARCH(",",A402) - 3)))</f>
        <v>TREAT</v>
      </c>
      <c r="C402" t="s">
        <v>3576</v>
      </c>
      <c r="D402" t="s">
        <v>3298</v>
      </c>
      <c r="E402" s="3" t="s">
        <v>3292</v>
      </c>
      <c r="F402" t="s">
        <v>3293</v>
      </c>
    </row>
    <row r="403" spans="1:6" x14ac:dyDescent="0.25">
      <c r="A403" t="s">
        <v>2766</v>
      </c>
      <c r="B403" t="str">
        <f>UPPER(TRIM(MID(A403, 2, SEARCH(",",A403) - 3)))</f>
        <v>TRIGGER</v>
      </c>
      <c r="C403" t="s">
        <v>3577</v>
      </c>
      <c r="D403" t="s">
        <v>3295</v>
      </c>
      <c r="E403" s="2" t="s">
        <v>3856</v>
      </c>
      <c r="F403" t="s">
        <v>3293</v>
      </c>
    </row>
    <row r="404" spans="1:6" x14ac:dyDescent="0.25">
      <c r="A404" t="s">
        <v>2870</v>
      </c>
      <c r="B404" t="str">
        <f>UPPER(TRIM(MID(A404, 2, SEARCH(",",A404) - 3)))</f>
        <v>TRIM</v>
      </c>
      <c r="C404" t="s">
        <v>3061</v>
      </c>
      <c r="D404" t="s">
        <v>3298</v>
      </c>
      <c r="E404" s="3" t="s">
        <v>3292</v>
      </c>
      <c r="F404" t="s">
        <v>3293</v>
      </c>
    </row>
    <row r="405" spans="1:6" x14ac:dyDescent="0.25">
      <c r="A405" t="s">
        <v>2767</v>
      </c>
      <c r="B405" t="str">
        <f>UPPER(TRIM(MID(A405, 2, SEARCH(",",A405) - 3)))</f>
        <v>TRUE</v>
      </c>
      <c r="C405" t="s">
        <v>3578</v>
      </c>
      <c r="D405" t="s">
        <v>3296</v>
      </c>
      <c r="E405" s="3" t="s">
        <v>3291</v>
      </c>
      <c r="F405" t="s">
        <v>3293</v>
      </c>
    </row>
    <row r="406" spans="1:6" x14ac:dyDescent="0.25">
      <c r="A406" t="s">
        <v>2768</v>
      </c>
      <c r="B406" t="str">
        <f>UPPER(TRIM(MID(A406, 2, SEARCH(",",A406) - 3)))</f>
        <v>TRUNCATE</v>
      </c>
      <c r="C406" t="s">
        <v>3062</v>
      </c>
      <c r="D406" t="s">
        <v>3295</v>
      </c>
      <c r="E406" s="2" t="s">
        <v>3856</v>
      </c>
      <c r="F406" t="s">
        <v>3293</v>
      </c>
    </row>
    <row r="407" spans="1:6" x14ac:dyDescent="0.25">
      <c r="A407" t="s">
        <v>2769</v>
      </c>
      <c r="B407" t="str">
        <f>UPPER(TRIM(MID(A407, 2, SEARCH(",",A407) - 3)))</f>
        <v>TRUSTED</v>
      </c>
      <c r="C407" t="s">
        <v>3579</v>
      </c>
      <c r="D407" t="s">
        <v>3295</v>
      </c>
      <c r="E407" s="2" t="s">
        <v>3856</v>
      </c>
      <c r="F407" t="s">
        <v>3293</v>
      </c>
    </row>
    <row r="408" spans="1:6" x14ac:dyDescent="0.25">
      <c r="A408" t="s">
        <v>2770</v>
      </c>
      <c r="B408" t="str">
        <f>UPPER(TRIM(MID(A408, 2, SEARCH(",",A408) - 3)))</f>
        <v>TYPE</v>
      </c>
      <c r="C408" t="s">
        <v>3580</v>
      </c>
      <c r="D408" t="s">
        <v>3295</v>
      </c>
      <c r="E408" s="2" t="s">
        <v>3856</v>
      </c>
      <c r="F408" t="s">
        <v>3293</v>
      </c>
    </row>
    <row r="409" spans="1:6" x14ac:dyDescent="0.25">
      <c r="A409" t="s">
        <v>2771</v>
      </c>
      <c r="B409" t="str">
        <f>UPPER(TRIM(MID(A409, 2, SEARCH(",",A409) - 3)))</f>
        <v>TYPES</v>
      </c>
      <c r="C409" t="s">
        <v>3581</v>
      </c>
      <c r="D409" t="s">
        <v>3295</v>
      </c>
      <c r="E409" s="2" t="s">
        <v>3856</v>
      </c>
      <c r="F409" t="s">
        <v>3293</v>
      </c>
    </row>
    <row r="410" spans="1:6" x14ac:dyDescent="0.25">
      <c r="A410" t="s">
        <v>2772</v>
      </c>
      <c r="B410" t="str">
        <f>UPPER(TRIM(MID(A410, 2, SEARCH(",",A410) - 3)))</f>
        <v>UESCAPE</v>
      </c>
      <c r="C410" t="s">
        <v>3582</v>
      </c>
      <c r="D410" t="s">
        <v>3295</v>
      </c>
      <c r="E410" s="2" t="s">
        <v>3856</v>
      </c>
      <c r="F410" t="s">
        <v>3293</v>
      </c>
    </row>
    <row r="411" spans="1:6" x14ac:dyDescent="0.25">
      <c r="A411" t="s">
        <v>2773</v>
      </c>
      <c r="B411" t="str">
        <f>UPPER(TRIM(MID(A411, 2, SEARCH(",",A411) - 3)))</f>
        <v>UNBOUNDED</v>
      </c>
      <c r="C411" t="s">
        <v>3583</v>
      </c>
      <c r="D411" t="s">
        <v>3295</v>
      </c>
      <c r="E411" s="2" t="s">
        <v>3856</v>
      </c>
      <c r="F411" t="s">
        <v>3293</v>
      </c>
    </row>
    <row r="412" spans="1:6" x14ac:dyDescent="0.25">
      <c r="A412" t="s">
        <v>2774</v>
      </c>
      <c r="B412" t="str">
        <f>UPPER(TRIM(MID(A412, 2, SEARCH(",",A412) - 3)))</f>
        <v>UNCOMMITTED</v>
      </c>
      <c r="C412" t="s">
        <v>3584</v>
      </c>
      <c r="D412" t="s">
        <v>3295</v>
      </c>
      <c r="E412" s="2" t="s">
        <v>3856</v>
      </c>
      <c r="F412" t="s">
        <v>3293</v>
      </c>
    </row>
    <row r="413" spans="1:6" x14ac:dyDescent="0.25">
      <c r="A413" t="s">
        <v>2775</v>
      </c>
      <c r="B413" t="str">
        <f>UPPER(TRIM(MID(A413, 2, SEARCH(",",A413) - 3)))</f>
        <v>UNENCRYPTED</v>
      </c>
      <c r="C413" t="s">
        <v>3585</v>
      </c>
      <c r="D413" t="s">
        <v>3295</v>
      </c>
      <c r="E413" s="2" t="s">
        <v>3856</v>
      </c>
      <c r="F413" t="s">
        <v>3293</v>
      </c>
    </row>
    <row r="414" spans="1:6" x14ac:dyDescent="0.25">
      <c r="A414" t="s">
        <v>2776</v>
      </c>
      <c r="B414" t="str">
        <f>UPPER(TRIM(MID(A414, 2, SEARCH(",",A414) - 3)))</f>
        <v>UNION</v>
      </c>
      <c r="C414" t="s">
        <v>3269</v>
      </c>
      <c r="D414" t="s">
        <v>3297</v>
      </c>
      <c r="E414" s="3" t="s">
        <v>3291</v>
      </c>
      <c r="F414" t="s">
        <v>3294</v>
      </c>
    </row>
    <row r="415" spans="1:6" x14ac:dyDescent="0.25">
      <c r="A415" t="s">
        <v>2777</v>
      </c>
      <c r="B415" t="str">
        <f>UPPER(TRIM(MID(A415, 2, SEARCH(",",A415) - 3)))</f>
        <v>UNIQUE</v>
      </c>
      <c r="C415" t="s">
        <v>3270</v>
      </c>
      <c r="D415" t="s">
        <v>3296</v>
      </c>
      <c r="E415" s="3" t="s">
        <v>3291</v>
      </c>
      <c r="F415" t="s">
        <v>3293</v>
      </c>
    </row>
    <row r="416" spans="1:6" x14ac:dyDescent="0.25">
      <c r="A416" t="s">
        <v>2778</v>
      </c>
      <c r="B416" t="str">
        <f>UPPER(TRIM(MID(A416, 2, SEARCH(",",A416) - 3)))</f>
        <v>UNKNOWN</v>
      </c>
      <c r="C416" t="s">
        <v>3586</v>
      </c>
      <c r="D416" t="s">
        <v>3295</v>
      </c>
      <c r="E416" s="2" t="s">
        <v>3856</v>
      </c>
      <c r="F416" t="s">
        <v>3293</v>
      </c>
    </row>
    <row r="417" spans="1:6" x14ac:dyDescent="0.25">
      <c r="A417" t="s">
        <v>2779</v>
      </c>
      <c r="B417" t="str">
        <f>UPPER(TRIM(MID(A417, 2, SEARCH(",",A417) - 3)))</f>
        <v>UNLISTEN</v>
      </c>
      <c r="C417" t="s">
        <v>3587</v>
      </c>
      <c r="D417" t="s">
        <v>3295</v>
      </c>
      <c r="E417" s="2" t="s">
        <v>3856</v>
      </c>
      <c r="F417" t="s">
        <v>3293</v>
      </c>
    </row>
    <row r="418" spans="1:6" x14ac:dyDescent="0.25">
      <c r="A418" t="s">
        <v>2780</v>
      </c>
      <c r="B418" t="str">
        <f>UPPER(TRIM(MID(A418, 2, SEARCH(",",A418) - 3)))</f>
        <v>UNLOGGED</v>
      </c>
      <c r="C418" t="s">
        <v>3588</v>
      </c>
      <c r="D418" t="s">
        <v>3295</v>
      </c>
      <c r="E418" s="2" t="s">
        <v>3856</v>
      </c>
      <c r="F418" t="s">
        <v>3293</v>
      </c>
    </row>
    <row r="419" spans="1:6" x14ac:dyDescent="0.25">
      <c r="A419" t="s">
        <v>2781</v>
      </c>
      <c r="B419" t="str">
        <f>UPPER(TRIM(MID(A419, 2, SEARCH(",",A419) - 3)))</f>
        <v>UNTIL</v>
      </c>
      <c r="C419" t="s">
        <v>3589</v>
      </c>
      <c r="D419" t="s">
        <v>3295</v>
      </c>
      <c r="E419" s="2" t="s">
        <v>3856</v>
      </c>
      <c r="F419" t="s">
        <v>3293</v>
      </c>
    </row>
    <row r="420" spans="1:6" x14ac:dyDescent="0.25">
      <c r="A420" t="s">
        <v>2782</v>
      </c>
      <c r="B420" t="str">
        <f>UPPER(TRIM(MID(A420, 2, SEARCH(",",A420) - 3)))</f>
        <v>UPDATE</v>
      </c>
      <c r="C420" t="s">
        <v>3273</v>
      </c>
      <c r="D420" t="s">
        <v>3295</v>
      </c>
      <c r="E420" s="2" t="s">
        <v>3856</v>
      </c>
      <c r="F420" t="s">
        <v>3293</v>
      </c>
    </row>
    <row r="421" spans="1:6" x14ac:dyDescent="0.25">
      <c r="A421" t="s">
        <v>2783</v>
      </c>
      <c r="B421" t="str">
        <f>UPPER(TRIM(MID(A421, 2, SEARCH(",",A421) - 3)))</f>
        <v>USER</v>
      </c>
      <c r="C421" t="s">
        <v>3069</v>
      </c>
      <c r="D421" t="s">
        <v>3296</v>
      </c>
      <c r="E421" s="3" t="s">
        <v>3291</v>
      </c>
      <c r="F421" t="s">
        <v>3293</v>
      </c>
    </row>
    <row r="422" spans="1:6" x14ac:dyDescent="0.25">
      <c r="A422" t="s">
        <v>2784</v>
      </c>
      <c r="B422" t="str">
        <f>UPPER(TRIM(MID(A422, 2, SEARCH(",",A422) - 3)))</f>
        <v>USING</v>
      </c>
      <c r="C422" t="s">
        <v>3277</v>
      </c>
      <c r="D422" t="s">
        <v>3296</v>
      </c>
      <c r="E422" s="3" t="s">
        <v>3291</v>
      </c>
      <c r="F422" t="s">
        <v>3293</v>
      </c>
    </row>
    <row r="423" spans="1:6" x14ac:dyDescent="0.25">
      <c r="A423" t="s">
        <v>2785</v>
      </c>
      <c r="B423" t="str">
        <f>UPPER(TRIM(MID(A423, 2, SEARCH(",",A423) - 3)))</f>
        <v>VACUUM</v>
      </c>
      <c r="C423" t="s">
        <v>3590</v>
      </c>
      <c r="D423" t="s">
        <v>3295</v>
      </c>
      <c r="E423" s="2" t="s">
        <v>3856</v>
      </c>
      <c r="F423" t="s">
        <v>3293</v>
      </c>
    </row>
    <row r="424" spans="1:6" x14ac:dyDescent="0.25">
      <c r="A424" t="s">
        <v>2786</v>
      </c>
      <c r="B424" t="str">
        <f>UPPER(TRIM(MID(A424, 2, SEARCH(",",A424) - 3)))</f>
        <v>VALID</v>
      </c>
      <c r="C424" t="s">
        <v>3591</v>
      </c>
      <c r="D424" t="s">
        <v>3295</v>
      </c>
      <c r="E424" s="2" t="s">
        <v>3856</v>
      </c>
      <c r="F424" t="s">
        <v>3293</v>
      </c>
    </row>
    <row r="425" spans="1:6" x14ac:dyDescent="0.25">
      <c r="A425" t="s">
        <v>2787</v>
      </c>
      <c r="B425" t="str">
        <f>UPPER(TRIM(MID(A425, 2, SEARCH(",",A425) - 3)))</f>
        <v>VALIDATE</v>
      </c>
      <c r="C425" t="s">
        <v>3592</v>
      </c>
      <c r="D425" t="s">
        <v>3295</v>
      </c>
      <c r="E425" s="2" t="s">
        <v>3856</v>
      </c>
      <c r="F425" t="s">
        <v>3293</v>
      </c>
    </row>
    <row r="426" spans="1:6" x14ac:dyDescent="0.25">
      <c r="A426" t="s">
        <v>2788</v>
      </c>
      <c r="B426" t="str">
        <f>UPPER(TRIM(MID(A426, 2, SEARCH(",",A426) - 3)))</f>
        <v>VALIDATOR</v>
      </c>
      <c r="C426" t="s">
        <v>3593</v>
      </c>
      <c r="D426" t="s">
        <v>3295</v>
      </c>
      <c r="E426" s="2" t="s">
        <v>3856</v>
      </c>
      <c r="F426" t="s">
        <v>3293</v>
      </c>
    </row>
    <row r="427" spans="1:6" x14ac:dyDescent="0.25">
      <c r="A427" t="s">
        <v>2789</v>
      </c>
      <c r="B427" t="str">
        <f>UPPER(TRIM(MID(A427, 2, SEARCH(",",A427) - 3)))</f>
        <v>VALUE</v>
      </c>
      <c r="C427" t="s">
        <v>3594</v>
      </c>
      <c r="D427" t="s">
        <v>3295</v>
      </c>
      <c r="E427" s="2" t="s">
        <v>3856</v>
      </c>
      <c r="F427" t="s">
        <v>3293</v>
      </c>
    </row>
    <row r="428" spans="1:6" x14ac:dyDescent="0.25">
      <c r="A428" t="s">
        <v>2871</v>
      </c>
      <c r="B428" t="str">
        <f>UPPER(TRIM(MID(A428, 2, SEARCH(",",A428) - 3)))</f>
        <v>VALUES</v>
      </c>
      <c r="C428" t="s">
        <v>3278</v>
      </c>
      <c r="D428" t="s">
        <v>3298</v>
      </c>
      <c r="E428" s="3" t="s">
        <v>3292</v>
      </c>
      <c r="F428" t="s">
        <v>3293</v>
      </c>
    </row>
    <row r="429" spans="1:6" x14ac:dyDescent="0.25">
      <c r="A429" t="s">
        <v>2872</v>
      </c>
      <c r="B429" t="str">
        <f>UPPER(TRIM(MID(A429, 2, SEARCH(",",A429) - 3)))</f>
        <v>VARCHAR</v>
      </c>
      <c r="C429" t="s">
        <v>3280</v>
      </c>
      <c r="D429" t="s">
        <v>3298</v>
      </c>
      <c r="E429" s="3" t="s">
        <v>3292</v>
      </c>
      <c r="F429" t="s">
        <v>3293</v>
      </c>
    </row>
    <row r="430" spans="1:6" x14ac:dyDescent="0.25">
      <c r="A430" t="s">
        <v>2790</v>
      </c>
      <c r="B430" t="str">
        <f>UPPER(TRIM(MID(A430, 2, SEARCH(",",A430) - 3)))</f>
        <v>VARIADIC</v>
      </c>
      <c r="C430" t="s">
        <v>3595</v>
      </c>
      <c r="D430" t="s">
        <v>3296</v>
      </c>
      <c r="E430" s="3" t="s">
        <v>3291</v>
      </c>
      <c r="F430" t="s">
        <v>3293</v>
      </c>
    </row>
    <row r="431" spans="1:6" x14ac:dyDescent="0.25">
      <c r="A431" t="s">
        <v>2791</v>
      </c>
      <c r="B431" t="str">
        <f>UPPER(TRIM(MID(A431, 2, SEARCH(",",A431) - 3)))</f>
        <v>VARYING</v>
      </c>
      <c r="C431" t="s">
        <v>3282</v>
      </c>
      <c r="D431" t="s">
        <v>3300</v>
      </c>
      <c r="E431" s="2" t="s">
        <v>3856</v>
      </c>
      <c r="F431" t="s">
        <v>3294</v>
      </c>
    </row>
    <row r="432" spans="1:6" x14ac:dyDescent="0.25">
      <c r="A432" t="s">
        <v>2832</v>
      </c>
      <c r="B432" t="str">
        <f>UPPER(TRIM(MID(A432, 2, SEARCH(",",A432) - 3)))</f>
        <v>VERBOSE</v>
      </c>
      <c r="C432" t="s">
        <v>3596</v>
      </c>
      <c r="D432" t="s">
        <v>3304</v>
      </c>
      <c r="E432" s="3" t="s">
        <v>3303</v>
      </c>
      <c r="F432" t="s">
        <v>3293</v>
      </c>
    </row>
    <row r="433" spans="1:6" x14ac:dyDescent="0.25">
      <c r="A433" t="s">
        <v>2792</v>
      </c>
      <c r="B433" t="str">
        <f>UPPER(TRIM(MID(A433, 2, SEARCH(",",A433) - 3)))</f>
        <v>VERSION</v>
      </c>
      <c r="C433" t="s">
        <v>3077</v>
      </c>
      <c r="D433" t="s">
        <v>3295</v>
      </c>
      <c r="E433" s="2" t="s">
        <v>3856</v>
      </c>
      <c r="F433" t="s">
        <v>3293</v>
      </c>
    </row>
    <row r="434" spans="1:6" x14ac:dyDescent="0.25">
      <c r="A434" t="s">
        <v>2793</v>
      </c>
      <c r="B434" t="str">
        <f>UPPER(TRIM(MID(A434, 2, SEARCH(",",A434) - 3)))</f>
        <v>VIEW</v>
      </c>
      <c r="C434" t="s">
        <v>3597</v>
      </c>
      <c r="D434" t="s">
        <v>3295</v>
      </c>
      <c r="E434" s="2" t="s">
        <v>3856</v>
      </c>
      <c r="F434" t="s">
        <v>3293</v>
      </c>
    </row>
    <row r="435" spans="1:6" x14ac:dyDescent="0.25">
      <c r="A435" t="s">
        <v>2794</v>
      </c>
      <c r="B435" t="str">
        <f>UPPER(TRIM(MID(A435, 2, SEARCH(",",A435) - 3)))</f>
        <v>VIEWS</v>
      </c>
      <c r="C435" t="s">
        <v>3598</v>
      </c>
      <c r="D435" t="s">
        <v>3295</v>
      </c>
      <c r="E435" s="2" t="s">
        <v>3856</v>
      </c>
      <c r="F435" t="s">
        <v>3293</v>
      </c>
    </row>
    <row r="436" spans="1:6" x14ac:dyDescent="0.25">
      <c r="A436" t="s">
        <v>2795</v>
      </c>
      <c r="B436" t="str">
        <f>UPPER(TRIM(MID(A436, 2, SEARCH(",",A436) - 3)))</f>
        <v>VOLATILE</v>
      </c>
      <c r="C436" t="s">
        <v>3599</v>
      </c>
      <c r="D436" t="s">
        <v>3295</v>
      </c>
      <c r="E436" s="2" t="s">
        <v>3856</v>
      </c>
      <c r="F436" t="s">
        <v>3293</v>
      </c>
    </row>
    <row r="437" spans="1:6" x14ac:dyDescent="0.25">
      <c r="A437" t="s">
        <v>2796</v>
      </c>
      <c r="B437" t="str">
        <f>UPPER(TRIM(MID(A437, 2, SEARCH(",",A437) - 3)))</f>
        <v>WHEN</v>
      </c>
      <c r="C437" t="s">
        <v>3283</v>
      </c>
      <c r="D437" t="s">
        <v>3296</v>
      </c>
      <c r="E437" s="3" t="s">
        <v>3291</v>
      </c>
      <c r="F437" t="s">
        <v>3293</v>
      </c>
    </row>
    <row r="438" spans="1:6" x14ac:dyDescent="0.25">
      <c r="A438" t="s">
        <v>2797</v>
      </c>
      <c r="B438" t="str">
        <f>UPPER(TRIM(MID(A438, 2, SEARCH(",",A438) - 3)))</f>
        <v>WHERE</v>
      </c>
      <c r="C438" t="s">
        <v>3284</v>
      </c>
      <c r="D438" t="s">
        <v>3297</v>
      </c>
      <c r="E438" s="3" t="s">
        <v>3291</v>
      </c>
      <c r="F438" t="s">
        <v>3294</v>
      </c>
    </row>
    <row r="439" spans="1:6" x14ac:dyDescent="0.25">
      <c r="A439" t="s">
        <v>2798</v>
      </c>
      <c r="B439" t="str">
        <f>UPPER(TRIM(MID(A439, 2, SEARCH(",",A439) - 3)))</f>
        <v>WHITESPACE</v>
      </c>
      <c r="C439" t="s">
        <v>3600</v>
      </c>
      <c r="D439" t="s">
        <v>3295</v>
      </c>
      <c r="E439" s="2" t="s">
        <v>3856</v>
      </c>
      <c r="F439" t="s">
        <v>3293</v>
      </c>
    </row>
    <row r="440" spans="1:6" x14ac:dyDescent="0.25">
      <c r="A440" t="s">
        <v>2799</v>
      </c>
      <c r="B440" t="str">
        <f>UPPER(TRIM(MID(A440, 2, SEARCH(",",A440) - 3)))</f>
        <v>WINDOW</v>
      </c>
      <c r="C440" t="s">
        <v>3601</v>
      </c>
      <c r="D440" t="s">
        <v>3297</v>
      </c>
      <c r="E440" s="3" t="s">
        <v>3291</v>
      </c>
      <c r="F440" t="s">
        <v>3294</v>
      </c>
    </row>
    <row r="441" spans="1:6" x14ac:dyDescent="0.25">
      <c r="A441" t="s">
        <v>2800</v>
      </c>
      <c r="B441" t="str">
        <f>UPPER(TRIM(MID(A441, 2, SEARCH(",",A441) - 3)))</f>
        <v>WITH</v>
      </c>
      <c r="C441" t="s">
        <v>3286</v>
      </c>
      <c r="D441" t="s">
        <v>3297</v>
      </c>
      <c r="E441" s="3" t="s">
        <v>3291</v>
      </c>
      <c r="F441" t="s">
        <v>3294</v>
      </c>
    </row>
    <row r="442" spans="1:6" x14ac:dyDescent="0.25">
      <c r="A442" t="s">
        <v>2801</v>
      </c>
      <c r="B442" t="str">
        <f>UPPER(TRIM(MID(A442, 2, SEARCH(",",A442) - 3)))</f>
        <v>WITHIN</v>
      </c>
      <c r="C442" t="s">
        <v>3602</v>
      </c>
      <c r="D442" t="s">
        <v>3300</v>
      </c>
      <c r="E442" s="2" t="s">
        <v>3856</v>
      </c>
      <c r="F442" t="s">
        <v>3294</v>
      </c>
    </row>
    <row r="443" spans="1:6" x14ac:dyDescent="0.25">
      <c r="A443" t="s">
        <v>2802</v>
      </c>
      <c r="B443" t="str">
        <f>UPPER(TRIM(MID(A443, 2, SEARCH(",",A443) - 3)))</f>
        <v>WITHOUT</v>
      </c>
      <c r="C443" t="s">
        <v>3603</v>
      </c>
      <c r="D443" t="s">
        <v>3300</v>
      </c>
      <c r="E443" s="2" t="s">
        <v>3856</v>
      </c>
      <c r="F443" t="s">
        <v>3294</v>
      </c>
    </row>
    <row r="444" spans="1:6" x14ac:dyDescent="0.25">
      <c r="A444" t="s">
        <v>2803</v>
      </c>
      <c r="B444" t="str">
        <f>UPPER(TRIM(MID(A444, 2, SEARCH(",",A444) - 3)))</f>
        <v>WORK</v>
      </c>
      <c r="C444" t="s">
        <v>3604</v>
      </c>
      <c r="D444" t="s">
        <v>3295</v>
      </c>
      <c r="E444" s="2" t="s">
        <v>3856</v>
      </c>
      <c r="F444" t="s">
        <v>3293</v>
      </c>
    </row>
    <row r="445" spans="1:6" x14ac:dyDescent="0.25">
      <c r="A445" t="s">
        <v>2804</v>
      </c>
      <c r="B445" t="str">
        <f>UPPER(TRIM(MID(A445, 2, SEARCH(",",A445) - 3)))</f>
        <v>WRAPPER</v>
      </c>
      <c r="C445" t="s">
        <v>3605</v>
      </c>
      <c r="D445" t="s">
        <v>3295</v>
      </c>
      <c r="E445" s="2" t="s">
        <v>3856</v>
      </c>
      <c r="F445" t="s">
        <v>3293</v>
      </c>
    </row>
    <row r="446" spans="1:6" x14ac:dyDescent="0.25">
      <c r="A446" t="s">
        <v>2805</v>
      </c>
      <c r="B446" t="str">
        <f>UPPER(TRIM(MID(A446, 2, SEARCH(",",A446) - 3)))</f>
        <v>WRITE</v>
      </c>
      <c r="C446" t="s">
        <v>3287</v>
      </c>
      <c r="D446" t="s">
        <v>3295</v>
      </c>
      <c r="E446" s="2" t="s">
        <v>3856</v>
      </c>
      <c r="F446" t="s">
        <v>3293</v>
      </c>
    </row>
    <row r="447" spans="1:6" x14ac:dyDescent="0.25">
      <c r="A447" t="s">
        <v>2806</v>
      </c>
      <c r="B447" t="str">
        <f>UPPER(TRIM(MID(A447, 2, SEARCH(",",A447) - 3)))</f>
        <v>XML</v>
      </c>
      <c r="C447" t="s">
        <v>3606</v>
      </c>
      <c r="D447" t="s">
        <v>3295</v>
      </c>
      <c r="E447" s="2" t="s">
        <v>3856</v>
      </c>
      <c r="F447" t="s">
        <v>3293</v>
      </c>
    </row>
    <row r="448" spans="1:6" x14ac:dyDescent="0.25">
      <c r="A448" t="s">
        <v>2873</v>
      </c>
      <c r="B448" t="str">
        <f>UPPER(TRIM(MID(A448, 2, SEARCH(",",A448) - 3)))</f>
        <v>XMLATTRIBUTES</v>
      </c>
      <c r="C448" t="s">
        <v>3607</v>
      </c>
      <c r="D448" t="s">
        <v>3298</v>
      </c>
      <c r="E448" s="3" t="s">
        <v>3292</v>
      </c>
      <c r="F448" t="s">
        <v>3293</v>
      </c>
    </row>
    <row r="449" spans="1:6" x14ac:dyDescent="0.25">
      <c r="A449" t="s">
        <v>2874</v>
      </c>
      <c r="B449" t="str">
        <f>UPPER(TRIM(MID(A449, 2, SEARCH(",",A449) - 3)))</f>
        <v>XMLCONCAT</v>
      </c>
      <c r="C449" t="s">
        <v>3608</v>
      </c>
      <c r="D449" t="s">
        <v>3298</v>
      </c>
      <c r="E449" s="3" t="s">
        <v>3292</v>
      </c>
      <c r="F449" t="s">
        <v>3293</v>
      </c>
    </row>
    <row r="450" spans="1:6" x14ac:dyDescent="0.25">
      <c r="A450" t="s">
        <v>2875</v>
      </c>
      <c r="B450" t="str">
        <f>UPPER(TRIM(MID(A450, 2, SEARCH(",",A450) - 3)))</f>
        <v>XMLELEMENT</v>
      </c>
      <c r="C450" t="s">
        <v>3609</v>
      </c>
      <c r="D450" t="s">
        <v>3298</v>
      </c>
      <c r="E450" s="3" t="s">
        <v>3292</v>
      </c>
      <c r="F450" t="s">
        <v>3293</v>
      </c>
    </row>
    <row r="451" spans="1:6" x14ac:dyDescent="0.25">
      <c r="A451" t="s">
        <v>2876</v>
      </c>
      <c r="B451" t="str">
        <f>UPPER(TRIM(MID(A451, 2, SEARCH(",",A451) - 3)))</f>
        <v>XMLEXISTS</v>
      </c>
      <c r="C451" t="s">
        <v>3610</v>
      </c>
      <c r="D451" t="s">
        <v>3298</v>
      </c>
      <c r="E451" s="3" t="s">
        <v>3292</v>
      </c>
      <c r="F451" t="s">
        <v>3293</v>
      </c>
    </row>
    <row r="452" spans="1:6" x14ac:dyDescent="0.25">
      <c r="A452" t="s">
        <v>2877</v>
      </c>
      <c r="B452" t="str">
        <f>UPPER(TRIM(MID(A452, 2, SEARCH(",",A452) - 3)))</f>
        <v>XMLFOREST</v>
      </c>
      <c r="C452" t="s">
        <v>3611</v>
      </c>
      <c r="D452" t="s">
        <v>3298</v>
      </c>
      <c r="E452" s="3" t="s">
        <v>3292</v>
      </c>
      <c r="F452" t="s">
        <v>3293</v>
      </c>
    </row>
    <row r="453" spans="1:6" x14ac:dyDescent="0.25">
      <c r="A453" t="s">
        <v>2878</v>
      </c>
      <c r="B453" t="str">
        <f>UPPER(TRIM(MID(A453, 2, SEARCH(",",A453) - 3)))</f>
        <v>XMLNAMESPACES</v>
      </c>
      <c r="C453" t="s">
        <v>3612</v>
      </c>
      <c r="D453" t="s">
        <v>3298</v>
      </c>
      <c r="E453" s="3" t="s">
        <v>3292</v>
      </c>
      <c r="F453" t="s">
        <v>3293</v>
      </c>
    </row>
    <row r="454" spans="1:6" x14ac:dyDescent="0.25">
      <c r="A454" t="s">
        <v>2879</v>
      </c>
      <c r="B454" t="str">
        <f>UPPER(TRIM(MID(A454, 2, SEARCH(",",A454) - 3)))</f>
        <v>XMLPARSE</v>
      </c>
      <c r="C454" t="s">
        <v>3613</v>
      </c>
      <c r="D454" t="s">
        <v>3298</v>
      </c>
      <c r="E454" s="3" t="s">
        <v>3292</v>
      </c>
      <c r="F454" t="s">
        <v>3293</v>
      </c>
    </row>
    <row r="455" spans="1:6" x14ac:dyDescent="0.25">
      <c r="A455" t="s">
        <v>2880</v>
      </c>
      <c r="B455" t="str">
        <f>UPPER(TRIM(MID(A455, 2, SEARCH(",",A455) - 3)))</f>
        <v>XMLPI</v>
      </c>
      <c r="C455" t="s">
        <v>3614</v>
      </c>
      <c r="D455" t="s">
        <v>3298</v>
      </c>
      <c r="E455" s="3" t="s">
        <v>3292</v>
      </c>
      <c r="F455" t="s">
        <v>3293</v>
      </c>
    </row>
    <row r="456" spans="1:6" x14ac:dyDescent="0.25">
      <c r="A456" t="s">
        <v>2881</v>
      </c>
      <c r="B456" t="str">
        <f>UPPER(TRIM(MID(A456, 2, SEARCH(",",A456) - 3)))</f>
        <v>XMLROOT</v>
      </c>
      <c r="C456" t="s">
        <v>3615</v>
      </c>
      <c r="D456" t="s">
        <v>3298</v>
      </c>
      <c r="E456" s="3" t="s">
        <v>3292</v>
      </c>
      <c r="F456" t="s">
        <v>3293</v>
      </c>
    </row>
    <row r="457" spans="1:6" x14ac:dyDescent="0.25">
      <c r="A457" t="s">
        <v>2882</v>
      </c>
      <c r="B457" t="str">
        <f>UPPER(TRIM(MID(A457, 2, SEARCH(",",A457) - 3)))</f>
        <v>XMLSERIALIZE</v>
      </c>
      <c r="C457" t="s">
        <v>3616</v>
      </c>
      <c r="D457" t="s">
        <v>3298</v>
      </c>
      <c r="E457" s="3" t="s">
        <v>3292</v>
      </c>
      <c r="F457" t="s">
        <v>3293</v>
      </c>
    </row>
    <row r="458" spans="1:6" x14ac:dyDescent="0.25">
      <c r="A458" t="s">
        <v>2883</v>
      </c>
      <c r="B458" t="str">
        <f>UPPER(TRIM(MID(A458, 2, SEARCH(",",A458) - 3)))</f>
        <v>XMLTABLE</v>
      </c>
      <c r="C458" t="s">
        <v>3617</v>
      </c>
      <c r="D458" t="s">
        <v>3298</v>
      </c>
      <c r="E458" s="3" t="s">
        <v>3292</v>
      </c>
      <c r="F458" t="s">
        <v>3293</v>
      </c>
    </row>
    <row r="459" spans="1:6" x14ac:dyDescent="0.25">
      <c r="A459" t="s">
        <v>2807</v>
      </c>
      <c r="B459" t="str">
        <f>UPPER(TRIM(MID(A459, 2, SEARCH(",",A459) - 3)))</f>
        <v>YEAR</v>
      </c>
      <c r="C459" t="s">
        <v>3081</v>
      </c>
      <c r="D459" t="s">
        <v>3300</v>
      </c>
      <c r="E459" s="2" t="s">
        <v>3856</v>
      </c>
      <c r="F459" t="s">
        <v>3294</v>
      </c>
    </row>
    <row r="460" spans="1:6" x14ac:dyDescent="0.25">
      <c r="A460" t="s">
        <v>2808</v>
      </c>
      <c r="B460" t="str">
        <f>UPPER(TRIM(MID(A460, 2, SEARCH(",",A460) - 3)))</f>
        <v>YES</v>
      </c>
      <c r="C460" t="s">
        <v>3618</v>
      </c>
      <c r="D460" t="s">
        <v>3295</v>
      </c>
      <c r="E460" s="2" t="s">
        <v>3856</v>
      </c>
      <c r="F460" t="s">
        <v>3293</v>
      </c>
    </row>
    <row r="461" spans="1:6" x14ac:dyDescent="0.25">
      <c r="A461" t="s">
        <v>2809</v>
      </c>
      <c r="B461" t="str">
        <f>UPPER(TRIM(MID(A461, 2, SEARCH(",",A461) - 3)))</f>
        <v>ZONE</v>
      </c>
      <c r="C461" t="s">
        <v>3619</v>
      </c>
      <c r="D461" t="s">
        <v>3295</v>
      </c>
      <c r="E461" s="2" t="s">
        <v>3856</v>
      </c>
      <c r="F461" t="s">
        <v>3293</v>
      </c>
    </row>
  </sheetData>
  <sortState xmlns:xlrd2="http://schemas.microsoft.com/office/spreadsheetml/2017/richdata2" ref="A2:F461">
    <sortCondition ref="C2:C46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CCA1B-9F5C-4701-8719-AE3B7E17C9C8}">
  <dimension ref="A2:L530"/>
  <sheetViews>
    <sheetView workbookViewId="0">
      <selection activeCell="A2" sqref="A2:XFD2"/>
    </sheetView>
  </sheetViews>
  <sheetFormatPr defaultRowHeight="15" x14ac:dyDescent="0.25"/>
  <cols>
    <col min="1" max="1" width="31.5703125" style="3" bestFit="1" customWidth="1"/>
    <col min="2" max="2" width="25.28515625" style="4" customWidth="1"/>
    <col min="3" max="3" width="25.28515625" style="5" customWidth="1"/>
    <col min="4" max="4" width="65.7109375" style="3" bestFit="1" customWidth="1"/>
    <col min="5" max="5" width="31.42578125" style="3" bestFit="1" customWidth="1"/>
    <col min="6" max="6" width="28.42578125" style="3" bestFit="1" customWidth="1"/>
    <col min="7" max="7" width="28.42578125" style="3" customWidth="1"/>
    <col min="8" max="8" width="39.140625" customWidth="1"/>
  </cols>
  <sheetData>
    <row r="2" spans="1:9" x14ac:dyDescent="0.25">
      <c r="A2" s="3" t="s">
        <v>0</v>
      </c>
      <c r="B2" s="4" t="str">
        <f t="shared" ref="B2:B31" si="0">IF(A2 = "", -1,TRIM(MID(A2, SEARCH(" ",A2) + 1, 99)))</f>
        <v>525</v>
      </c>
      <c r="C2" s="5">
        <f>IF(B2 = "***", -1, _xlfn.NUMBERVALUE(B2))</f>
        <v>525</v>
      </c>
      <c r="D2" s="3" t="s">
        <v>379</v>
      </c>
      <c r="E2" s="3" t="str">
        <f>TRIM(MID(D2, 1, SEARCH(",",D2) - 1))</f>
        <v>TOK_ABS</v>
      </c>
      <c r="F2" s="3" t="str">
        <f>TRIM(MID(D2, SEARCH(",",D2) + 1, SEARCH(",",D2,SEARCH(",",D2)+1) - SEARCH(",",D2) - 1))</f>
        <v>"ABS"</v>
      </c>
      <c r="G2" s="3" t="str">
        <f>TRIM(MID(D2, FIND("#",SUBSTITUTE(D2,",","#",2))+1,99))</f>
        <v>true</v>
      </c>
    </row>
    <row r="3" spans="1:9" x14ac:dyDescent="0.25">
      <c r="A3" s="3" t="s">
        <v>924</v>
      </c>
      <c r="B3" s="4" t="str">
        <f t="shared" si="0"/>
        <v>621</v>
      </c>
      <c r="C3" s="5" t="str">
        <f t="shared" ref="C3:C66" si="1">IF(B3 = "***", -1, B3)</f>
        <v>621</v>
      </c>
      <c r="D3" s="3" t="s">
        <v>380</v>
      </c>
      <c r="E3" s="3" t="str">
        <f t="shared" ref="E3:E66" si="2">TRIM(MID(D3, 1, SEARCH(",",D3) - 1))</f>
        <v>TOK_ABSOLUTE</v>
      </c>
      <c r="F3" s="3" t="str">
        <f t="shared" ref="F3:F72" si="3">TRIM(MID(D3, SEARCH(",",D3) + 1, SEARCH(",",D3,SEARCH(",",D3)+1) - SEARCH(",",D3) - 1))</f>
        <v>"ABSOLUTE"</v>
      </c>
      <c r="G3" s="3" t="str">
        <f t="shared" ref="G3:G72" si="4">TRIM(MID(D3, FIND("#",SUBSTITUTE(D3,",","#",2))+1,99))</f>
        <v>true</v>
      </c>
    </row>
    <row r="4" spans="1:9" x14ac:dyDescent="0.25">
      <c r="A4" s="3" t="s">
        <v>1</v>
      </c>
      <c r="B4" s="4" t="str">
        <f t="shared" si="0"/>
        <v>526</v>
      </c>
      <c r="C4" s="5" t="str">
        <f t="shared" si="1"/>
        <v>526</v>
      </c>
      <c r="D4" s="3" t="s">
        <v>381</v>
      </c>
      <c r="E4" s="3" t="str">
        <f t="shared" si="2"/>
        <v>TOK_ACCENT</v>
      </c>
      <c r="F4" s="3" t="str">
        <f t="shared" si="3"/>
        <v>"ACCENT"</v>
      </c>
      <c r="G4" s="3" t="str">
        <f t="shared" si="4"/>
        <v>true</v>
      </c>
    </row>
    <row r="5" spans="1:9" x14ac:dyDescent="0.25">
      <c r="A5" s="3" t="s">
        <v>2</v>
      </c>
      <c r="B5" s="4" t="str">
        <f t="shared" si="0"/>
        <v>527</v>
      </c>
      <c r="C5" s="5" t="str">
        <f t="shared" si="1"/>
        <v>527</v>
      </c>
      <c r="D5" s="3" t="s">
        <v>382</v>
      </c>
      <c r="E5" s="3" t="str">
        <f t="shared" si="2"/>
        <v>TOK_ACOS</v>
      </c>
      <c r="F5" s="3" t="str">
        <f t="shared" si="3"/>
        <v>"ACOS"</v>
      </c>
      <c r="G5" s="3" t="str">
        <f t="shared" si="4"/>
        <v>true</v>
      </c>
    </row>
    <row r="6" spans="1:9" x14ac:dyDescent="0.25">
      <c r="A6" s="3" t="s">
        <v>3</v>
      </c>
      <c r="B6" s="4" t="str">
        <f t="shared" si="0"/>
        <v>623</v>
      </c>
      <c r="C6" s="5" t="str">
        <f t="shared" si="1"/>
        <v>623</v>
      </c>
      <c r="D6" s="3" t="s">
        <v>383</v>
      </c>
      <c r="E6" s="3" t="str">
        <f t="shared" si="2"/>
        <v>TOK_ACOSH</v>
      </c>
      <c r="F6" s="3" t="str">
        <f t="shared" si="3"/>
        <v>"ACOSH"</v>
      </c>
      <c r="G6" s="3" t="str">
        <f t="shared" si="4"/>
        <v>true</v>
      </c>
    </row>
    <row r="7" spans="1:9" x14ac:dyDescent="0.25">
      <c r="A7" s="3" t="s">
        <v>4</v>
      </c>
      <c r="B7" s="4" t="str">
        <f t="shared" si="0"/>
        <v>445</v>
      </c>
      <c r="C7" s="5" t="str">
        <f t="shared" si="1"/>
        <v>445</v>
      </c>
      <c r="D7" s="3" t="s">
        <v>384</v>
      </c>
      <c r="E7" s="3" t="str">
        <f t="shared" si="2"/>
        <v>TOK_ACTION</v>
      </c>
      <c r="F7" s="3" t="str">
        <f t="shared" si="3"/>
        <v>"ACTION"</v>
      </c>
      <c r="G7" s="3" t="str">
        <f t="shared" si="4"/>
        <v>true</v>
      </c>
    </row>
    <row r="8" spans="1:9" x14ac:dyDescent="0.25">
      <c r="A8" s="3" t="s">
        <v>5</v>
      </c>
      <c r="B8" s="4" t="str">
        <f t="shared" si="0"/>
        <v>257</v>
      </c>
      <c r="C8" s="5" t="str">
        <f t="shared" si="1"/>
        <v>257</v>
      </c>
      <c r="D8" s="3" t="s">
        <v>385</v>
      </c>
      <c r="E8" s="3" t="str">
        <f t="shared" si="2"/>
        <v>TOK_ACTIVE</v>
      </c>
      <c r="F8" s="3" t="str">
        <f t="shared" si="3"/>
        <v>"ACTIVE"</v>
      </c>
      <c r="G8" s="3" t="str">
        <f t="shared" si="4"/>
        <v>true</v>
      </c>
    </row>
    <row r="9" spans="1:9" x14ac:dyDescent="0.25">
      <c r="A9" s="3" t="s">
        <v>6</v>
      </c>
      <c r="B9" s="4" t="str">
        <f t="shared" si="0"/>
        <v>258</v>
      </c>
      <c r="C9" s="5" t="str">
        <f t="shared" si="1"/>
        <v>258</v>
      </c>
      <c r="D9" s="3" t="s">
        <v>386</v>
      </c>
      <c r="E9" s="3" t="str">
        <f t="shared" si="2"/>
        <v>TOK_ADD</v>
      </c>
      <c r="F9" s="3" t="str">
        <f t="shared" si="3"/>
        <v>"ADD"</v>
      </c>
      <c r="G9" s="3" t="str">
        <f t="shared" si="4"/>
        <v>false</v>
      </c>
    </row>
    <row r="10" spans="1:9" x14ac:dyDescent="0.25">
      <c r="A10" s="3" t="s">
        <v>7</v>
      </c>
      <c r="B10" s="4" t="str">
        <f t="shared" si="0"/>
        <v>446</v>
      </c>
      <c r="C10" s="5" t="str">
        <f t="shared" si="1"/>
        <v>446</v>
      </c>
      <c r="D10" s="3" t="s">
        <v>387</v>
      </c>
      <c r="E10" s="3" t="str">
        <f t="shared" si="2"/>
        <v>TOK_ADMIN</v>
      </c>
      <c r="F10" s="3" t="str">
        <f t="shared" si="3"/>
        <v>"ADMIN"</v>
      </c>
      <c r="G10" s="3" t="str">
        <f t="shared" si="4"/>
        <v>false</v>
      </c>
      <c r="I10" t="s">
        <v>369</v>
      </c>
    </row>
    <row r="11" spans="1:9" x14ac:dyDescent="0.25">
      <c r="A11" s="3" t="s">
        <v>8</v>
      </c>
      <c r="B11" s="4" t="str">
        <f t="shared" si="0"/>
        <v>259</v>
      </c>
      <c r="C11" s="5" t="str">
        <f t="shared" si="1"/>
        <v>259</v>
      </c>
      <c r="D11" s="3" t="s">
        <v>388</v>
      </c>
      <c r="E11" s="3" t="str">
        <f t="shared" si="2"/>
        <v>TOK_AFTER</v>
      </c>
      <c r="F11" s="3" t="str">
        <f t="shared" si="3"/>
        <v>"AFTER"</v>
      </c>
      <c r="G11" s="3" t="str">
        <f t="shared" si="4"/>
        <v>true</v>
      </c>
    </row>
    <row r="12" spans="1:9" x14ac:dyDescent="0.25">
      <c r="A12" s="3" t="s">
        <v>9</v>
      </c>
      <c r="B12" s="4" t="str">
        <f t="shared" si="0"/>
        <v>260</v>
      </c>
      <c r="C12" s="5" t="str">
        <f t="shared" si="1"/>
        <v>260</v>
      </c>
      <c r="D12" s="3" t="s">
        <v>389</v>
      </c>
      <c r="E12" s="3" t="str">
        <f t="shared" si="2"/>
        <v>TOK_ALL</v>
      </c>
      <c r="F12" s="3" t="str">
        <f t="shared" si="3"/>
        <v>"ALL"</v>
      </c>
      <c r="G12" s="3" t="str">
        <f t="shared" si="4"/>
        <v>false</v>
      </c>
    </row>
    <row r="13" spans="1:9" x14ac:dyDescent="0.25">
      <c r="A13" s="3" t="s">
        <v>10</v>
      </c>
      <c r="B13" s="4" t="str">
        <f t="shared" si="0"/>
        <v>261</v>
      </c>
      <c r="C13" s="5" t="str">
        <f t="shared" si="1"/>
        <v>261</v>
      </c>
      <c r="D13" s="3" t="s">
        <v>390</v>
      </c>
      <c r="E13" s="3" t="str">
        <f t="shared" si="2"/>
        <v>TOK_ALTER</v>
      </c>
      <c r="F13" s="3" t="str">
        <f t="shared" si="3"/>
        <v>"ALTER"</v>
      </c>
      <c r="G13" s="3" t="str">
        <f t="shared" si="4"/>
        <v>false</v>
      </c>
    </row>
    <row r="14" spans="1:9" x14ac:dyDescent="0.25">
      <c r="A14" s="3" t="s">
        <v>11</v>
      </c>
      <c r="B14" s="4" t="str">
        <f t="shared" si="0"/>
        <v>528</v>
      </c>
      <c r="C14" s="5" t="str">
        <f t="shared" si="1"/>
        <v>528</v>
      </c>
      <c r="D14" s="3" t="s">
        <v>391</v>
      </c>
      <c r="E14" s="3" t="str">
        <f t="shared" si="2"/>
        <v>TOK_ALWAYS</v>
      </c>
      <c r="F14" s="3" t="str">
        <f t="shared" si="3"/>
        <v>"ALWAYS"</v>
      </c>
      <c r="G14" s="3" t="str">
        <f t="shared" si="4"/>
        <v>true</v>
      </c>
    </row>
    <row r="15" spans="1:9" x14ac:dyDescent="0.25">
      <c r="A15" s="3" t="s">
        <v>12</v>
      </c>
      <c r="B15" s="4" t="str">
        <f t="shared" si="0"/>
        <v>262</v>
      </c>
      <c r="C15" s="5" t="str">
        <f t="shared" si="1"/>
        <v>262</v>
      </c>
      <c r="D15" s="3" t="s">
        <v>392</v>
      </c>
      <c r="E15" s="3" t="str">
        <f t="shared" si="2"/>
        <v>TOK_AND</v>
      </c>
      <c r="F15" s="3" t="str">
        <f t="shared" si="3"/>
        <v>"AND"</v>
      </c>
      <c r="G15" s="3" t="str">
        <f t="shared" si="4"/>
        <v>false</v>
      </c>
    </row>
    <row r="16" spans="1:9" x14ac:dyDescent="0.25">
      <c r="A16" s="3" t="s">
        <v>13</v>
      </c>
      <c r="B16" s="4" t="str">
        <f t="shared" si="0"/>
        <v>263</v>
      </c>
      <c r="C16" s="5" t="str">
        <f t="shared" si="1"/>
        <v>263</v>
      </c>
      <c r="D16" s="3" t="s">
        <v>393</v>
      </c>
      <c r="E16" s="3" t="str">
        <f t="shared" si="2"/>
        <v>TOK_ANY</v>
      </c>
      <c r="F16" s="3" t="str">
        <f t="shared" si="3"/>
        <v>"ANY"</v>
      </c>
      <c r="G16" s="3" t="str">
        <f t="shared" si="4"/>
        <v>false</v>
      </c>
    </row>
    <row r="17" spans="1:9" x14ac:dyDescent="0.25">
      <c r="A17" s="3" t="s">
        <v>14</v>
      </c>
      <c r="B17" s="4" t="str">
        <f t="shared" si="0"/>
        <v>264</v>
      </c>
      <c r="C17" s="5" t="str">
        <f t="shared" si="1"/>
        <v>264</v>
      </c>
      <c r="D17" s="3" t="s">
        <v>394</v>
      </c>
      <c r="E17" s="3" t="str">
        <f t="shared" si="2"/>
        <v>TOK_AS</v>
      </c>
      <c r="F17" s="3" t="str">
        <f t="shared" si="3"/>
        <v>"AS"</v>
      </c>
      <c r="G17" s="3" t="str">
        <f t="shared" si="4"/>
        <v>false</v>
      </c>
    </row>
    <row r="18" spans="1:9" x14ac:dyDescent="0.25">
      <c r="A18" s="3" t="s">
        <v>15</v>
      </c>
      <c r="B18" s="4" t="str">
        <f t="shared" si="0"/>
        <v>265</v>
      </c>
      <c r="C18" s="5" t="str">
        <f t="shared" si="1"/>
        <v>265</v>
      </c>
      <c r="D18" s="3" t="s">
        <v>395</v>
      </c>
      <c r="E18" s="3" t="str">
        <f t="shared" si="2"/>
        <v>TOK_ASC</v>
      </c>
      <c r="F18" s="3" t="str">
        <f t="shared" si="3"/>
        <v>"ASC"</v>
      </c>
      <c r="G18" s="3" t="str">
        <f t="shared" si="4"/>
        <v>true</v>
      </c>
    </row>
    <row r="19" spans="1:9" x14ac:dyDescent="0.25">
      <c r="A19" s="3" t="s">
        <v>883</v>
      </c>
      <c r="B19" s="4" t="str">
        <f t="shared" si="0"/>
        <v>265</v>
      </c>
      <c r="C19" s="5" t="str">
        <f t="shared" si="1"/>
        <v>265</v>
      </c>
      <c r="D19" s="3" t="s">
        <v>882</v>
      </c>
      <c r="E19" s="3" t="str">
        <f t="shared" si="2"/>
        <v>TOK_ASCENDING</v>
      </c>
      <c r="F19" s="3" t="str">
        <f t="shared" si="3"/>
        <v>"ASCENDING"</v>
      </c>
      <c r="G19" s="3" t="str">
        <f t="shared" si="4"/>
        <v>true</v>
      </c>
    </row>
    <row r="20" spans="1:9" x14ac:dyDescent="0.25">
      <c r="A20" s="3" t="s">
        <v>16</v>
      </c>
      <c r="B20" s="4" t="str">
        <f t="shared" si="0"/>
        <v>529</v>
      </c>
      <c r="C20" s="5" t="str">
        <f t="shared" si="1"/>
        <v>529</v>
      </c>
      <c r="D20" s="3" t="s">
        <v>396</v>
      </c>
      <c r="E20" s="3" t="str">
        <f t="shared" si="2"/>
        <v>TOK_ASCII_CHAR</v>
      </c>
      <c r="F20" s="3" t="str">
        <f t="shared" si="3"/>
        <v>"ASCII_CHAR"</v>
      </c>
      <c r="G20" s="3" t="str">
        <f t="shared" si="4"/>
        <v>true</v>
      </c>
    </row>
    <row r="21" spans="1:9" x14ac:dyDescent="0.25">
      <c r="A21" s="3" t="s">
        <v>17</v>
      </c>
      <c r="B21" s="4" t="str">
        <f t="shared" si="0"/>
        <v>530</v>
      </c>
      <c r="C21" s="5" t="str">
        <f t="shared" si="1"/>
        <v>530</v>
      </c>
      <c r="D21" s="3" t="s">
        <v>397</v>
      </c>
      <c r="E21" s="3" t="str">
        <f t="shared" si="2"/>
        <v>TOK_ASCII_VAL</v>
      </c>
      <c r="F21" s="3" t="str">
        <f t="shared" si="3"/>
        <v>"ASCII_VAL"</v>
      </c>
      <c r="G21" s="3" t="str">
        <f t="shared" si="4"/>
        <v>true</v>
      </c>
    </row>
    <row r="22" spans="1:9" x14ac:dyDescent="0.25">
      <c r="A22" s="3" t="s">
        <v>18</v>
      </c>
      <c r="B22" s="4" t="str">
        <f t="shared" si="0"/>
        <v>531</v>
      </c>
      <c r="C22" s="5" t="str">
        <f t="shared" si="1"/>
        <v>531</v>
      </c>
      <c r="D22" s="3" t="s">
        <v>398</v>
      </c>
      <c r="E22" s="3" t="str">
        <f t="shared" si="2"/>
        <v>TOK_ASIN</v>
      </c>
      <c r="F22" s="3" t="str">
        <f t="shared" si="3"/>
        <v>"ASIN"</v>
      </c>
      <c r="G22" s="3" t="str">
        <f t="shared" si="4"/>
        <v>true</v>
      </c>
    </row>
    <row r="23" spans="1:9" x14ac:dyDescent="0.25">
      <c r="A23" s="3" t="s">
        <v>19</v>
      </c>
      <c r="B23" s="4" t="str">
        <f t="shared" si="0"/>
        <v>624</v>
      </c>
      <c r="C23" s="5" t="str">
        <f t="shared" si="1"/>
        <v>624</v>
      </c>
      <c r="D23" s="3" t="s">
        <v>399</v>
      </c>
      <c r="E23" s="3" t="str">
        <f t="shared" si="2"/>
        <v>TOK_ASINH</v>
      </c>
      <c r="F23" s="3" t="str">
        <f t="shared" si="3"/>
        <v>"ASINH"</v>
      </c>
      <c r="G23" s="3" t="str">
        <f t="shared" si="4"/>
        <v>true</v>
      </c>
    </row>
    <row r="24" spans="1:9" x14ac:dyDescent="0.25">
      <c r="A24" s="3" t="s">
        <v>20</v>
      </c>
      <c r="B24" s="4" t="str">
        <f t="shared" si="0"/>
        <v>266</v>
      </c>
      <c r="C24" s="5" t="str">
        <f t="shared" si="1"/>
        <v>266</v>
      </c>
      <c r="D24" s="3" t="s">
        <v>400</v>
      </c>
      <c r="E24" s="3" t="str">
        <f t="shared" si="2"/>
        <v>TOK_AT</v>
      </c>
      <c r="F24" s="3" t="str">
        <f t="shared" si="3"/>
        <v>"AT"</v>
      </c>
      <c r="G24" s="3" t="str">
        <f t="shared" si="4"/>
        <v>false</v>
      </c>
    </row>
    <row r="25" spans="1:9" x14ac:dyDescent="0.25">
      <c r="A25" s="3" t="s">
        <v>21</v>
      </c>
      <c r="B25" s="4" t="str">
        <f t="shared" si="0"/>
        <v>532</v>
      </c>
      <c r="C25" s="5" t="str">
        <f t="shared" si="1"/>
        <v>532</v>
      </c>
      <c r="D25" s="3" t="s">
        <v>401</v>
      </c>
      <c r="E25" s="3" t="str">
        <f t="shared" si="2"/>
        <v>TOK_ATAN</v>
      </c>
      <c r="F25" s="3" t="str">
        <f t="shared" si="3"/>
        <v>"ATAN"</v>
      </c>
      <c r="G25" s="3" t="str">
        <f t="shared" si="4"/>
        <v>true</v>
      </c>
    </row>
    <row r="26" spans="1:9" x14ac:dyDescent="0.25">
      <c r="A26" s="3" t="s">
        <v>22</v>
      </c>
      <c r="B26" s="4" t="str">
        <f t="shared" si="0"/>
        <v>533</v>
      </c>
      <c r="C26" s="5" t="str">
        <f t="shared" si="1"/>
        <v>533</v>
      </c>
      <c r="D26" s="3" t="s">
        <v>402</v>
      </c>
      <c r="E26" s="3" t="str">
        <f t="shared" si="2"/>
        <v>TOK_ATAN2</v>
      </c>
      <c r="F26" s="3" t="str">
        <f t="shared" si="3"/>
        <v>"ATAN2"</v>
      </c>
      <c r="G26" s="3" t="str">
        <f t="shared" si="4"/>
        <v>true</v>
      </c>
    </row>
    <row r="27" spans="1:9" x14ac:dyDescent="0.25">
      <c r="A27" s="3" t="s">
        <v>23</v>
      </c>
      <c r="B27" s="4" t="str">
        <f t="shared" si="0"/>
        <v>625</v>
      </c>
      <c r="C27" s="5" t="str">
        <f t="shared" si="1"/>
        <v>625</v>
      </c>
      <c r="D27" s="3" t="s">
        <v>403</v>
      </c>
      <c r="E27" s="3" t="str">
        <f t="shared" si="2"/>
        <v>TOK_ATANH</v>
      </c>
      <c r="F27" s="3" t="str">
        <f t="shared" si="3"/>
        <v>"ATANH"</v>
      </c>
      <c r="G27" s="3" t="str">
        <f t="shared" si="4"/>
        <v>true</v>
      </c>
    </row>
    <row r="28" spans="1:9" x14ac:dyDescent="0.25">
      <c r="A28" s="3" t="s">
        <v>24</v>
      </c>
      <c r="B28" s="4" t="str">
        <f t="shared" si="0"/>
        <v>268</v>
      </c>
      <c r="C28" s="5" t="str">
        <f t="shared" si="1"/>
        <v>268</v>
      </c>
      <c r="D28" s="3" t="s">
        <v>404</v>
      </c>
      <c r="E28" s="3" t="str">
        <f t="shared" si="2"/>
        <v>TOK_AUTO</v>
      </c>
      <c r="F28" s="3" t="str">
        <f t="shared" si="3"/>
        <v>"AUTO"</v>
      </c>
      <c r="G28" s="3" t="str">
        <f t="shared" si="4"/>
        <v>true</v>
      </c>
    </row>
    <row r="29" spans="1:9" x14ac:dyDescent="0.25">
      <c r="A29" s="3" t="s">
        <v>25</v>
      </c>
      <c r="B29" s="4" t="str">
        <f t="shared" si="0"/>
        <v>590</v>
      </c>
      <c r="C29" s="5" t="str">
        <f t="shared" si="1"/>
        <v>590</v>
      </c>
      <c r="D29" s="3" t="s">
        <v>405</v>
      </c>
      <c r="E29" s="3" t="str">
        <f t="shared" si="2"/>
        <v>TOK_AUTONOMOUS</v>
      </c>
      <c r="F29" s="3" t="str">
        <f t="shared" si="3"/>
        <v>"AUTONOMOUS"</v>
      </c>
      <c r="G29" s="3" t="str">
        <f t="shared" si="4"/>
        <v>true</v>
      </c>
    </row>
    <row r="30" spans="1:9" x14ac:dyDescent="0.25">
      <c r="A30" s="3" t="s">
        <v>26</v>
      </c>
      <c r="B30" s="4" t="str">
        <f t="shared" si="0"/>
        <v>267</v>
      </c>
      <c r="C30" s="5" t="str">
        <f t="shared" si="1"/>
        <v>267</v>
      </c>
      <c r="D30" s="3" t="s">
        <v>406</v>
      </c>
      <c r="E30" s="3" t="str">
        <f t="shared" si="2"/>
        <v>TOK_AVG</v>
      </c>
      <c r="F30" s="3" t="str">
        <f t="shared" si="3"/>
        <v>"AVG"</v>
      </c>
      <c r="G30" s="3" t="str">
        <f t="shared" si="4"/>
        <v>false</v>
      </c>
    </row>
    <row r="31" spans="1:9" x14ac:dyDescent="0.25">
      <c r="A31" s="3" t="s">
        <v>27</v>
      </c>
      <c r="B31" s="4" t="str">
        <f t="shared" si="0"/>
        <v>495</v>
      </c>
      <c r="C31" s="5" t="str">
        <f t="shared" si="1"/>
        <v>495</v>
      </c>
      <c r="D31" s="3" t="s">
        <v>407</v>
      </c>
      <c r="E31" s="3" t="str">
        <f t="shared" si="2"/>
        <v>TOK_BACKUP</v>
      </c>
      <c r="F31" s="3" t="str">
        <f t="shared" si="3"/>
        <v>"BACKUP"</v>
      </c>
      <c r="G31" s="3" t="str">
        <f t="shared" si="4"/>
        <v>true</v>
      </c>
      <c r="I31" t="s">
        <v>370</v>
      </c>
    </row>
    <row r="32" spans="1:9" x14ac:dyDescent="0.25">
      <c r="A32" s="3" t="s">
        <v>884</v>
      </c>
      <c r="B32" s="4" t="str">
        <f>IF(A32 = "", -1,TRIM(MID(A32, SEARCH(" ",A32) + 1, 99)))</f>
        <v>***</v>
      </c>
      <c r="C32" s="5">
        <v>653</v>
      </c>
      <c r="D32" s="3" t="s">
        <v>408</v>
      </c>
      <c r="E32" s="3" t="str">
        <f t="shared" si="2"/>
        <v>TOK_BASE64_DECODE</v>
      </c>
      <c r="F32" s="3" t="str">
        <f t="shared" si="3"/>
        <v>"BASE64_DECODE"</v>
      </c>
      <c r="G32" s="3" t="str">
        <f t="shared" si="4"/>
        <v>true</v>
      </c>
    </row>
    <row r="33" spans="1:7" x14ac:dyDescent="0.25">
      <c r="A33" s="3" t="s">
        <v>885</v>
      </c>
      <c r="B33" s="4" t="str">
        <f t="shared" ref="B33:B96" si="5">IF(A33 = "", -1,TRIM(MID(A33, SEARCH(" ",A33) + 1, 99)))</f>
        <v>***</v>
      </c>
      <c r="C33" s="5">
        <v>654</v>
      </c>
      <c r="D33" s="3" t="s">
        <v>409</v>
      </c>
      <c r="E33" s="3" t="str">
        <f t="shared" si="2"/>
        <v>TOK_BASE64_ENCODE</v>
      </c>
      <c r="F33" s="3" t="str">
        <f t="shared" si="3"/>
        <v>"BASE64_ENCODE"</v>
      </c>
      <c r="G33" s="3" t="str">
        <f t="shared" si="4"/>
        <v>true</v>
      </c>
    </row>
    <row r="34" spans="1:7" x14ac:dyDescent="0.25">
      <c r="A34" s="3" t="s">
        <v>28</v>
      </c>
      <c r="B34" s="4" t="str">
        <f t="shared" si="5"/>
        <v>269</v>
      </c>
      <c r="C34" s="5" t="str">
        <f t="shared" si="1"/>
        <v>269</v>
      </c>
      <c r="D34" s="3" t="s">
        <v>410</v>
      </c>
      <c r="E34" s="3" t="str">
        <f t="shared" si="2"/>
        <v>TOK_BEFORE</v>
      </c>
      <c r="F34" s="3" t="str">
        <f t="shared" si="3"/>
        <v>"BEFORE"</v>
      </c>
      <c r="G34" s="3" t="str">
        <f t="shared" si="4"/>
        <v>true</v>
      </c>
    </row>
    <row r="35" spans="1:7" x14ac:dyDescent="0.25">
      <c r="A35" s="3" t="s">
        <v>29</v>
      </c>
      <c r="B35" s="4" t="str">
        <f t="shared" si="5"/>
        <v>270</v>
      </c>
      <c r="C35" s="5" t="str">
        <f t="shared" si="1"/>
        <v>270</v>
      </c>
      <c r="D35" s="3" t="s">
        <v>411</v>
      </c>
      <c r="E35" s="3" t="str">
        <f t="shared" si="2"/>
        <v>TOK_BEGIN</v>
      </c>
      <c r="F35" s="3" t="str">
        <f t="shared" si="3"/>
        <v>"BEGIN"</v>
      </c>
      <c r="G35" s="3" t="str">
        <f t="shared" si="4"/>
        <v>false</v>
      </c>
    </row>
    <row r="36" spans="1:7" x14ac:dyDescent="0.25">
      <c r="A36" s="3" t="s">
        <v>30</v>
      </c>
      <c r="B36" s="4" t="str">
        <f t="shared" si="5"/>
        <v>271</v>
      </c>
      <c r="C36" s="5" t="str">
        <f t="shared" si="1"/>
        <v>271</v>
      </c>
      <c r="D36" s="3" t="s">
        <v>412</v>
      </c>
      <c r="E36" s="3" t="str">
        <f t="shared" si="2"/>
        <v>TOK_BETWEEN</v>
      </c>
      <c r="F36" s="3" t="str">
        <f t="shared" si="3"/>
        <v>"BETWEEN"</v>
      </c>
      <c r="G36" s="3" t="str">
        <f t="shared" si="4"/>
        <v>false</v>
      </c>
    </row>
    <row r="37" spans="1:7" x14ac:dyDescent="0.25">
      <c r="A37" s="3" t="s">
        <v>31</v>
      </c>
      <c r="B37" s="4" t="str">
        <f t="shared" si="5"/>
        <v>479</v>
      </c>
      <c r="C37" s="5" t="str">
        <f t="shared" si="1"/>
        <v>479</v>
      </c>
      <c r="D37" s="3" t="s">
        <v>413</v>
      </c>
      <c r="E37" s="3" t="str">
        <f t="shared" si="2"/>
        <v>TOK_BIGINT</v>
      </c>
      <c r="F37" s="3" t="str">
        <f t="shared" si="3"/>
        <v>"BIGINT"</v>
      </c>
      <c r="G37" s="3" t="str">
        <f t="shared" si="4"/>
        <v>false</v>
      </c>
    </row>
    <row r="38" spans="1:7" x14ac:dyDescent="0.25">
      <c r="A38" s="3" t="s">
        <v>32</v>
      </c>
      <c r="B38" s="4" t="str">
        <f t="shared" si="5"/>
        <v>534</v>
      </c>
      <c r="C38" s="5" t="str">
        <f t="shared" si="1"/>
        <v>534</v>
      </c>
      <c r="D38" s="3" t="s">
        <v>414</v>
      </c>
      <c r="E38" s="3" t="str">
        <f t="shared" si="2"/>
        <v>TOK_BIN_AND</v>
      </c>
      <c r="F38" s="3" t="str">
        <f t="shared" si="3"/>
        <v>"BIN_AND"</v>
      </c>
      <c r="G38" s="3" t="str">
        <f t="shared" si="4"/>
        <v>true</v>
      </c>
    </row>
    <row r="39" spans="1:7" x14ac:dyDescent="0.25">
      <c r="B39" s="4">
        <f t="shared" si="5"/>
        <v>-1</v>
      </c>
      <c r="C39" s="5">
        <v>655</v>
      </c>
      <c r="D39" s="3" t="s">
        <v>971</v>
      </c>
      <c r="E39" s="3" t="str">
        <f>TRIM(MID(D39, 1, SEARCH(",",D39) - 1))</f>
        <v>TOK_BIN_COMPLEMENT_GTR</v>
      </c>
      <c r="F39" s="3" t="str">
        <f>TRIM(MID(D39, SEARCH(",",D39) + 1, SEARCH(",",D39,SEARCH(",",D39)+1) - SEARCH(",",D39) - 1))</f>
        <v>"~&gt;"</v>
      </c>
      <c r="G39" s="3" t="str">
        <f>TRIM(MID(D39, FIND("#",SUBSTITUTE(D39,",","#",2))+1,99))</f>
        <v>false</v>
      </c>
    </row>
    <row r="40" spans="1:7" x14ac:dyDescent="0.25">
      <c r="B40" s="4">
        <f t="shared" si="5"/>
        <v>-1</v>
      </c>
      <c r="C40" s="5">
        <v>656</v>
      </c>
      <c r="D40" s="3" t="s">
        <v>973</v>
      </c>
      <c r="E40" s="3" t="str">
        <f>TRIM(MID(D40, 1, SEARCH(",",D40) - 1))</f>
        <v>TOK_BIN_COMPLIMENT_LSS</v>
      </c>
      <c r="F40" s="3" t="str">
        <f>TRIM(MID(D40, SEARCH(",",D40) + 1, SEARCH(",",D40,SEARCH(",",D40)+1) - SEARCH(",",D40) - 1))</f>
        <v>"~&lt;"</v>
      </c>
      <c r="G40" s="3" t="str">
        <f>TRIM(MID(D40, FIND("#",SUBSTITUTE(D40,",","#",2))+1,99))</f>
        <v>false</v>
      </c>
    </row>
    <row r="41" spans="1:7" x14ac:dyDescent="0.25">
      <c r="A41" s="3" t="s">
        <v>33</v>
      </c>
      <c r="B41" s="4" t="str">
        <f t="shared" si="5"/>
        <v>606</v>
      </c>
      <c r="C41" s="5" t="str">
        <f t="shared" si="1"/>
        <v>606</v>
      </c>
      <c r="D41" s="3" t="s">
        <v>415</v>
      </c>
      <c r="E41" s="3" t="str">
        <f t="shared" si="2"/>
        <v>TOK_BIN_NOT</v>
      </c>
      <c r="F41" s="3" t="str">
        <f t="shared" si="3"/>
        <v>"BIN_NOT"</v>
      </c>
      <c r="G41" s="3" t="str">
        <f t="shared" si="4"/>
        <v>true</v>
      </c>
    </row>
    <row r="42" spans="1:7" x14ac:dyDescent="0.25">
      <c r="A42" s="3" t="s">
        <v>968</v>
      </c>
      <c r="B42" s="4" t="str">
        <f t="shared" si="5"/>
        <v>538</v>
      </c>
      <c r="C42" s="5" t="str">
        <f t="shared" si="1"/>
        <v>538</v>
      </c>
      <c r="D42" s="3" t="s">
        <v>964</v>
      </c>
      <c r="E42" s="3" t="str">
        <f>TRIM(MID(D42, 1, SEARCH(",",D42) - 1))</f>
        <v>TOK_BIN_OPR_XOR</v>
      </c>
      <c r="F42" s="3" t="str">
        <f>TRIM(MID(D42, SEARCH(",",D42) + 1, SEARCH(",",D42,SEARCH(",",D42)+1) - SEARCH(",",D42) - 1))</f>
        <v>"^="</v>
      </c>
      <c r="G42" s="3" t="str">
        <f>TRIM(MID(D42, FIND("#",SUBSTITUTE(D42,",","#",2))+1,99))</f>
        <v>false</v>
      </c>
    </row>
    <row r="43" spans="1:7" x14ac:dyDescent="0.25">
      <c r="A43" s="3" t="s">
        <v>969</v>
      </c>
      <c r="B43" s="4" t="str">
        <f t="shared" si="5"/>
        <v>606</v>
      </c>
      <c r="C43" s="5" t="str">
        <f t="shared" si="1"/>
        <v>606</v>
      </c>
      <c r="D43" s="3" t="s">
        <v>965</v>
      </c>
      <c r="E43" s="3" t="str">
        <f>TRIM(MID(D43, 1, SEARCH(",",D43) - 1))</f>
        <v>TOK_BIN_OPR_COMPLEMENT</v>
      </c>
      <c r="F43" s="3" t="str">
        <f>TRIM(MID(D43, SEARCH(",",D43) + 1, SEARCH(",",D43,SEARCH(",",D43)+1) - SEARCH(",",D43) - 1))</f>
        <v>"~="</v>
      </c>
      <c r="G43" s="3" t="str">
        <f>TRIM(MID(D43, FIND("#",SUBSTITUTE(D43,",","#",2))+1,99))</f>
        <v>false</v>
      </c>
    </row>
    <row r="44" spans="1:7" x14ac:dyDescent="0.25">
      <c r="A44" s="3" t="s">
        <v>34</v>
      </c>
      <c r="B44" s="4" t="str">
        <f t="shared" si="5"/>
        <v>535</v>
      </c>
      <c r="C44" s="5" t="str">
        <f t="shared" si="1"/>
        <v>535</v>
      </c>
      <c r="D44" s="3" t="s">
        <v>416</v>
      </c>
      <c r="E44" s="3" t="str">
        <f t="shared" si="2"/>
        <v>TOK_BIN_OR</v>
      </c>
      <c r="F44" s="3" t="str">
        <f t="shared" si="3"/>
        <v>"BIN_OR"</v>
      </c>
      <c r="G44" s="3" t="str">
        <f t="shared" si="4"/>
        <v>true</v>
      </c>
    </row>
    <row r="45" spans="1:7" x14ac:dyDescent="0.25">
      <c r="A45" s="3" t="s">
        <v>35</v>
      </c>
      <c r="B45" s="4" t="str">
        <f t="shared" si="5"/>
        <v>536</v>
      </c>
      <c r="C45" s="5" t="str">
        <f t="shared" si="1"/>
        <v>536</v>
      </c>
      <c r="D45" s="3" t="s">
        <v>417</v>
      </c>
      <c r="E45" s="3" t="str">
        <f t="shared" si="2"/>
        <v>TOK_BIN_SHL</v>
      </c>
      <c r="F45" s="3" t="str">
        <f t="shared" si="3"/>
        <v>"BIN_SHL"</v>
      </c>
      <c r="G45" s="3" t="str">
        <f t="shared" si="4"/>
        <v>true</v>
      </c>
    </row>
    <row r="46" spans="1:7" x14ac:dyDescent="0.25">
      <c r="A46" s="3" t="s">
        <v>36</v>
      </c>
      <c r="B46" s="4" t="str">
        <f t="shared" si="5"/>
        <v>537</v>
      </c>
      <c r="C46" s="5" t="str">
        <f t="shared" si="1"/>
        <v>537</v>
      </c>
      <c r="D46" s="3" t="s">
        <v>418</v>
      </c>
      <c r="E46" s="3" t="str">
        <f t="shared" si="2"/>
        <v>TOK_BIN_SHR</v>
      </c>
      <c r="F46" s="3" t="str">
        <f t="shared" si="3"/>
        <v>"BIN_SHR"</v>
      </c>
      <c r="G46" s="3" t="str">
        <f t="shared" si="4"/>
        <v>true</v>
      </c>
    </row>
    <row r="47" spans="1:7" x14ac:dyDescent="0.25">
      <c r="A47" s="3" t="s">
        <v>37</v>
      </c>
      <c r="B47" s="4" t="str">
        <f t="shared" si="5"/>
        <v>538</v>
      </c>
      <c r="C47" s="5" t="str">
        <f t="shared" si="1"/>
        <v>538</v>
      </c>
      <c r="D47" s="3" t="s">
        <v>419</v>
      </c>
      <c r="E47" s="3" t="str">
        <f t="shared" si="2"/>
        <v>TOK_BIN_XOR</v>
      </c>
      <c r="F47" s="3" t="str">
        <f t="shared" si="3"/>
        <v>"BIN_XOR"</v>
      </c>
      <c r="G47" s="3" t="str">
        <f t="shared" si="4"/>
        <v>true</v>
      </c>
    </row>
    <row r="48" spans="1:7" x14ac:dyDescent="0.25">
      <c r="B48" s="4">
        <f t="shared" si="5"/>
        <v>-1</v>
      </c>
      <c r="C48" s="5">
        <v>657</v>
      </c>
      <c r="D48" s="3" t="s">
        <v>970</v>
      </c>
      <c r="E48" s="3" t="str">
        <f>TRIM(MID(D48, 1, SEARCH(",",D48) - 1))</f>
        <v>TOK_BIN_XOR_GTR</v>
      </c>
      <c r="F48" s="3" t="str">
        <f>TRIM(MID(D48, SEARCH(",",D48) + 1, SEARCH(",",D48,SEARCH(",",D48)+1) - SEARCH(",",D48) - 1))</f>
        <v>"^&gt;"</v>
      </c>
      <c r="G48" s="3" t="str">
        <f>TRIM(MID(D48, FIND("#",SUBSTITUTE(D48,",","#",2))+1,99))</f>
        <v>false</v>
      </c>
    </row>
    <row r="49" spans="1:7" x14ac:dyDescent="0.25">
      <c r="B49" s="4">
        <f t="shared" si="5"/>
        <v>-1</v>
      </c>
      <c r="C49" s="5">
        <v>658</v>
      </c>
      <c r="D49" s="3" t="s">
        <v>972</v>
      </c>
      <c r="E49" s="3" t="str">
        <f>TRIM(MID(D49, 1, SEARCH(",",D49) - 1))</f>
        <v>TOK_BIN_XOR_LSS</v>
      </c>
      <c r="F49" s="3" t="str">
        <f>TRIM(MID(D49, SEARCH(",",D49) + 1, SEARCH(",",D49,SEARCH(",",D49)+1) - SEARCH(",",D49) - 1))</f>
        <v>"^&lt;"</v>
      </c>
      <c r="G49" s="3" t="str">
        <f>TRIM(MID(D49, FIND("#",SUBSTITUTE(D49,",","#",2))+1,99))</f>
        <v>false</v>
      </c>
    </row>
    <row r="50" spans="1:7" x14ac:dyDescent="0.25">
      <c r="A50" s="3" t="s">
        <v>886</v>
      </c>
      <c r="B50" s="4" t="str">
        <f t="shared" si="5"/>
        <v>***</v>
      </c>
      <c r="C50" s="5">
        <v>659</v>
      </c>
      <c r="D50" s="3" t="s">
        <v>420</v>
      </c>
      <c r="E50" s="3" t="str">
        <f t="shared" si="2"/>
        <v>TOK_BINARY</v>
      </c>
      <c r="F50" s="3" t="str">
        <f t="shared" si="3"/>
        <v>"BINARY"</v>
      </c>
      <c r="G50" s="3" t="str">
        <f t="shared" si="4"/>
        <v>false</v>
      </c>
    </row>
    <row r="51" spans="1:7" x14ac:dyDescent="0.25">
      <c r="A51" s="3" t="s">
        <v>887</v>
      </c>
      <c r="B51" s="4" t="str">
        <f t="shared" si="5"/>
        <v>***</v>
      </c>
      <c r="C51" s="5">
        <v>660</v>
      </c>
      <c r="D51" s="3" t="s">
        <v>421</v>
      </c>
      <c r="E51" s="3" t="str">
        <f t="shared" si="2"/>
        <v>TOK_BIND</v>
      </c>
      <c r="F51" s="3" t="str">
        <f t="shared" si="3"/>
        <v>"BIND"</v>
      </c>
      <c r="G51" s="3" t="str">
        <f t="shared" si="4"/>
        <v>true</v>
      </c>
    </row>
    <row r="52" spans="1:7" x14ac:dyDescent="0.25">
      <c r="A52" s="3" t="s">
        <v>38</v>
      </c>
      <c r="B52" s="4" t="str">
        <f t="shared" si="5"/>
        <v>605</v>
      </c>
      <c r="C52" s="5" t="str">
        <f t="shared" si="1"/>
        <v>605</v>
      </c>
      <c r="D52" s="3" t="s">
        <v>422</v>
      </c>
      <c r="E52" s="3" t="str">
        <f t="shared" si="2"/>
        <v>TOK_BIND_PARAM</v>
      </c>
      <c r="F52" s="3" t="str">
        <f t="shared" si="3"/>
        <v>":="</v>
      </c>
      <c r="G52" s="3" t="str">
        <f t="shared" si="4"/>
        <v>false</v>
      </c>
    </row>
    <row r="53" spans="1:7" x14ac:dyDescent="0.25">
      <c r="A53" s="3" t="s">
        <v>39</v>
      </c>
      <c r="B53" s="4" t="str">
        <f t="shared" si="5"/>
        <v>511</v>
      </c>
      <c r="C53" s="5" t="str">
        <f t="shared" si="1"/>
        <v>511</v>
      </c>
      <c r="D53" s="3" t="s">
        <v>423</v>
      </c>
      <c r="E53" s="3" t="str">
        <f t="shared" si="2"/>
        <v>TOK_BIT_LENGTH</v>
      </c>
      <c r="F53" s="3" t="str">
        <f t="shared" si="3"/>
        <v>"BIT_LENGTH"</v>
      </c>
      <c r="G53" s="3" t="str">
        <f t="shared" si="4"/>
        <v>false</v>
      </c>
    </row>
    <row r="54" spans="1:7" x14ac:dyDescent="0.25">
      <c r="A54" s="3" t="s">
        <v>40</v>
      </c>
      <c r="B54" s="4" t="str">
        <f t="shared" si="5"/>
        <v>272</v>
      </c>
      <c r="C54" s="5" t="str">
        <f t="shared" si="1"/>
        <v>272</v>
      </c>
      <c r="D54" s="3" t="s">
        <v>424</v>
      </c>
      <c r="E54" s="3" t="str">
        <f t="shared" si="2"/>
        <v>TOK_BLOB</v>
      </c>
      <c r="F54" s="3" t="str">
        <f t="shared" si="3"/>
        <v>"BLOB"</v>
      </c>
      <c r="G54" s="3" t="str">
        <f t="shared" si="4"/>
        <v>false</v>
      </c>
    </row>
    <row r="55" spans="1:7" x14ac:dyDescent="0.25">
      <c r="A55" s="3" t="s">
        <v>888</v>
      </c>
      <c r="B55" s="4" t="str">
        <f t="shared" si="5"/>
        <v>***</v>
      </c>
      <c r="C55" s="5">
        <v>661</v>
      </c>
      <c r="D55" s="3" t="s">
        <v>425</v>
      </c>
      <c r="E55" s="3" t="str">
        <f t="shared" si="2"/>
        <v>TOK_BLOB_APPEND</v>
      </c>
      <c r="F55" s="3" t="str">
        <f t="shared" si="3"/>
        <v>"BLOB_APPEND"</v>
      </c>
      <c r="G55" s="3" t="str">
        <f t="shared" si="4"/>
        <v>true</v>
      </c>
    </row>
    <row r="56" spans="1:7" x14ac:dyDescent="0.25">
      <c r="A56" s="3" t="s">
        <v>41</v>
      </c>
      <c r="B56" s="4" t="str">
        <f t="shared" si="5"/>
        <v>501</v>
      </c>
      <c r="C56" s="5" t="str">
        <f t="shared" si="1"/>
        <v>501</v>
      </c>
      <c r="D56" s="3" t="s">
        <v>426</v>
      </c>
      <c r="E56" s="3" t="str">
        <f t="shared" si="2"/>
        <v>TOK_BLOCK</v>
      </c>
      <c r="F56" s="3" t="str">
        <f t="shared" si="3"/>
        <v>"BLOCK"</v>
      </c>
      <c r="G56" s="3" t="str">
        <f t="shared" si="4"/>
        <v>true</v>
      </c>
    </row>
    <row r="57" spans="1:7" x14ac:dyDescent="0.25">
      <c r="A57" s="3" t="s">
        <v>42</v>
      </c>
      <c r="B57" s="4" t="str">
        <f t="shared" si="5"/>
        <v>607</v>
      </c>
      <c r="C57" s="5" t="str">
        <f t="shared" si="1"/>
        <v>607</v>
      </c>
      <c r="D57" s="3" t="s">
        <v>427</v>
      </c>
      <c r="E57" s="3" t="str">
        <f t="shared" si="2"/>
        <v>TOK_BODY</v>
      </c>
      <c r="F57" s="3" t="str">
        <f t="shared" si="3"/>
        <v>"BODY"</v>
      </c>
      <c r="G57" s="3" t="str">
        <f t="shared" si="4"/>
        <v>true</v>
      </c>
    </row>
    <row r="58" spans="1:7" x14ac:dyDescent="0.25">
      <c r="A58" s="3" t="s">
        <v>925</v>
      </c>
      <c r="B58" s="4" t="str">
        <f t="shared" si="5"/>
        <v>638</v>
      </c>
      <c r="C58" s="5" t="str">
        <f t="shared" si="1"/>
        <v>638</v>
      </c>
      <c r="D58" s="3" t="s">
        <v>428</v>
      </c>
      <c r="E58" s="3" t="str">
        <f t="shared" si="2"/>
        <v>TOK_BOOLEAN</v>
      </c>
      <c r="F58" s="3" t="str">
        <f t="shared" si="3"/>
        <v>"BOOLEAN"</v>
      </c>
      <c r="G58" s="3" t="str">
        <f t="shared" si="4"/>
        <v>false</v>
      </c>
    </row>
    <row r="59" spans="1:7" x14ac:dyDescent="0.25">
      <c r="A59" s="3" t="s">
        <v>43</v>
      </c>
      <c r="B59" s="4" t="str">
        <f t="shared" si="5"/>
        <v>508</v>
      </c>
      <c r="C59" s="5" t="str">
        <f t="shared" si="1"/>
        <v>508</v>
      </c>
      <c r="D59" s="3" t="s">
        <v>429</v>
      </c>
      <c r="E59" s="3" t="str">
        <f t="shared" si="2"/>
        <v>TOK_BOTH</v>
      </c>
      <c r="F59" s="3" t="str">
        <f t="shared" si="3"/>
        <v>"BOTH"</v>
      </c>
      <c r="G59" s="3" t="str">
        <f t="shared" si="4"/>
        <v>false</v>
      </c>
    </row>
    <row r="60" spans="1:7" x14ac:dyDescent="0.25">
      <c r="A60" s="3" t="s">
        <v>926</v>
      </c>
      <c r="B60" s="4" t="str">
        <f t="shared" si="5"/>
        <v>471</v>
      </c>
      <c r="C60" s="5" t="str">
        <f t="shared" si="1"/>
        <v>471</v>
      </c>
      <c r="D60" s="3" t="s">
        <v>430</v>
      </c>
      <c r="E60" s="3" t="str">
        <f t="shared" si="2"/>
        <v>TOK_BREAK</v>
      </c>
      <c r="F60" s="3" t="str">
        <f t="shared" si="3"/>
        <v>"BREAK"</v>
      </c>
      <c r="G60" s="3" t="str">
        <f t="shared" si="4"/>
        <v>true</v>
      </c>
    </row>
    <row r="61" spans="1:7" x14ac:dyDescent="0.25">
      <c r="A61" s="3" t="s">
        <v>44</v>
      </c>
      <c r="B61" s="4" t="str">
        <f t="shared" si="5"/>
        <v>273</v>
      </c>
      <c r="C61" s="5" t="str">
        <f t="shared" si="1"/>
        <v>273</v>
      </c>
      <c r="D61" s="3" t="s">
        <v>431</v>
      </c>
      <c r="E61" s="3" t="str">
        <f t="shared" si="2"/>
        <v>TOK_BY</v>
      </c>
      <c r="F61" s="3" t="str">
        <f t="shared" si="3"/>
        <v>"BY"</v>
      </c>
      <c r="G61" s="3" t="str">
        <f t="shared" si="4"/>
        <v>false</v>
      </c>
    </row>
    <row r="62" spans="1:7" x14ac:dyDescent="0.25">
      <c r="A62" s="3" t="s">
        <v>45</v>
      </c>
      <c r="B62" s="4" t="str">
        <f t="shared" si="5"/>
        <v>600</v>
      </c>
      <c r="C62" s="5" t="str">
        <f t="shared" si="1"/>
        <v>600</v>
      </c>
      <c r="D62" s="3" t="s">
        <v>432</v>
      </c>
      <c r="E62" s="3" t="str">
        <f t="shared" si="2"/>
        <v>TOK_CALLER</v>
      </c>
      <c r="F62" s="3" t="str">
        <f t="shared" si="3"/>
        <v>"CALLER"</v>
      </c>
      <c r="G62" s="3" t="str">
        <f t="shared" si="4"/>
        <v>true</v>
      </c>
    </row>
    <row r="63" spans="1:7" x14ac:dyDescent="0.25">
      <c r="A63" s="3" t="s">
        <v>46</v>
      </c>
      <c r="B63" s="4" t="str">
        <f t="shared" si="5"/>
        <v>447</v>
      </c>
      <c r="C63" s="5" t="str">
        <f t="shared" si="1"/>
        <v>447</v>
      </c>
      <c r="D63" s="3" t="s">
        <v>433</v>
      </c>
      <c r="E63" s="3" t="str">
        <f t="shared" si="2"/>
        <v>TOK_CASCADE</v>
      </c>
      <c r="F63" s="3" t="str">
        <f t="shared" si="3"/>
        <v>"CASCADE"</v>
      </c>
      <c r="G63" s="3" t="str">
        <f t="shared" si="4"/>
        <v>true</v>
      </c>
    </row>
    <row r="64" spans="1:7" x14ac:dyDescent="0.25">
      <c r="A64" s="3" t="s">
        <v>47</v>
      </c>
      <c r="B64" s="4" t="str">
        <f t="shared" si="5"/>
        <v>480</v>
      </c>
      <c r="C64" s="5" t="str">
        <f t="shared" si="1"/>
        <v>480</v>
      </c>
      <c r="D64" s="3" t="s">
        <v>434</v>
      </c>
      <c r="E64" s="3" t="str">
        <f t="shared" si="2"/>
        <v>TOK_CASE</v>
      </c>
      <c r="F64" s="3" t="str">
        <f t="shared" si="3"/>
        <v>"CASE"</v>
      </c>
      <c r="G64" s="3" t="str">
        <f t="shared" si="4"/>
        <v>false</v>
      </c>
    </row>
    <row r="65" spans="1:9" x14ac:dyDescent="0.25">
      <c r="A65" s="3" t="s">
        <v>48</v>
      </c>
      <c r="B65" s="4" t="str">
        <f t="shared" si="5"/>
        <v>274</v>
      </c>
      <c r="C65" s="5" t="str">
        <f t="shared" si="1"/>
        <v>274</v>
      </c>
      <c r="D65" s="3" t="s">
        <v>435</v>
      </c>
      <c r="E65" s="3" t="str">
        <f t="shared" si="2"/>
        <v>TOK_CAST</v>
      </c>
      <c r="F65" s="3" t="str">
        <f t="shared" si="3"/>
        <v>"CAST"</v>
      </c>
      <c r="G65" s="3" t="str">
        <f t="shared" si="4"/>
        <v>false</v>
      </c>
    </row>
    <row r="66" spans="1:9" x14ac:dyDescent="0.25">
      <c r="A66" s="3" t="s">
        <v>49</v>
      </c>
      <c r="B66" s="4" t="str">
        <f t="shared" si="5"/>
        <v>539</v>
      </c>
      <c r="C66" s="5" t="str">
        <f t="shared" si="1"/>
        <v>539</v>
      </c>
      <c r="D66" s="3" t="s">
        <v>436</v>
      </c>
      <c r="E66" s="3" t="str">
        <f t="shared" si="2"/>
        <v>TOK_CEIL</v>
      </c>
      <c r="F66" s="3" t="str">
        <f t="shared" si="3"/>
        <v>"CEIL"</v>
      </c>
      <c r="G66" s="3" t="str">
        <f t="shared" si="4"/>
        <v>true</v>
      </c>
    </row>
    <row r="67" spans="1:9" x14ac:dyDescent="0.25">
      <c r="A67" s="3" t="s">
        <v>890</v>
      </c>
      <c r="B67" s="4" t="str">
        <f t="shared" si="5"/>
        <v>539</v>
      </c>
      <c r="C67" s="5" t="str">
        <f t="shared" ref="C67:C129" si="6">IF(B67 = "***", -1, B67)</f>
        <v>539</v>
      </c>
      <c r="D67" s="3" t="s">
        <v>889</v>
      </c>
      <c r="E67" s="3" t="str">
        <f t="shared" ref="E67:E121" si="7">TRIM(MID(D67, 1, SEARCH(",",D67) - 1))</f>
        <v>TOK_CEILING</v>
      </c>
      <c r="F67" s="3" t="str">
        <f t="shared" si="3"/>
        <v>"CEILING"</v>
      </c>
      <c r="G67" s="3" t="str">
        <f t="shared" si="4"/>
        <v>true</v>
      </c>
    </row>
    <row r="68" spans="1:9" x14ac:dyDescent="0.25">
      <c r="A68" s="3" t="s">
        <v>927</v>
      </c>
      <c r="B68" s="4" t="str">
        <f t="shared" si="5"/>
        <v>337</v>
      </c>
      <c r="C68" s="5" t="str">
        <f t="shared" si="6"/>
        <v>337</v>
      </c>
      <c r="D68" s="3" t="s">
        <v>437</v>
      </c>
      <c r="E68" s="3" t="str">
        <f t="shared" si="7"/>
        <v>TOK_CHAR</v>
      </c>
      <c r="F68" s="3" t="str">
        <f t="shared" si="3"/>
        <v>"CHAR"</v>
      </c>
      <c r="G68" s="3" t="str">
        <f t="shared" si="4"/>
        <v>false</v>
      </c>
    </row>
    <row r="69" spans="1:9" x14ac:dyDescent="0.25">
      <c r="A69" s="3" t="s">
        <v>891</v>
      </c>
      <c r="B69" s="4" t="str">
        <f t="shared" si="5"/>
        <v>513</v>
      </c>
      <c r="C69" s="5" t="str">
        <f t="shared" si="6"/>
        <v>513</v>
      </c>
      <c r="D69" s="3" t="s">
        <v>438</v>
      </c>
      <c r="E69" s="3" t="str">
        <f t="shared" si="7"/>
        <v>TOK_CHAR_LENGTH</v>
      </c>
      <c r="F69" s="3" t="str">
        <f t="shared" si="3"/>
        <v>"CHAR_LENGTH"</v>
      </c>
      <c r="G69" s="3" t="str">
        <f t="shared" si="4"/>
        <v>false</v>
      </c>
    </row>
    <row r="70" spans="1:9" x14ac:dyDescent="0.25">
      <c r="A70" s="3" t="s">
        <v>50</v>
      </c>
      <c r="B70" s="4" t="str">
        <f t="shared" si="5"/>
        <v>591</v>
      </c>
      <c r="C70" s="5" t="str">
        <f t="shared" si="6"/>
        <v>591</v>
      </c>
      <c r="D70" s="3" t="s">
        <v>439</v>
      </c>
      <c r="E70" s="3" t="str">
        <f t="shared" si="7"/>
        <v>TOK_CHAR_TO_UUID</v>
      </c>
      <c r="F70" s="3" t="str">
        <f t="shared" si="3"/>
        <v>"CHAR_TO_UUID"</v>
      </c>
      <c r="G70" s="3" t="str">
        <f t="shared" si="4"/>
        <v>true</v>
      </c>
    </row>
    <row r="71" spans="1:9" x14ac:dyDescent="0.25">
      <c r="A71" s="3" t="s">
        <v>51</v>
      </c>
      <c r="B71" s="4" t="str">
        <f t="shared" si="5"/>
        <v>275</v>
      </c>
      <c r="C71" s="5" t="str">
        <f t="shared" si="6"/>
        <v>275</v>
      </c>
      <c r="D71" s="3" t="s">
        <v>440</v>
      </c>
      <c r="E71" s="3" t="str">
        <f t="shared" si="7"/>
        <v>TOK_CHARACTER</v>
      </c>
      <c r="F71" s="3" t="str">
        <f t="shared" si="3"/>
        <v>"CHARACTER"</v>
      </c>
      <c r="G71" s="3" t="str">
        <f t="shared" si="4"/>
        <v>false</v>
      </c>
    </row>
    <row r="72" spans="1:9" x14ac:dyDescent="0.25">
      <c r="A72" s="3" t="s">
        <v>52</v>
      </c>
      <c r="B72" s="4" t="str">
        <f t="shared" si="5"/>
        <v>513</v>
      </c>
      <c r="C72" s="5" t="str">
        <f t="shared" si="6"/>
        <v>513</v>
      </c>
      <c r="D72" s="3" t="s">
        <v>441</v>
      </c>
      <c r="E72" s="3" t="str">
        <f t="shared" si="7"/>
        <v>TOK_CHARACTER_LENGTH</v>
      </c>
      <c r="F72" s="3" t="str">
        <f t="shared" si="3"/>
        <v>"CHARACTER_LENGTH"</v>
      </c>
      <c r="G72" s="3" t="str">
        <f t="shared" si="4"/>
        <v>false</v>
      </c>
      <c r="I72" t="s">
        <v>371</v>
      </c>
    </row>
    <row r="73" spans="1:9" x14ac:dyDescent="0.25">
      <c r="A73" s="3" t="s">
        <v>53</v>
      </c>
      <c r="B73" s="4" t="str">
        <f t="shared" si="5"/>
        <v>276</v>
      </c>
      <c r="C73" s="5" t="str">
        <f t="shared" si="6"/>
        <v>276</v>
      </c>
      <c r="D73" s="3" t="s">
        <v>442</v>
      </c>
      <c r="E73" s="3" t="str">
        <f t="shared" si="7"/>
        <v>TOK_CHECK</v>
      </c>
      <c r="F73" s="3" t="str">
        <f t="shared" ref="F73:F121" si="8">TRIM(MID(D73, SEARCH(",",D73) + 1, SEARCH(",",D73,SEARCH(",",D73)+1) - SEARCH(",",D73) - 1))</f>
        <v>"CHECK"</v>
      </c>
      <c r="G73" s="3" t="str">
        <f t="shared" ref="G73:G121" si="9">TRIM(MID(D73, FIND("#",SUBSTITUTE(D73,",","#",2))+1,99))</f>
        <v>false</v>
      </c>
    </row>
    <row r="74" spans="1:9" x14ac:dyDescent="0.25">
      <c r="A74" s="3" t="s">
        <v>892</v>
      </c>
      <c r="B74" s="4" t="str">
        <f t="shared" si="5"/>
        <v>***</v>
      </c>
      <c r="C74" s="5">
        <v>662</v>
      </c>
      <c r="D74" s="3" t="s">
        <v>443</v>
      </c>
      <c r="E74" s="3" t="str">
        <f t="shared" si="7"/>
        <v>TOK_CLEAR</v>
      </c>
      <c r="F74" s="3" t="str">
        <f t="shared" si="8"/>
        <v>"CLEAR"</v>
      </c>
      <c r="G74" s="3" t="str">
        <f t="shared" si="9"/>
        <v>true</v>
      </c>
    </row>
    <row r="75" spans="1:9" x14ac:dyDescent="0.25">
      <c r="A75" s="3" t="s">
        <v>54</v>
      </c>
      <c r="B75" s="4" t="str">
        <f t="shared" si="5"/>
        <v>498</v>
      </c>
      <c r="C75" s="5" t="str">
        <f t="shared" si="6"/>
        <v>498</v>
      </c>
      <c r="D75" s="3" t="s">
        <v>444</v>
      </c>
      <c r="E75" s="3" t="str">
        <f t="shared" si="7"/>
        <v>TOK_CLOSE</v>
      </c>
      <c r="F75" s="3" t="str">
        <f t="shared" si="8"/>
        <v>"CLOSE"</v>
      </c>
      <c r="G75" s="3" t="str">
        <f t="shared" si="9"/>
        <v>false</v>
      </c>
    </row>
    <row r="76" spans="1:9" x14ac:dyDescent="0.25">
      <c r="A76" s="3" t="s">
        <v>55</v>
      </c>
      <c r="B76" s="4" t="str">
        <f t="shared" si="5"/>
        <v>482</v>
      </c>
      <c r="C76" s="5" t="str">
        <f t="shared" si="6"/>
        <v>482</v>
      </c>
      <c r="D76" s="3" t="s">
        <v>445</v>
      </c>
      <c r="E76" s="3" t="str">
        <f t="shared" si="7"/>
        <v>TOK_COALESCE</v>
      </c>
      <c r="F76" s="3" t="str">
        <f t="shared" si="8"/>
        <v>"COALESCE"</v>
      </c>
      <c r="G76" s="3" t="str">
        <f t="shared" si="9"/>
        <v>true</v>
      </c>
    </row>
    <row r="77" spans="1:9" x14ac:dyDescent="0.25">
      <c r="A77" s="3" t="s">
        <v>56</v>
      </c>
      <c r="B77" s="4" t="str">
        <f t="shared" si="5"/>
        <v>277</v>
      </c>
      <c r="C77" s="5" t="str">
        <f t="shared" si="6"/>
        <v>277</v>
      </c>
      <c r="D77" s="3" t="s">
        <v>446</v>
      </c>
      <c r="E77" s="3" t="str">
        <f t="shared" si="7"/>
        <v>TOK_COLLATE</v>
      </c>
      <c r="F77" s="3" t="str">
        <f t="shared" si="8"/>
        <v>"COLLATE"</v>
      </c>
      <c r="G77" s="3" t="str">
        <f t="shared" si="9"/>
        <v>false</v>
      </c>
    </row>
    <row r="78" spans="1:9" x14ac:dyDescent="0.25">
      <c r="A78" s="3" t="s">
        <v>57</v>
      </c>
      <c r="B78" s="4" t="str">
        <f t="shared" si="5"/>
        <v>509</v>
      </c>
      <c r="C78" s="5" t="str">
        <f t="shared" si="6"/>
        <v>509</v>
      </c>
      <c r="D78" s="3" t="s">
        <v>447</v>
      </c>
      <c r="E78" s="3" t="str">
        <f t="shared" si="7"/>
        <v>TOK_COLLATION</v>
      </c>
      <c r="F78" s="3" t="str">
        <f t="shared" si="8"/>
        <v>"COLLATION"</v>
      </c>
      <c r="G78" s="3" t="str">
        <f t="shared" si="9"/>
        <v>true</v>
      </c>
    </row>
    <row r="79" spans="1:9" x14ac:dyDescent="0.25">
      <c r="A79" s="3" t="s">
        <v>58</v>
      </c>
      <c r="B79" s="4" t="str">
        <f t="shared" si="5"/>
        <v>451</v>
      </c>
      <c r="C79" s="5" t="str">
        <f t="shared" si="6"/>
        <v>451</v>
      </c>
      <c r="D79" s="3" t="s">
        <v>448</v>
      </c>
      <c r="E79" s="3" t="str">
        <f t="shared" si="7"/>
        <v>TOK_COLUMN</v>
      </c>
      <c r="F79" s="3" t="str">
        <f t="shared" si="8"/>
        <v>"COLUMN"</v>
      </c>
      <c r="G79" s="3" t="str">
        <f t="shared" si="9"/>
        <v>false</v>
      </c>
    </row>
    <row r="80" spans="1:9" x14ac:dyDescent="0.25">
      <c r="A80" s="3" t="s">
        <v>893</v>
      </c>
      <c r="B80" s="4" t="str">
        <f t="shared" si="5"/>
        <v>***</v>
      </c>
      <c r="C80" s="5">
        <v>663</v>
      </c>
      <c r="D80" s="3" t="s">
        <v>449</v>
      </c>
      <c r="E80" s="3" t="str">
        <f t="shared" si="7"/>
        <v>TOK_COMMA</v>
      </c>
      <c r="F80" s="3" t="s">
        <v>880</v>
      </c>
      <c r="G80" s="2" t="s">
        <v>881</v>
      </c>
    </row>
    <row r="81" spans="1:7" x14ac:dyDescent="0.25">
      <c r="A81" s="3" t="s">
        <v>59</v>
      </c>
      <c r="B81" s="4" t="str">
        <f t="shared" si="5"/>
        <v>510</v>
      </c>
      <c r="C81" s="5" t="str">
        <f t="shared" si="6"/>
        <v>510</v>
      </c>
      <c r="D81" s="3" t="s">
        <v>450</v>
      </c>
      <c r="E81" s="3" t="str">
        <f t="shared" si="7"/>
        <v>TOK_COMMENT</v>
      </c>
      <c r="F81" s="3" t="str">
        <f t="shared" si="8"/>
        <v>"COMMENT"</v>
      </c>
      <c r="G81" s="3" t="str">
        <f t="shared" si="9"/>
        <v>false</v>
      </c>
    </row>
    <row r="82" spans="1:7" x14ac:dyDescent="0.25">
      <c r="A82" s="3" t="s">
        <v>60</v>
      </c>
      <c r="B82" s="4" t="str">
        <f t="shared" si="5"/>
        <v>278</v>
      </c>
      <c r="C82" s="5" t="str">
        <f t="shared" si="6"/>
        <v>278</v>
      </c>
      <c r="D82" s="3" t="s">
        <v>451</v>
      </c>
      <c r="E82" s="3" t="str">
        <f t="shared" si="7"/>
        <v>TOK_COMMIT</v>
      </c>
      <c r="F82" s="3" t="str">
        <f t="shared" si="8"/>
        <v>"COMMIT"</v>
      </c>
      <c r="G82" s="3" t="str">
        <f t="shared" si="9"/>
        <v>false</v>
      </c>
    </row>
    <row r="83" spans="1:7" x14ac:dyDescent="0.25">
      <c r="A83" s="3" t="s">
        <v>61</v>
      </c>
      <c r="B83" s="4" t="str">
        <f t="shared" si="5"/>
        <v>279</v>
      </c>
      <c r="C83" s="5" t="str">
        <f t="shared" si="6"/>
        <v>279</v>
      </c>
      <c r="D83" s="3" t="s">
        <v>452</v>
      </c>
      <c r="E83" s="3" t="str">
        <f t="shared" si="7"/>
        <v>TOK_COMMITTED</v>
      </c>
      <c r="F83" s="3" t="str">
        <f t="shared" si="8"/>
        <v>"COMMITTED"</v>
      </c>
      <c r="G83" s="3" t="str">
        <f t="shared" si="9"/>
        <v>true</v>
      </c>
    </row>
    <row r="84" spans="1:7" x14ac:dyDescent="0.25">
      <c r="A84" s="3" t="s">
        <v>62</v>
      </c>
      <c r="B84" s="4" t="str">
        <f t="shared" si="5"/>
        <v>601</v>
      </c>
      <c r="C84" s="5" t="str">
        <f t="shared" si="6"/>
        <v>601</v>
      </c>
      <c r="D84" s="3" t="s">
        <v>453</v>
      </c>
      <c r="E84" s="3" t="str">
        <f t="shared" si="7"/>
        <v>TOK_COMMON</v>
      </c>
      <c r="F84" s="3" t="str">
        <f t="shared" si="8"/>
        <v>"COMMON"</v>
      </c>
      <c r="G84" s="3" t="str">
        <f t="shared" si="9"/>
        <v>true</v>
      </c>
    </row>
    <row r="85" spans="1:7" x14ac:dyDescent="0.25">
      <c r="A85" s="3" t="s">
        <v>894</v>
      </c>
      <c r="B85" s="4" t="str">
        <f t="shared" si="5"/>
        <v>***</v>
      </c>
      <c r="C85" s="5">
        <v>664</v>
      </c>
      <c r="D85" s="3" t="s">
        <v>454</v>
      </c>
      <c r="E85" s="3" t="str">
        <f t="shared" si="7"/>
        <v>TOK_COMPARE_DECFLOAT</v>
      </c>
      <c r="F85" s="3" t="str">
        <f t="shared" si="8"/>
        <v>"COMPARE_DECFLOAT"</v>
      </c>
      <c r="G85" s="3" t="str">
        <f t="shared" si="9"/>
        <v>true</v>
      </c>
    </row>
    <row r="86" spans="1:7" x14ac:dyDescent="0.25">
      <c r="A86" s="3" t="s">
        <v>63</v>
      </c>
      <c r="B86" s="4" t="str">
        <f t="shared" si="5"/>
        <v>280</v>
      </c>
      <c r="C86" s="5" t="str">
        <f t="shared" si="6"/>
        <v>280</v>
      </c>
      <c r="D86" s="3" t="s">
        <v>455</v>
      </c>
      <c r="E86" s="3" t="str">
        <f t="shared" si="7"/>
        <v>TOK_COMPUTED</v>
      </c>
      <c r="F86" s="3" t="str">
        <f t="shared" si="8"/>
        <v>"COMPUTED"</v>
      </c>
      <c r="G86" s="3" t="str">
        <f t="shared" si="9"/>
        <v>true</v>
      </c>
    </row>
    <row r="87" spans="1:7" x14ac:dyDescent="0.25">
      <c r="A87" s="3" t="s">
        <v>64</v>
      </c>
      <c r="B87" s="4" t="str">
        <f t="shared" si="5"/>
        <v>281</v>
      </c>
      <c r="C87" s="5" t="str">
        <f t="shared" si="6"/>
        <v>281</v>
      </c>
      <c r="D87" s="3" t="s">
        <v>456</v>
      </c>
      <c r="E87" s="3" t="str">
        <f t="shared" si="7"/>
        <v>TOK_CONCATENATE</v>
      </c>
      <c r="F87" s="3" t="str">
        <f t="shared" si="8"/>
        <v>"||"</v>
      </c>
      <c r="G87" s="3" t="str">
        <f t="shared" si="9"/>
        <v>false</v>
      </c>
    </row>
    <row r="88" spans="1:7" x14ac:dyDescent="0.25">
      <c r="A88" s="3" t="s">
        <v>65</v>
      </c>
      <c r="B88" s="4" t="str">
        <f t="shared" si="5"/>
        <v>282</v>
      </c>
      <c r="C88" s="5" t="str">
        <f t="shared" si="6"/>
        <v>282</v>
      </c>
      <c r="D88" s="3" t="s">
        <v>457</v>
      </c>
      <c r="E88" s="3" t="str">
        <f t="shared" si="7"/>
        <v>TOK_CONDITIONAL</v>
      </c>
      <c r="F88" s="3" t="str">
        <f t="shared" si="8"/>
        <v>"CONDITIONAL"</v>
      </c>
      <c r="G88" s="3" t="str">
        <f t="shared" si="9"/>
        <v>true</v>
      </c>
    </row>
    <row r="89" spans="1:7" x14ac:dyDescent="0.25">
      <c r="A89" s="3" t="s">
        <v>66</v>
      </c>
      <c r="B89" s="4" t="str">
        <f t="shared" si="5"/>
        <v>540</v>
      </c>
      <c r="C89" s="5" t="str">
        <f t="shared" si="6"/>
        <v>540</v>
      </c>
      <c r="D89" s="3" t="s">
        <v>458</v>
      </c>
      <c r="E89" s="3" t="str">
        <f t="shared" si="7"/>
        <v>TOK_CONNECT</v>
      </c>
      <c r="F89" s="3" t="str">
        <f t="shared" si="8"/>
        <v>"CONNECT"</v>
      </c>
      <c r="G89" s="3" t="str">
        <f t="shared" si="9"/>
        <v>false</v>
      </c>
    </row>
    <row r="90" spans="1:7" x14ac:dyDescent="0.25">
      <c r="A90" s="3" t="s">
        <v>895</v>
      </c>
      <c r="B90" s="4" t="str">
        <f t="shared" si="5"/>
        <v>***</v>
      </c>
      <c r="C90" s="5">
        <v>665</v>
      </c>
      <c r="D90" s="3" t="s">
        <v>459</v>
      </c>
      <c r="E90" s="3" t="str">
        <f t="shared" si="7"/>
        <v>TOK_CONNECTIONS</v>
      </c>
      <c r="F90" s="3" t="str">
        <f t="shared" si="8"/>
        <v>"CONNECTIONS"</v>
      </c>
      <c r="G90" s="3" t="str">
        <f t="shared" si="9"/>
        <v>true</v>
      </c>
    </row>
    <row r="91" spans="1:7" x14ac:dyDescent="0.25">
      <c r="A91" s="3" t="s">
        <v>896</v>
      </c>
      <c r="B91" s="4" t="str">
        <f t="shared" si="5"/>
        <v>***</v>
      </c>
      <c r="C91" s="5">
        <v>666</v>
      </c>
      <c r="D91" s="3" t="s">
        <v>460</v>
      </c>
      <c r="E91" s="3" t="str">
        <f t="shared" si="7"/>
        <v>TOK_CONSISTENCY</v>
      </c>
      <c r="F91" s="3" t="str">
        <f t="shared" si="8"/>
        <v>"CONSISTENCY"</v>
      </c>
      <c r="G91" s="3" t="str">
        <f t="shared" si="9"/>
        <v>true</v>
      </c>
    </row>
    <row r="92" spans="1:7" x14ac:dyDescent="0.25">
      <c r="A92" s="3" t="s">
        <v>67</v>
      </c>
      <c r="B92" s="4" t="str">
        <f t="shared" si="5"/>
        <v>283</v>
      </c>
      <c r="C92" s="5" t="str">
        <f t="shared" si="6"/>
        <v>283</v>
      </c>
      <c r="D92" s="3" t="s">
        <v>461</v>
      </c>
      <c r="E92" s="3" t="str">
        <f t="shared" si="7"/>
        <v>TOK_CONSTRAINT</v>
      </c>
      <c r="F92" s="3" t="str">
        <f t="shared" si="8"/>
        <v>"CONSTRAINT"</v>
      </c>
      <c r="G92" s="3" t="str">
        <f t="shared" si="9"/>
        <v>false</v>
      </c>
    </row>
    <row r="93" spans="1:7" x14ac:dyDescent="0.25">
      <c r="A93" s="3" t="s">
        <v>68</v>
      </c>
      <c r="B93" s="4" t="str">
        <f t="shared" si="5"/>
        <v>284</v>
      </c>
      <c r="C93" s="5" t="str">
        <f t="shared" si="6"/>
        <v>284</v>
      </c>
      <c r="D93" s="3" t="s">
        <v>462</v>
      </c>
      <c r="E93" s="3" t="str">
        <f t="shared" si="7"/>
        <v>TOK_CONTAINING</v>
      </c>
      <c r="F93" s="3" t="str">
        <f t="shared" si="8"/>
        <v>"CONTAINING"</v>
      </c>
      <c r="G93" s="3" t="str">
        <f t="shared" si="9"/>
        <v>true</v>
      </c>
    </row>
    <row r="94" spans="1:7" x14ac:dyDescent="0.25">
      <c r="A94" s="3" t="s">
        <v>69</v>
      </c>
      <c r="B94" s="4" t="str">
        <f t="shared" si="5"/>
        <v>608</v>
      </c>
      <c r="C94" s="5" t="str">
        <f t="shared" si="6"/>
        <v>608</v>
      </c>
      <c r="D94" s="3" t="s">
        <v>463</v>
      </c>
      <c r="E94" s="3" t="str">
        <f t="shared" si="7"/>
        <v>TOK_CONTINUE</v>
      </c>
      <c r="F94" s="3" t="str">
        <f t="shared" si="8"/>
        <v>"CONTINUE"</v>
      </c>
      <c r="G94" s="3" t="str">
        <f t="shared" si="9"/>
        <v>true</v>
      </c>
    </row>
    <row r="95" spans="1:7" x14ac:dyDescent="0.25">
      <c r="A95" s="3" t="s">
        <v>897</v>
      </c>
      <c r="B95" s="4" t="str">
        <f t="shared" si="5"/>
        <v>***</v>
      </c>
      <c r="C95" s="5">
        <v>667</v>
      </c>
      <c r="D95" s="3" t="s">
        <v>464</v>
      </c>
      <c r="E95" s="3" t="str">
        <f t="shared" si="7"/>
        <v>TOK_CORR</v>
      </c>
      <c r="F95" s="3" t="str">
        <f t="shared" si="8"/>
        <v>"CORR"</v>
      </c>
      <c r="G95" s="3" t="str">
        <f t="shared" si="9"/>
        <v>false</v>
      </c>
    </row>
    <row r="96" spans="1:7" x14ac:dyDescent="0.25">
      <c r="A96" s="3" t="s">
        <v>70</v>
      </c>
      <c r="B96" s="4" t="str">
        <f t="shared" si="5"/>
        <v>541</v>
      </c>
      <c r="C96" s="5" t="str">
        <f t="shared" si="6"/>
        <v>541</v>
      </c>
      <c r="D96" s="3" t="s">
        <v>465</v>
      </c>
      <c r="E96" s="3" t="str">
        <f t="shared" si="7"/>
        <v>TOK_COS</v>
      </c>
      <c r="F96" s="3" t="str">
        <f t="shared" si="8"/>
        <v>"COS"</v>
      </c>
      <c r="G96" s="3" t="str">
        <f t="shared" si="9"/>
        <v>true</v>
      </c>
    </row>
    <row r="97" spans="1:7" x14ac:dyDescent="0.25">
      <c r="A97" s="3" t="s">
        <v>71</v>
      </c>
      <c r="B97" s="4" t="str">
        <f t="shared" ref="B97:B160" si="10">IF(A97 = "", -1,TRIM(MID(A97, SEARCH(" ",A97) + 1, 99)))</f>
        <v>542</v>
      </c>
      <c r="C97" s="5" t="str">
        <f t="shared" si="6"/>
        <v>542</v>
      </c>
      <c r="D97" s="3" t="s">
        <v>466</v>
      </c>
      <c r="E97" s="3" t="str">
        <f t="shared" si="7"/>
        <v>TOK_COSH</v>
      </c>
      <c r="F97" s="3" t="str">
        <f t="shared" si="8"/>
        <v>"COSH"</v>
      </c>
      <c r="G97" s="3" t="str">
        <f t="shared" si="9"/>
        <v>true</v>
      </c>
    </row>
    <row r="98" spans="1:7" x14ac:dyDescent="0.25">
      <c r="A98" s="3" t="s">
        <v>72</v>
      </c>
      <c r="B98" s="4" t="str">
        <f t="shared" si="10"/>
        <v>543</v>
      </c>
      <c r="C98" s="5" t="str">
        <f t="shared" si="6"/>
        <v>543</v>
      </c>
      <c r="D98" s="3" t="s">
        <v>467</v>
      </c>
      <c r="E98" s="3" t="str">
        <f t="shared" si="7"/>
        <v>TOK_COT</v>
      </c>
      <c r="F98" s="3" t="str">
        <f t="shared" si="8"/>
        <v>"COT"</v>
      </c>
      <c r="G98" s="3" t="str">
        <f t="shared" si="9"/>
        <v>true</v>
      </c>
    </row>
    <row r="99" spans="1:7" x14ac:dyDescent="0.25">
      <c r="A99" s="3" t="s">
        <v>73</v>
      </c>
      <c r="B99" s="4" t="str">
        <f t="shared" si="10"/>
        <v>285</v>
      </c>
      <c r="C99" s="5" t="str">
        <f t="shared" si="6"/>
        <v>285</v>
      </c>
      <c r="D99" s="3" t="s">
        <v>468</v>
      </c>
      <c r="E99" s="3" t="str">
        <f t="shared" si="7"/>
        <v>TOK_COUNT</v>
      </c>
      <c r="F99" s="3" t="str">
        <f t="shared" si="8"/>
        <v>"COUNT"</v>
      </c>
      <c r="G99" s="3" t="str">
        <f t="shared" si="9"/>
        <v>false</v>
      </c>
    </row>
    <row r="100" spans="1:7" x14ac:dyDescent="0.25">
      <c r="A100" s="3" t="s">
        <v>898</v>
      </c>
      <c r="B100" s="4" t="str">
        <f t="shared" si="10"/>
        <v>***</v>
      </c>
      <c r="C100" s="5">
        <v>668</v>
      </c>
      <c r="D100" s="3" t="s">
        <v>469</v>
      </c>
      <c r="E100" s="3" t="str">
        <f t="shared" si="7"/>
        <v>TOK_COUNTER</v>
      </c>
      <c r="F100" s="3" t="str">
        <f t="shared" si="8"/>
        <v>"COUNTER"</v>
      </c>
      <c r="G100" s="3" t="str">
        <f t="shared" si="9"/>
        <v>true</v>
      </c>
    </row>
    <row r="101" spans="1:7" x14ac:dyDescent="0.25">
      <c r="A101" s="3" t="s">
        <v>899</v>
      </c>
      <c r="B101" s="4" t="str">
        <f t="shared" si="10"/>
        <v>***</v>
      </c>
      <c r="C101" s="5">
        <v>669</v>
      </c>
      <c r="D101" s="3" t="s">
        <v>470</v>
      </c>
      <c r="E101" s="3" t="str">
        <f t="shared" si="7"/>
        <v>TOK_COVAR_POP</v>
      </c>
      <c r="F101" s="3" t="str">
        <f t="shared" si="8"/>
        <v>"COVAR_POP"</v>
      </c>
      <c r="G101" s="3" t="str">
        <f t="shared" si="9"/>
        <v>false</v>
      </c>
    </row>
    <row r="102" spans="1:7" x14ac:dyDescent="0.25">
      <c r="A102" s="3" t="s">
        <v>900</v>
      </c>
      <c r="B102" s="4" t="str">
        <f t="shared" si="10"/>
        <v>***</v>
      </c>
      <c r="C102" s="5">
        <v>670</v>
      </c>
      <c r="D102" s="3" t="s">
        <v>471</v>
      </c>
      <c r="E102" s="3" t="str">
        <f t="shared" si="7"/>
        <v>TOK_COVAR_SAMP</v>
      </c>
      <c r="F102" s="3" t="str">
        <f t="shared" si="8"/>
        <v>"COVAR_SAMP"</v>
      </c>
      <c r="G102" s="3" t="str">
        <f t="shared" si="9"/>
        <v>false</v>
      </c>
    </row>
    <row r="103" spans="1:7" x14ac:dyDescent="0.25">
      <c r="A103" s="3" t="s">
        <v>74</v>
      </c>
      <c r="B103" s="4" t="str">
        <f t="shared" si="10"/>
        <v>286</v>
      </c>
      <c r="C103" s="5" t="str">
        <f t="shared" si="6"/>
        <v>286</v>
      </c>
      <c r="D103" s="3" t="s">
        <v>472</v>
      </c>
      <c r="E103" s="3" t="str">
        <f t="shared" si="7"/>
        <v>TOK_CREATE</v>
      </c>
      <c r="F103" s="3" t="str">
        <f t="shared" si="8"/>
        <v>"CREATE"</v>
      </c>
      <c r="G103" s="3" t="str">
        <f t="shared" si="9"/>
        <v>false</v>
      </c>
    </row>
    <row r="104" spans="1:7" x14ac:dyDescent="0.25">
      <c r="A104" s="3" t="s">
        <v>75</v>
      </c>
      <c r="B104" s="4" t="str">
        <f t="shared" si="10"/>
        <v>504</v>
      </c>
      <c r="C104" s="5" t="str">
        <f t="shared" si="6"/>
        <v>504</v>
      </c>
      <c r="D104" s="3" t="s">
        <v>473</v>
      </c>
      <c r="E104" s="3" t="str">
        <f t="shared" si="7"/>
        <v>TOK_CROSS</v>
      </c>
      <c r="F104" s="3" t="str">
        <f t="shared" si="8"/>
        <v>"CROSS"</v>
      </c>
      <c r="G104" s="3" t="str">
        <f t="shared" si="9"/>
        <v>false</v>
      </c>
    </row>
    <row r="105" spans="1:7" x14ac:dyDescent="0.25">
      <c r="A105" s="3" t="s">
        <v>901</v>
      </c>
      <c r="B105" s="4" t="str">
        <f t="shared" si="10"/>
        <v>***</v>
      </c>
      <c r="C105" s="5">
        <v>671</v>
      </c>
      <c r="D105" s="3" t="s">
        <v>474</v>
      </c>
      <c r="E105" s="3" t="str">
        <f t="shared" si="7"/>
        <v>TOK_CRYPT_HASH</v>
      </c>
      <c r="F105" s="3" t="str">
        <f t="shared" si="8"/>
        <v>"CRYPT_HASH"</v>
      </c>
      <c r="G105" s="3" t="str">
        <f t="shared" si="9"/>
        <v>true</v>
      </c>
    </row>
    <row r="106" spans="1:7" x14ac:dyDescent="0.25">
      <c r="A106" s="3" t="s">
        <v>76</v>
      </c>
      <c r="B106" s="4" t="str">
        <f t="shared" si="10"/>
        <v>287</v>
      </c>
      <c r="C106" s="5" t="str">
        <f t="shared" si="6"/>
        <v>287</v>
      </c>
      <c r="D106" s="3" t="s">
        <v>475</v>
      </c>
      <c r="E106" s="3" t="str">
        <f t="shared" si="7"/>
        <v>TOK_CSTRING</v>
      </c>
      <c r="F106" s="3" t="str">
        <f t="shared" si="8"/>
        <v>"CSTRING"</v>
      </c>
      <c r="G106" s="3" t="str">
        <f t="shared" si="9"/>
        <v>true</v>
      </c>
    </row>
    <row r="107" spans="1:7" x14ac:dyDescent="0.25">
      <c r="A107" s="3" t="s">
        <v>906</v>
      </c>
      <c r="B107" s="4" t="str">
        <f t="shared" si="10"/>
        <v>***</v>
      </c>
      <c r="C107" s="5">
        <v>672</v>
      </c>
      <c r="D107" s="3" t="s">
        <v>476</v>
      </c>
      <c r="E107" s="3" t="str">
        <f t="shared" si="7"/>
        <v>TOK_CTR_BIG_ENDIAN</v>
      </c>
      <c r="F107" s="3" t="str">
        <f t="shared" si="8"/>
        <v>"CTR_BIG_ENDIAN"</v>
      </c>
      <c r="G107" s="3" t="str">
        <f t="shared" si="9"/>
        <v>true</v>
      </c>
    </row>
    <row r="108" spans="1:7" x14ac:dyDescent="0.25">
      <c r="A108" s="3" t="s">
        <v>907</v>
      </c>
      <c r="B108" s="4" t="str">
        <f t="shared" si="10"/>
        <v>***</v>
      </c>
      <c r="C108" s="5">
        <v>673</v>
      </c>
      <c r="D108" s="3" t="s">
        <v>477</v>
      </c>
      <c r="E108" s="3" t="str">
        <f t="shared" si="7"/>
        <v>TOK_CTR_LENGTH</v>
      </c>
      <c r="F108" s="3" t="str">
        <f t="shared" si="8"/>
        <v>"CTR_LENGTH"</v>
      </c>
      <c r="G108" s="3" t="str">
        <f t="shared" si="9"/>
        <v>true</v>
      </c>
    </row>
    <row r="109" spans="1:7" x14ac:dyDescent="0.25">
      <c r="A109" s="3" t="s">
        <v>908</v>
      </c>
      <c r="B109" s="4" t="str">
        <f t="shared" si="10"/>
        <v>***</v>
      </c>
      <c r="C109" s="5">
        <v>674</v>
      </c>
      <c r="D109" s="3" t="s">
        <v>478</v>
      </c>
      <c r="E109" s="3" t="str">
        <f t="shared" si="7"/>
        <v>TOK_CTR_LITTLE_ENDIAN</v>
      </c>
      <c r="F109" s="3" t="str">
        <f t="shared" si="8"/>
        <v>"CTR_LITTLE_ENDIAN"</v>
      </c>
      <c r="G109" s="3" t="str">
        <f t="shared" si="9"/>
        <v>true</v>
      </c>
    </row>
    <row r="110" spans="1:7" x14ac:dyDescent="0.25">
      <c r="A110" s="3" t="s">
        <v>909</v>
      </c>
      <c r="B110" s="4" t="str">
        <f t="shared" si="10"/>
        <v>***</v>
      </c>
      <c r="C110" s="5">
        <v>675</v>
      </c>
      <c r="D110" s="3" t="s">
        <v>479</v>
      </c>
      <c r="E110" s="3" t="str">
        <f t="shared" si="7"/>
        <v>TOK_CUME_DIST</v>
      </c>
      <c r="F110" s="3" t="str">
        <f t="shared" si="8"/>
        <v>"CUME_DIST"</v>
      </c>
      <c r="G110" s="3" t="str">
        <f t="shared" si="9"/>
        <v>true</v>
      </c>
    </row>
    <row r="111" spans="1:7" x14ac:dyDescent="0.25">
      <c r="A111" s="3" t="s">
        <v>77</v>
      </c>
      <c r="B111" s="4" t="str">
        <f t="shared" si="10"/>
        <v>288</v>
      </c>
      <c r="C111" s="5" t="str">
        <f t="shared" si="6"/>
        <v>288</v>
      </c>
      <c r="D111" s="3" t="s">
        <v>480</v>
      </c>
      <c r="E111" s="3" t="str">
        <f t="shared" si="7"/>
        <v>TOK_CURRENT</v>
      </c>
      <c r="F111" s="3" t="str">
        <f t="shared" si="8"/>
        <v>"CURRENT"</v>
      </c>
      <c r="G111" s="3" t="str">
        <f t="shared" si="9"/>
        <v>false</v>
      </c>
    </row>
    <row r="112" spans="1:7" x14ac:dyDescent="0.25">
      <c r="A112" s="3" t="s">
        <v>78</v>
      </c>
      <c r="B112" s="4" t="str">
        <f t="shared" si="10"/>
        <v>477</v>
      </c>
      <c r="C112" s="5" t="str">
        <f t="shared" si="6"/>
        <v>477</v>
      </c>
      <c r="D112" s="3" t="s">
        <v>481</v>
      </c>
      <c r="E112" s="3" t="str">
        <f t="shared" si="7"/>
        <v>TOK_CURRENT_CONNECTION</v>
      </c>
      <c r="F112" s="3" t="str">
        <f t="shared" si="8"/>
        <v>"CURRENT_CONNECTION"</v>
      </c>
      <c r="G112" s="3" t="str">
        <f t="shared" si="9"/>
        <v>false</v>
      </c>
    </row>
    <row r="113" spans="1:7" x14ac:dyDescent="0.25">
      <c r="A113" s="3" t="s">
        <v>79</v>
      </c>
      <c r="B113" s="4" t="str">
        <f t="shared" si="10"/>
        <v>464</v>
      </c>
      <c r="C113" s="5" t="str">
        <f t="shared" si="6"/>
        <v>464</v>
      </c>
      <c r="D113" s="3" t="s">
        <v>482</v>
      </c>
      <c r="E113" s="3" t="str">
        <f t="shared" si="7"/>
        <v>TOK_CURRENT_DATE</v>
      </c>
      <c r="F113" s="3" t="str">
        <f t="shared" si="8"/>
        <v>"CURRENT_DATE"</v>
      </c>
      <c r="G113" s="3" t="str">
        <f t="shared" si="9"/>
        <v>false</v>
      </c>
    </row>
    <row r="114" spans="1:7" x14ac:dyDescent="0.25">
      <c r="A114" s="3" t="s">
        <v>80</v>
      </c>
      <c r="B114" s="4" t="str">
        <f t="shared" si="10"/>
        <v>470</v>
      </c>
      <c r="C114" s="5" t="str">
        <f t="shared" si="6"/>
        <v>470</v>
      </c>
      <c r="D114" s="3" t="s">
        <v>483</v>
      </c>
      <c r="E114" s="3" t="str">
        <f t="shared" si="7"/>
        <v>TOK_CURRENT_ROLE</v>
      </c>
      <c r="F114" s="3" t="str">
        <f t="shared" si="8"/>
        <v>"CURRENT_ROLE"</v>
      </c>
      <c r="G114" s="3" t="str">
        <f t="shared" si="9"/>
        <v>false</v>
      </c>
    </row>
    <row r="115" spans="1:7" x14ac:dyDescent="0.25">
      <c r="A115" s="3" t="s">
        <v>81</v>
      </c>
      <c r="B115" s="4" t="str">
        <f t="shared" si="10"/>
        <v>465</v>
      </c>
      <c r="C115" s="5" t="str">
        <f t="shared" si="6"/>
        <v>465</v>
      </c>
      <c r="D115" s="3" t="s">
        <v>484</v>
      </c>
      <c r="E115" s="3" t="str">
        <f t="shared" si="7"/>
        <v>TOK_CURRENT_TIME</v>
      </c>
      <c r="F115" s="3" t="str">
        <f t="shared" si="8"/>
        <v>"CURRENT_TIME"</v>
      </c>
      <c r="G115" s="3" t="str">
        <f t="shared" si="9"/>
        <v>false</v>
      </c>
    </row>
    <row r="116" spans="1:7" x14ac:dyDescent="0.25">
      <c r="A116" s="3" t="s">
        <v>82</v>
      </c>
      <c r="B116" s="4" t="str">
        <f t="shared" si="10"/>
        <v>466</v>
      </c>
      <c r="C116" s="5" t="str">
        <f t="shared" si="6"/>
        <v>466</v>
      </c>
      <c r="D116" s="3" t="s">
        <v>485</v>
      </c>
      <c r="E116" s="3" t="str">
        <f t="shared" si="7"/>
        <v>TOK_CURRENT_TIMESTAMP</v>
      </c>
      <c r="F116" s="3" t="str">
        <f t="shared" si="8"/>
        <v>"CURRENT_TIMESTAMP"</v>
      </c>
      <c r="G116" s="3" t="str">
        <f t="shared" si="9"/>
        <v>false</v>
      </c>
    </row>
    <row r="117" spans="1:7" x14ac:dyDescent="0.25">
      <c r="A117" s="3" t="s">
        <v>83</v>
      </c>
      <c r="B117" s="4" t="str">
        <f t="shared" si="10"/>
        <v>478</v>
      </c>
      <c r="C117" s="5" t="str">
        <f t="shared" si="6"/>
        <v>478</v>
      </c>
      <c r="D117" s="3" t="s">
        <v>486</v>
      </c>
      <c r="E117" s="3" t="str">
        <f t="shared" si="7"/>
        <v>TOK_CURRENT_TRANSACTION</v>
      </c>
      <c r="F117" s="3" t="str">
        <f t="shared" si="8"/>
        <v>"CURRENT_TRANSACTION"</v>
      </c>
      <c r="G117" s="3" t="str">
        <f t="shared" si="9"/>
        <v>false</v>
      </c>
    </row>
    <row r="118" spans="1:7" x14ac:dyDescent="0.25">
      <c r="A118" s="3" t="s">
        <v>84</v>
      </c>
      <c r="B118" s="4" t="str">
        <f t="shared" si="10"/>
        <v>469</v>
      </c>
      <c r="C118" s="5" t="str">
        <f t="shared" si="6"/>
        <v>469</v>
      </c>
      <c r="D118" s="3" t="s">
        <v>487</v>
      </c>
      <c r="E118" s="3" t="str">
        <f t="shared" si="7"/>
        <v>TOK_CURRENT_USER</v>
      </c>
      <c r="F118" s="3" t="str">
        <f t="shared" si="8"/>
        <v>"CURRENT_USER"</v>
      </c>
      <c r="G118" s="3" t="str">
        <f t="shared" si="9"/>
        <v>false</v>
      </c>
    </row>
    <row r="119" spans="1:7" x14ac:dyDescent="0.25">
      <c r="A119" s="3" t="s">
        <v>85</v>
      </c>
      <c r="B119" s="4" t="str">
        <f t="shared" si="10"/>
        <v>289</v>
      </c>
      <c r="C119" s="5" t="str">
        <f t="shared" si="6"/>
        <v>289</v>
      </c>
      <c r="D119" s="3" t="s">
        <v>488</v>
      </c>
      <c r="E119" s="3" t="str">
        <f t="shared" si="7"/>
        <v>TOK_CURSOR</v>
      </c>
      <c r="F119" s="3" t="str">
        <f t="shared" si="8"/>
        <v>"CURSOR"</v>
      </c>
      <c r="G119" s="3" t="str">
        <f t="shared" si="9"/>
        <v>false</v>
      </c>
    </row>
    <row r="120" spans="1:7" x14ac:dyDescent="0.25">
      <c r="A120" s="3" t="s">
        <v>86</v>
      </c>
      <c r="B120" s="4" t="str">
        <f t="shared" si="10"/>
        <v>602</v>
      </c>
      <c r="C120" s="5" t="str">
        <f t="shared" si="6"/>
        <v>602</v>
      </c>
      <c r="D120" s="3" t="s">
        <v>489</v>
      </c>
      <c r="E120" s="3" t="str">
        <f t="shared" si="7"/>
        <v>TOK_DATA</v>
      </c>
      <c r="F120" s="3" t="str">
        <f t="shared" si="8"/>
        <v>"DATA"</v>
      </c>
      <c r="G120" s="3" t="str">
        <f t="shared" si="9"/>
        <v>true</v>
      </c>
    </row>
    <row r="121" spans="1:7" x14ac:dyDescent="0.25">
      <c r="A121" s="3" t="s">
        <v>87</v>
      </c>
      <c r="B121" s="4" t="str">
        <f t="shared" si="10"/>
        <v>290</v>
      </c>
      <c r="C121" s="5" t="str">
        <f t="shared" si="6"/>
        <v>290</v>
      </c>
      <c r="D121" s="3" t="s">
        <v>490</v>
      </c>
      <c r="E121" s="3" t="str">
        <f t="shared" si="7"/>
        <v>TOK_DATABASE</v>
      </c>
      <c r="F121" s="3" t="str">
        <f t="shared" si="8"/>
        <v>"DATABASE"</v>
      </c>
      <c r="G121" s="3" t="str">
        <f t="shared" si="9"/>
        <v>true</v>
      </c>
    </row>
    <row r="122" spans="1:7" x14ac:dyDescent="0.25">
      <c r="A122" s="3" t="s">
        <v>88</v>
      </c>
      <c r="B122" s="4" t="str">
        <f t="shared" si="10"/>
        <v>291</v>
      </c>
      <c r="C122" s="5" t="str">
        <f t="shared" si="6"/>
        <v>291</v>
      </c>
      <c r="D122" s="3" t="s">
        <v>491</v>
      </c>
      <c r="E122" s="3" t="str">
        <f>TRIM(MID(D122, 1, SEARCH(",",D122) - 1))</f>
        <v>TOK_DATE</v>
      </c>
      <c r="F122" s="3" t="str">
        <f>TRIM(MID(D122, SEARCH(",",D122) + 1, SEARCH(",",D122,SEARCH(",",D122)+1) - SEARCH(",",D122) - 1))</f>
        <v>"DATE"</v>
      </c>
      <c r="G122" s="3" t="str">
        <f>TRIM(MID(D122, FIND("#",SUBSTITUTE(D122,",","#",2))+1,99))</f>
        <v>false</v>
      </c>
    </row>
    <row r="123" spans="1:7" x14ac:dyDescent="0.25">
      <c r="A123" s="3" t="s">
        <v>89</v>
      </c>
      <c r="B123" s="4" t="str">
        <f t="shared" si="10"/>
        <v>544</v>
      </c>
      <c r="C123" s="5" t="str">
        <f t="shared" si="6"/>
        <v>544</v>
      </c>
      <c r="D123" s="3" t="s">
        <v>492</v>
      </c>
      <c r="E123" s="3" t="str">
        <f>TRIM(MID(D123, 1, SEARCH(",",D123) - 1))</f>
        <v>TOK_DATEADD</v>
      </c>
      <c r="F123" s="3" t="str">
        <f>TRIM(MID(D123, SEARCH(",",D123) + 1, SEARCH(",",D123,SEARCH(",",D123)+1) - SEARCH(",",D123) - 1))</f>
        <v>"DATEADD"</v>
      </c>
      <c r="G123" s="3" t="str">
        <f>TRIM(MID(D123, FIND("#",SUBSTITUTE(D123,",","#",2))+1,99))</f>
        <v>true</v>
      </c>
    </row>
    <row r="124" spans="1:7" x14ac:dyDescent="0.25">
      <c r="A124" s="3" t="s">
        <v>90</v>
      </c>
      <c r="B124" s="4" t="str">
        <f t="shared" si="10"/>
        <v>545</v>
      </c>
      <c r="C124" s="5" t="str">
        <f t="shared" si="6"/>
        <v>545</v>
      </c>
      <c r="D124" s="3" t="s">
        <v>493</v>
      </c>
      <c r="E124" s="3" t="str">
        <f>TRIM(MID(D124, 1, SEARCH(",",D124) - 1))</f>
        <v>TOK_DATEDIFF</v>
      </c>
      <c r="F124" s="3" t="str">
        <f>TRIM(MID(D124, SEARCH(",",D124) + 1, SEARCH(",",D124,SEARCH(",",D124)+1) - SEARCH(",",D124) - 1))</f>
        <v>"DATEDIFF"</v>
      </c>
      <c r="G124" s="3" t="str">
        <f>TRIM(MID(D124, FIND("#",SUBSTITUTE(D124,",","#",2))+1,99))</f>
        <v>true</v>
      </c>
    </row>
    <row r="125" spans="1:7" x14ac:dyDescent="0.25">
      <c r="A125" s="3" t="s">
        <v>91</v>
      </c>
      <c r="B125" s="4" t="str">
        <f t="shared" si="10"/>
        <v>456</v>
      </c>
      <c r="C125" s="5" t="str">
        <f t="shared" si="6"/>
        <v>456</v>
      </c>
      <c r="D125" s="3" t="s">
        <v>494</v>
      </c>
      <c r="E125" s="3" t="str">
        <f>TRIM(MID(D125, 1, SEARCH(",",D125) - 1))</f>
        <v>TOK_DAY</v>
      </c>
      <c r="F125" s="3" t="str">
        <f>TRIM(MID(D125, SEARCH(",",D125) + 1, SEARCH(",",D125,SEARCH(",",D125)+1) - SEARCH(",",D125) - 1))</f>
        <v>"DAY"</v>
      </c>
      <c r="G125" s="3" t="str">
        <f>TRIM(MID(D125, FIND("#",SUBSTITUTE(D125,",","#",2))+1,99))</f>
        <v>false</v>
      </c>
    </row>
    <row r="126" spans="1:7" x14ac:dyDescent="0.25">
      <c r="A126" s="3" t="s">
        <v>92</v>
      </c>
      <c r="B126" s="4" t="str">
        <f t="shared" si="10"/>
        <v>292</v>
      </c>
      <c r="C126" s="5" t="str">
        <f t="shared" si="6"/>
        <v>292</v>
      </c>
      <c r="D126" s="3" t="s">
        <v>495</v>
      </c>
      <c r="E126" s="3" t="str">
        <f>TRIM(MID(D126, 1, SEARCH(",",D126) - 1))</f>
        <v>TOK_DB_KEY</v>
      </c>
      <c r="F126" s="3" t="str">
        <f>TRIM(MID(D126, SEARCH(",",D126) + 1, SEARCH(",",D126,SEARCH(",",D126)+1) - SEARCH(",",D126) - 1))</f>
        <v>"RDB$DB_KEY"</v>
      </c>
      <c r="G126" s="3" t="str">
        <f>TRIM(MID(D126, FIND("#",SUBSTITUTE(D126,",","#",2))+1,99))</f>
        <v>false</v>
      </c>
    </row>
    <row r="127" spans="1:7" x14ac:dyDescent="0.25">
      <c r="A127" s="3" t="s">
        <v>93</v>
      </c>
      <c r="B127" s="4" t="str">
        <f t="shared" si="10"/>
        <v>609</v>
      </c>
      <c r="C127" s="5" t="str">
        <f t="shared" si="6"/>
        <v>609</v>
      </c>
      <c r="D127" s="3" t="s">
        <v>496</v>
      </c>
      <c r="E127" s="3" t="str">
        <f>TRIM(MID(D127, 1, SEARCH(",",D127) - 1))</f>
        <v>TOK_DDL</v>
      </c>
      <c r="F127" s="3" t="str">
        <f>TRIM(MID(D127, SEARCH(",",D127) + 1, SEARCH(",",D127,SEARCH(",",D127)+1) - SEARCH(",",D127) - 1))</f>
        <v>"DDL"</v>
      </c>
      <c r="G127" s="3" t="str">
        <f>TRIM(MID(D127, FIND("#",SUBSTITUTE(D127,",","#",2))+1,99))</f>
        <v>true</v>
      </c>
    </row>
    <row r="128" spans="1:7" x14ac:dyDescent="0.25">
      <c r="A128" s="3" t="s">
        <v>911</v>
      </c>
      <c r="B128" s="4" t="str">
        <f t="shared" si="10"/>
        <v>***</v>
      </c>
      <c r="C128" s="5">
        <v>676</v>
      </c>
      <c r="D128" s="3" t="s">
        <v>497</v>
      </c>
      <c r="E128" s="3" t="str">
        <f>TRIM(MID(D128, 1, SEARCH(",",D128) - 1))</f>
        <v>TOK_DEBUG</v>
      </c>
      <c r="F128" s="3" t="str">
        <f>TRIM(MID(D128, SEARCH(",",D128) + 1, SEARCH(",",D128,SEARCH(",",D128)+1) - SEARCH(",",D128) - 1))</f>
        <v>"DEBUG"</v>
      </c>
      <c r="G128" s="3" t="str">
        <f>TRIM(MID(D128, FIND("#",SUBSTITUTE(D128,",","#",2))+1,99))</f>
        <v>true</v>
      </c>
    </row>
    <row r="129" spans="1:9" x14ac:dyDescent="0.25">
      <c r="A129" s="3" t="s">
        <v>928</v>
      </c>
      <c r="B129" s="4" t="str">
        <f t="shared" si="10"/>
        <v>338</v>
      </c>
      <c r="C129" s="5" t="str">
        <f t="shared" si="6"/>
        <v>338</v>
      </c>
      <c r="D129" s="3" t="s">
        <v>498</v>
      </c>
      <c r="E129" s="3" t="str">
        <f>TRIM(MID(D129, 1, SEARCH(",",D129) - 1))</f>
        <v>TOK_DEC</v>
      </c>
      <c r="F129" s="3" t="str">
        <f>TRIM(MID(D129, SEARCH(",",D129) + 1, SEARCH(",",D129,SEARCH(",",D129)+1) - SEARCH(",",D129) - 1))</f>
        <v>"DEC"</v>
      </c>
      <c r="G129" s="3" t="str">
        <f>TRIM(MID(D129, FIND("#",SUBSTITUTE(D129,",","#",2))+1,99))</f>
        <v>false</v>
      </c>
    </row>
    <row r="130" spans="1:9" x14ac:dyDescent="0.25">
      <c r="A130" s="3" t="s">
        <v>912</v>
      </c>
      <c r="B130" s="4" t="str">
        <f t="shared" si="10"/>
        <v>***</v>
      </c>
      <c r="C130" s="5">
        <v>677</v>
      </c>
      <c r="D130" s="3" t="s">
        <v>499</v>
      </c>
      <c r="E130" s="3" t="str">
        <f>TRIM(MID(D130, 1, SEARCH(",",D130) - 1))</f>
        <v>TOK_DECFLOAT</v>
      </c>
      <c r="F130" s="3" t="str">
        <f>TRIM(MID(D130, SEARCH(",",D130) + 1, SEARCH(",",D130,SEARCH(",",D130)+1) - SEARCH(",",D130) - 1))</f>
        <v>"DECFLOAT"</v>
      </c>
      <c r="G130" s="3" t="str">
        <f>TRIM(MID(D130, FIND("#",SUBSTITUTE(D130,",","#",2))+1,99))</f>
        <v>false</v>
      </c>
    </row>
    <row r="131" spans="1:9" x14ac:dyDescent="0.25">
      <c r="A131" s="3" t="s">
        <v>94</v>
      </c>
      <c r="B131" s="4" t="str">
        <f t="shared" si="10"/>
        <v>293</v>
      </c>
      <c r="C131" s="5" t="str">
        <f t="shared" ref="C131:C194" si="11">IF(B131 = "***", -1, B131)</f>
        <v>293</v>
      </c>
      <c r="D131" s="3" t="s">
        <v>500</v>
      </c>
      <c r="E131" s="3" t="str">
        <f>TRIM(MID(D131, 1, SEARCH(",",D131) - 1))</f>
        <v>TOK_DECIMAL</v>
      </c>
      <c r="F131" s="3" t="str">
        <f>TRIM(MID(D131, SEARCH(",",D131) + 1, SEARCH(",",D131,SEARCH(",",D131)+1) - SEARCH(",",D131) - 1))</f>
        <v>"DECIMAL"</v>
      </c>
      <c r="G131" s="3" t="str">
        <f>TRIM(MID(D131, FIND("#",SUBSTITUTE(D131,",","#",2))+1,99))</f>
        <v>false</v>
      </c>
    </row>
    <row r="132" spans="1:9" x14ac:dyDescent="0.25">
      <c r="A132" s="3" t="s">
        <v>95</v>
      </c>
      <c r="B132" s="4" t="str">
        <f t="shared" si="10"/>
        <v>648</v>
      </c>
      <c r="C132" s="5" t="str">
        <f t="shared" si="11"/>
        <v>648</v>
      </c>
      <c r="D132" s="3" t="s">
        <v>913</v>
      </c>
      <c r="E132" s="3" t="str">
        <f>TRIM(MID(D132, 1, SEARCH(",",D132) - 1))</f>
        <v>TOK_DECIMAL_NUMBER</v>
      </c>
      <c r="F132" s="3" t="str">
        <f>TRIM(MID(D132, SEARCH(",",D132) + 1, SEARCH(",",D132,SEARCH(",",D132)+1) - SEARCH(",",D132) - 1))</f>
        <v>"DECIMAL_NUMBER"</v>
      </c>
      <c r="G132" s="3" t="str">
        <f>TRIM(MID(D132, FIND("#",SUBSTITUTE(D132,",","#",2))+1,99))</f>
        <v>false</v>
      </c>
    </row>
    <row r="133" spans="1:9" x14ac:dyDescent="0.25">
      <c r="A133" s="3" t="s">
        <v>96</v>
      </c>
      <c r="B133" s="4" t="str">
        <f t="shared" si="10"/>
        <v>294</v>
      </c>
      <c r="C133" s="5" t="str">
        <f t="shared" si="11"/>
        <v>294</v>
      </c>
      <c r="D133" s="3" t="s">
        <v>501</v>
      </c>
      <c r="E133" s="3" t="str">
        <f>TRIM(MID(D133, 1, SEARCH(",",D133) - 1))</f>
        <v>TOK_DECLARE</v>
      </c>
      <c r="F133" s="3" t="str">
        <f>TRIM(MID(D133, SEARCH(",",D133) + 1, SEARCH(",",D133,SEARCH(",",D133)+1) - SEARCH(",",D133) - 1))</f>
        <v>"DECLARE"</v>
      </c>
      <c r="G133" s="3" t="str">
        <f>TRIM(MID(D133, FIND("#",SUBSTITUTE(D133,",","#",2))+1,99))</f>
        <v>false</v>
      </c>
    </row>
    <row r="134" spans="1:9" x14ac:dyDescent="0.25">
      <c r="A134" s="3" t="s">
        <v>97</v>
      </c>
      <c r="B134" s="4" t="str">
        <f t="shared" si="10"/>
        <v>546</v>
      </c>
      <c r="C134" s="5" t="str">
        <f t="shared" si="11"/>
        <v>546</v>
      </c>
      <c r="D134" s="3" t="s">
        <v>502</v>
      </c>
      <c r="E134" s="3" t="str">
        <f>TRIM(MID(D134, 1, SEARCH(",",D134) - 1))</f>
        <v>TOK_DECODE</v>
      </c>
      <c r="F134" s="3" t="str">
        <f>TRIM(MID(D134, SEARCH(",",D134) + 1, SEARCH(",",D134,SEARCH(",",D134)+1) - SEARCH(",",D134) - 1))</f>
        <v>"DECODE"</v>
      </c>
      <c r="G134" s="3" t="str">
        <f>TRIM(MID(D134, FIND("#",SUBSTITUTE(D134,",","#",2))+1,99))</f>
        <v>true</v>
      </c>
    </row>
    <row r="135" spans="1:9" x14ac:dyDescent="0.25">
      <c r="A135" s="3" t="s">
        <v>98</v>
      </c>
      <c r="B135" s="4" t="str">
        <f t="shared" si="10"/>
        <v>610</v>
      </c>
      <c r="C135" s="5" t="str">
        <f t="shared" si="11"/>
        <v>610</v>
      </c>
      <c r="D135" s="3" t="s">
        <v>503</v>
      </c>
      <c r="E135" s="3" t="str">
        <f>TRIM(MID(D135, 1, SEARCH(",",D135) - 1))</f>
        <v>TOK_DECRYPT</v>
      </c>
      <c r="F135" s="3" t="str">
        <f>TRIM(MID(D135, SEARCH(",",D135) + 1, SEARCH(",",D135,SEARCH(",",D135)+1) - SEARCH(",",D135) - 1))</f>
        <v>"DECRYPT"</v>
      </c>
      <c r="G135" s="3" t="str">
        <f>TRIM(MID(D135, FIND("#",SUBSTITUTE(D135,",","#",2))+1,99))</f>
        <v>true</v>
      </c>
    </row>
    <row r="136" spans="1:9" x14ac:dyDescent="0.25">
      <c r="A136" s="3" t="s">
        <v>99</v>
      </c>
      <c r="B136" s="4" t="str">
        <f t="shared" si="10"/>
        <v>295</v>
      </c>
      <c r="C136" s="5" t="str">
        <f t="shared" si="11"/>
        <v>295</v>
      </c>
      <c r="D136" s="3" t="s">
        <v>504</v>
      </c>
      <c r="E136" s="3" t="str">
        <f>TRIM(MID(D136, 1, SEARCH(",",D136) - 1))</f>
        <v>TOK_DEFAULT</v>
      </c>
      <c r="F136" s="3" t="str">
        <f>TRIM(MID(D136, SEARCH(",",D136) + 1, SEARCH(",",D136,SEARCH(",",D136)+1) - SEARCH(",",D136) - 1))</f>
        <v>"DEFAULT"</v>
      </c>
      <c r="G136" s="3" t="str">
        <f>TRIM(MID(D136, FIND("#",SUBSTITUTE(D136,",","#",2))+1,99))</f>
        <v>false</v>
      </c>
    </row>
    <row r="137" spans="1:9" x14ac:dyDescent="0.25">
      <c r="A137" s="3" t="s">
        <v>914</v>
      </c>
      <c r="B137" s="4" t="str">
        <f t="shared" si="10"/>
        <v>***</v>
      </c>
      <c r="C137" s="5">
        <v>678</v>
      </c>
      <c r="D137" s="3" t="s">
        <v>505</v>
      </c>
      <c r="E137" s="3" t="str">
        <f t="shared" ref="E137:E200" si="12">TRIM(MID(D137, 1, SEARCH(",",D137) - 1))</f>
        <v>TOK_DEFINER</v>
      </c>
      <c r="F137" s="3" t="str">
        <f t="shared" ref="F137:F201" si="13">TRIM(MID(D137, SEARCH(",",D137) + 1, SEARCH(",",D137,SEARCH(",",D137)+1) - SEARCH(",",D137) - 1))</f>
        <v>"DEFINER"</v>
      </c>
      <c r="G137" s="3" t="str">
        <f t="shared" ref="G137:G201" si="14">TRIM(MID(D137, FIND("#",SUBSTITUTE(D137,",","#",2))+1,99))</f>
        <v>true</v>
      </c>
    </row>
    <row r="138" spans="1:9" x14ac:dyDescent="0.25">
      <c r="A138" s="3" t="s">
        <v>929</v>
      </c>
      <c r="B138" s="4" t="str">
        <f t="shared" si="10"/>
        <v>296</v>
      </c>
      <c r="C138" s="5" t="str">
        <f t="shared" si="11"/>
        <v>296</v>
      </c>
      <c r="D138" s="3" t="s">
        <v>506</v>
      </c>
      <c r="E138" s="3" t="str">
        <f t="shared" si="12"/>
        <v>TOK_DELETE</v>
      </c>
      <c r="F138" s="3" t="str">
        <f t="shared" si="13"/>
        <v>"DELETE"</v>
      </c>
      <c r="G138" s="3" t="str">
        <f t="shared" si="14"/>
        <v>false</v>
      </c>
    </row>
    <row r="139" spans="1:9" x14ac:dyDescent="0.25">
      <c r="A139" s="3" t="s">
        <v>100</v>
      </c>
      <c r="B139" s="4" t="str">
        <f t="shared" si="10"/>
        <v>494</v>
      </c>
      <c r="C139" s="5" t="str">
        <f t="shared" si="11"/>
        <v>494</v>
      </c>
      <c r="D139" s="3" t="s">
        <v>507</v>
      </c>
      <c r="E139" s="3" t="str">
        <f t="shared" si="12"/>
        <v>TOK_DELETING</v>
      </c>
      <c r="F139" s="3" t="str">
        <f t="shared" si="13"/>
        <v>"DELETING"</v>
      </c>
      <c r="G139" s="3" t="str">
        <f t="shared" si="14"/>
        <v>false</v>
      </c>
    </row>
    <row r="140" spans="1:9" x14ac:dyDescent="0.25">
      <c r="A140" s="3" t="s">
        <v>101</v>
      </c>
      <c r="B140" s="4" t="str">
        <f t="shared" si="10"/>
        <v>629</v>
      </c>
      <c r="C140" s="5" t="str">
        <f t="shared" si="11"/>
        <v>629</v>
      </c>
      <c r="D140" s="3" t="s">
        <v>508</v>
      </c>
      <c r="E140" s="3" t="str">
        <f t="shared" si="12"/>
        <v>TOK_DENSE_RANK</v>
      </c>
      <c r="F140" s="3" t="str">
        <f t="shared" si="13"/>
        <v>"DENSE_RANK"</v>
      </c>
      <c r="G140" s="3" t="str">
        <f t="shared" si="14"/>
        <v>true</v>
      </c>
    </row>
    <row r="141" spans="1:9" x14ac:dyDescent="0.25">
      <c r="A141" s="3" t="s">
        <v>102</v>
      </c>
      <c r="B141" s="4" t="str">
        <f t="shared" si="10"/>
        <v>297</v>
      </c>
      <c r="C141" s="5" t="str">
        <f t="shared" si="11"/>
        <v>297</v>
      </c>
      <c r="D141" s="3" t="s">
        <v>509</v>
      </c>
      <c r="E141" s="3" t="str">
        <f t="shared" si="12"/>
        <v>TOK_DESC</v>
      </c>
      <c r="F141" s="3" t="str">
        <f t="shared" si="13"/>
        <v>"DESC"</v>
      </c>
      <c r="G141" s="3" t="str">
        <f t="shared" si="14"/>
        <v>true</v>
      </c>
    </row>
    <row r="142" spans="1:9" x14ac:dyDescent="0.25">
      <c r="A142" s="3" t="s">
        <v>915</v>
      </c>
      <c r="B142" s="4" t="str">
        <f t="shared" si="10"/>
        <v>297</v>
      </c>
      <c r="C142" s="5" t="str">
        <f t="shared" si="11"/>
        <v>297</v>
      </c>
      <c r="D142" s="3" t="s">
        <v>916</v>
      </c>
      <c r="E142" s="3" t="str">
        <f t="shared" si="12"/>
        <v>TOK_DESCENDING</v>
      </c>
      <c r="F142" s="3" t="str">
        <f t="shared" si="13"/>
        <v>"DESCENDING"</v>
      </c>
      <c r="G142" s="3" t="str">
        <f t="shared" si="14"/>
        <v>true</v>
      </c>
    </row>
    <row r="143" spans="1:9" x14ac:dyDescent="0.25">
      <c r="A143" s="3" t="s">
        <v>930</v>
      </c>
      <c r="B143" s="4" t="str">
        <f t="shared" si="10"/>
        <v>474</v>
      </c>
      <c r="C143" s="5" t="str">
        <f t="shared" si="11"/>
        <v>474</v>
      </c>
      <c r="D143" s="3" t="s">
        <v>878</v>
      </c>
      <c r="E143" s="3" t="str">
        <f t="shared" si="12"/>
        <v>TOK_DESCRIPTOR</v>
      </c>
      <c r="F143" s="3" t="str">
        <f t="shared" si="13"/>
        <v>"DESCRIPTOR"</v>
      </c>
      <c r="G143" s="3" t="str">
        <f t="shared" si="14"/>
        <v>true</v>
      </c>
      <c r="I143" t="s">
        <v>372</v>
      </c>
    </row>
    <row r="144" spans="1:9" x14ac:dyDescent="0.25">
      <c r="A144" s="3" t="s">
        <v>103</v>
      </c>
      <c r="B144" s="4" t="str">
        <f t="shared" si="10"/>
        <v>627</v>
      </c>
      <c r="C144" s="5" t="str">
        <f t="shared" si="11"/>
        <v>627</v>
      </c>
      <c r="D144" s="3" t="s">
        <v>510</v>
      </c>
      <c r="E144" s="3" t="str">
        <f t="shared" si="12"/>
        <v>TOK_DETERMINISTIC</v>
      </c>
      <c r="F144" s="3" t="str">
        <f t="shared" si="13"/>
        <v>"DETERMINISTIC"</v>
      </c>
      <c r="G144" s="3" t="str">
        <f t="shared" si="14"/>
        <v>false</v>
      </c>
    </row>
    <row r="145" spans="1:9" x14ac:dyDescent="0.25">
      <c r="A145" s="3" t="s">
        <v>931</v>
      </c>
      <c r="B145" s="4" t="str">
        <f t="shared" si="10"/>
        <v>496</v>
      </c>
      <c r="C145" s="5" t="str">
        <f t="shared" si="11"/>
        <v>496</v>
      </c>
      <c r="D145" s="3" t="s">
        <v>511</v>
      </c>
      <c r="E145" s="3" t="str">
        <f t="shared" si="12"/>
        <v>TOK_DIFFERENCE</v>
      </c>
      <c r="F145" s="3" t="str">
        <f t="shared" si="13"/>
        <v>"DIFFERENCE"</v>
      </c>
      <c r="G145" s="3" t="str">
        <f t="shared" si="14"/>
        <v>true</v>
      </c>
      <c r="I145" t="s">
        <v>518</v>
      </c>
    </row>
    <row r="146" spans="1:9" x14ac:dyDescent="0.25">
      <c r="A146" s="3" t="s">
        <v>919</v>
      </c>
      <c r="B146" s="4" t="str">
        <f t="shared" si="10"/>
        <v>***</v>
      </c>
      <c r="C146" s="5">
        <v>679</v>
      </c>
      <c r="D146" s="3" t="s">
        <v>512</v>
      </c>
      <c r="E146" s="3" t="str">
        <f t="shared" si="12"/>
        <v>TOK_DISABLE</v>
      </c>
      <c r="F146" s="3" t="str">
        <f t="shared" si="13"/>
        <v>"DISABLE"</v>
      </c>
      <c r="G146" s="3" t="str">
        <f t="shared" si="14"/>
        <v>true</v>
      </c>
    </row>
    <row r="147" spans="1:9" x14ac:dyDescent="0.25">
      <c r="A147" s="3" t="s">
        <v>104</v>
      </c>
      <c r="B147" s="4" t="str">
        <f t="shared" si="10"/>
        <v>547</v>
      </c>
      <c r="C147" s="5" t="str">
        <f t="shared" si="11"/>
        <v>547</v>
      </c>
      <c r="D147" s="3" t="s">
        <v>513</v>
      </c>
      <c r="E147" s="3" t="str">
        <f t="shared" si="12"/>
        <v>TOK_DISCONNECT</v>
      </c>
      <c r="F147" s="3" t="str">
        <f t="shared" si="13"/>
        <v>"DISCONNECT"</v>
      </c>
      <c r="G147" s="3" t="str">
        <f t="shared" si="14"/>
        <v>false</v>
      </c>
    </row>
    <row r="148" spans="1:9" x14ac:dyDescent="0.25">
      <c r="A148" s="3" t="s">
        <v>105</v>
      </c>
      <c r="B148" s="4" t="str">
        <f t="shared" si="10"/>
        <v>298</v>
      </c>
      <c r="C148" s="5" t="str">
        <f t="shared" si="11"/>
        <v>298</v>
      </c>
      <c r="D148" s="3" t="s">
        <v>514</v>
      </c>
      <c r="E148" s="3" t="str">
        <f t="shared" si="12"/>
        <v>TOK_DISTINCT</v>
      </c>
      <c r="F148" s="3" t="str">
        <f t="shared" si="13"/>
        <v>"DISTINCT"</v>
      </c>
      <c r="G148" s="3" t="str">
        <f t="shared" si="14"/>
        <v>false</v>
      </c>
    </row>
    <row r="149" spans="1:9" x14ac:dyDescent="0.25">
      <c r="A149" s="3" t="s">
        <v>106</v>
      </c>
      <c r="B149" s="4" t="str">
        <f t="shared" si="10"/>
        <v>299</v>
      </c>
      <c r="C149" s="5" t="str">
        <f t="shared" si="11"/>
        <v>299</v>
      </c>
      <c r="D149" s="3" t="s">
        <v>515</v>
      </c>
      <c r="E149" s="3" t="str">
        <f t="shared" si="12"/>
        <v>TOK_DO</v>
      </c>
      <c r="F149" s="3" t="str">
        <f t="shared" si="13"/>
        <v>"DO"</v>
      </c>
      <c r="G149" s="3" t="str">
        <f t="shared" si="14"/>
        <v>true</v>
      </c>
    </row>
    <row r="150" spans="1:9" x14ac:dyDescent="0.25">
      <c r="A150" s="3" t="s">
        <v>107</v>
      </c>
      <c r="B150" s="4" t="str">
        <f t="shared" si="10"/>
        <v>300</v>
      </c>
      <c r="C150" s="5" t="str">
        <f t="shared" si="11"/>
        <v>300</v>
      </c>
      <c r="D150" s="3" t="s">
        <v>516</v>
      </c>
      <c r="E150" s="3" t="str">
        <f t="shared" si="12"/>
        <v>TOK_DOMAIN</v>
      </c>
      <c r="F150" s="3" t="str">
        <f t="shared" si="13"/>
        <v>"DOMAIN"</v>
      </c>
      <c r="G150" s="3" t="str">
        <f t="shared" si="14"/>
        <v>true</v>
      </c>
    </row>
    <row r="151" spans="1:9" x14ac:dyDescent="0.25">
      <c r="A151" s="3" t="s">
        <v>932</v>
      </c>
      <c r="B151" s="4" t="str">
        <f t="shared" si="10"/>
        <v>339</v>
      </c>
      <c r="C151" s="5" t="str">
        <f t="shared" si="11"/>
        <v>339</v>
      </c>
      <c r="D151" s="3" t="s">
        <v>517</v>
      </c>
      <c r="E151" s="3" t="str">
        <f t="shared" si="12"/>
        <v>TOK_DOUBLE</v>
      </c>
      <c r="F151" s="3" t="str">
        <f t="shared" si="13"/>
        <v>"DOUBLE"</v>
      </c>
      <c r="G151" s="3" t="str">
        <f t="shared" si="14"/>
        <v>false</v>
      </c>
    </row>
    <row r="152" spans="1:9" x14ac:dyDescent="0.25">
      <c r="A152" s="3" t="s">
        <v>108</v>
      </c>
      <c r="B152" s="4" t="str">
        <f t="shared" si="10"/>
        <v>301</v>
      </c>
      <c r="C152" s="5" t="str">
        <f t="shared" si="11"/>
        <v>301</v>
      </c>
      <c r="D152" s="3" t="s">
        <v>519</v>
      </c>
      <c r="E152" s="3" t="str">
        <f t="shared" si="12"/>
        <v>TOK_DROP</v>
      </c>
      <c r="F152" s="3" t="str">
        <f t="shared" si="13"/>
        <v>"DROP"</v>
      </c>
      <c r="G152" s="3" t="str">
        <f t="shared" si="14"/>
        <v>false</v>
      </c>
    </row>
    <row r="153" spans="1:9" x14ac:dyDescent="0.25">
      <c r="A153" s="3" t="s">
        <v>109</v>
      </c>
      <c r="B153" s="4" t="str">
        <f t="shared" si="10"/>
        <v>302</v>
      </c>
      <c r="C153" s="5" t="str">
        <f t="shared" si="11"/>
        <v>302</v>
      </c>
      <c r="D153" s="3" t="s">
        <v>520</v>
      </c>
      <c r="E153" s="3" t="str">
        <f t="shared" si="12"/>
        <v>TOK_ELSE</v>
      </c>
      <c r="F153" s="3" t="str">
        <f t="shared" si="13"/>
        <v>"ELSE"</v>
      </c>
      <c r="G153" s="3" t="str">
        <f t="shared" si="14"/>
        <v>false</v>
      </c>
    </row>
    <row r="154" spans="1:9" x14ac:dyDescent="0.25">
      <c r="A154" s="3" t="s">
        <v>920</v>
      </c>
      <c r="B154" s="4" t="str">
        <f t="shared" si="10"/>
        <v>***</v>
      </c>
      <c r="C154" s="5">
        <v>680</v>
      </c>
      <c r="D154" s="3" t="s">
        <v>521</v>
      </c>
      <c r="E154" s="3" t="str">
        <f t="shared" si="12"/>
        <v>TOK_ENABLE</v>
      </c>
      <c r="F154" s="3" t="str">
        <f t="shared" si="13"/>
        <v>"ENABLE"</v>
      </c>
      <c r="G154" s="3" t="str">
        <f t="shared" si="14"/>
        <v>true</v>
      </c>
    </row>
    <row r="155" spans="1:9" x14ac:dyDescent="0.25">
      <c r="A155" s="3" t="s">
        <v>110</v>
      </c>
      <c r="B155" s="4" t="str">
        <f t="shared" si="10"/>
        <v>611</v>
      </c>
      <c r="C155" s="5" t="str">
        <f t="shared" si="11"/>
        <v>611</v>
      </c>
      <c r="D155" s="3" t="s">
        <v>522</v>
      </c>
      <c r="E155" s="3" t="str">
        <f t="shared" si="12"/>
        <v>TOK_ENCRYPT</v>
      </c>
      <c r="F155" s="3" t="str">
        <f t="shared" si="13"/>
        <v>"ENCRYPT"</v>
      </c>
      <c r="G155" s="3" t="str">
        <f t="shared" si="14"/>
        <v>true</v>
      </c>
    </row>
    <row r="156" spans="1:9" x14ac:dyDescent="0.25">
      <c r="A156" s="3" t="s">
        <v>111</v>
      </c>
      <c r="B156" s="4" t="str">
        <f t="shared" si="10"/>
        <v>303</v>
      </c>
      <c r="C156" s="5" t="str">
        <f t="shared" si="11"/>
        <v>303</v>
      </c>
      <c r="D156" s="3" t="s">
        <v>523</v>
      </c>
      <c r="E156" s="3" t="str">
        <f t="shared" si="12"/>
        <v>TOK_END</v>
      </c>
      <c r="F156" s="3" t="str">
        <f t="shared" si="13"/>
        <v>"END"</v>
      </c>
      <c r="G156" s="3" t="str">
        <f t="shared" si="14"/>
        <v>false</v>
      </c>
    </row>
    <row r="157" spans="1:9" x14ac:dyDescent="0.25">
      <c r="A157" s="3" t="s">
        <v>112</v>
      </c>
      <c r="B157" s="4" t="str">
        <f t="shared" si="10"/>
        <v>612</v>
      </c>
      <c r="C157" s="5" t="str">
        <f t="shared" si="11"/>
        <v>612</v>
      </c>
      <c r="D157" s="3" t="s">
        <v>524</v>
      </c>
      <c r="E157" s="3" t="str">
        <f t="shared" si="12"/>
        <v>TOK_ENGINE</v>
      </c>
      <c r="F157" s="3" t="str">
        <f t="shared" si="13"/>
        <v>"ENGINE"</v>
      </c>
      <c r="G157" s="3" t="str">
        <f t="shared" si="14"/>
        <v>true</v>
      </c>
    </row>
    <row r="158" spans="1:9" x14ac:dyDescent="0.25">
      <c r="A158" s="3" t="s">
        <v>113</v>
      </c>
      <c r="B158" s="4" t="str">
        <f t="shared" si="10"/>
        <v>304</v>
      </c>
      <c r="C158" s="5" t="str">
        <f t="shared" si="11"/>
        <v>304</v>
      </c>
      <c r="D158" s="3" t="s">
        <v>525</v>
      </c>
      <c r="E158" s="3" t="str">
        <f t="shared" si="12"/>
        <v>TOK_ENTRY_POINT</v>
      </c>
      <c r="F158" s="3" t="str">
        <f t="shared" si="13"/>
        <v>"ENTRY_POINT"</v>
      </c>
      <c r="G158" s="3" t="str">
        <f t="shared" si="14"/>
        <v>true</v>
      </c>
    </row>
    <row r="159" spans="1:9" x14ac:dyDescent="0.25">
      <c r="A159" s="3" t="s">
        <v>114</v>
      </c>
      <c r="B159" s="4" t="str">
        <f t="shared" si="10"/>
        <v>305</v>
      </c>
      <c r="C159" s="5" t="str">
        <f t="shared" si="11"/>
        <v>305</v>
      </c>
      <c r="D159" s="3" t="s">
        <v>526</v>
      </c>
      <c r="E159" s="3" t="str">
        <f t="shared" si="12"/>
        <v>TOK_ESCAPE</v>
      </c>
      <c r="F159" s="3" t="str">
        <f t="shared" si="13"/>
        <v>"ESCAPE"</v>
      </c>
      <c r="G159" s="3" t="str">
        <f t="shared" si="14"/>
        <v>false</v>
      </c>
    </row>
    <row r="160" spans="1:9" x14ac:dyDescent="0.25">
      <c r="A160" s="3" t="s">
        <v>115</v>
      </c>
      <c r="B160" s="4" t="str">
        <f t="shared" si="10"/>
        <v>306</v>
      </c>
      <c r="C160" s="5" t="str">
        <f t="shared" si="11"/>
        <v>306</v>
      </c>
      <c r="D160" s="3" t="s">
        <v>527</v>
      </c>
      <c r="E160" s="3" t="str">
        <f t="shared" si="12"/>
        <v>TOK_EXCEPTION</v>
      </c>
      <c r="F160" s="3" t="str">
        <f t="shared" si="13"/>
        <v>"EXCEPTION"</v>
      </c>
      <c r="G160" s="3" t="str">
        <f t="shared" si="14"/>
        <v>true</v>
      </c>
    </row>
    <row r="161" spans="1:7" x14ac:dyDescent="0.25">
      <c r="A161" s="3" t="s">
        <v>921</v>
      </c>
      <c r="B161" s="4" t="str">
        <f t="shared" ref="B161:B224" si="15">IF(A161 = "", -1,TRIM(MID(A161, SEARCH(" ",A161) + 1, 99)))</f>
        <v>***</v>
      </c>
      <c r="C161" s="5">
        <v>681</v>
      </c>
      <c r="D161" s="3" t="s">
        <v>528</v>
      </c>
      <c r="E161" s="3" t="str">
        <f t="shared" si="12"/>
        <v>TOK_EXCESS</v>
      </c>
      <c r="F161" s="3" t="str">
        <f t="shared" si="13"/>
        <v>"EXCESS"</v>
      </c>
      <c r="G161" s="3" t="str">
        <f t="shared" si="14"/>
        <v>true</v>
      </c>
    </row>
    <row r="162" spans="1:7" x14ac:dyDescent="0.25">
      <c r="A162" s="3" t="s">
        <v>960</v>
      </c>
      <c r="B162" s="4" t="e">
        <f t="shared" si="15"/>
        <v>#VALUE!</v>
      </c>
      <c r="C162" s="5">
        <v>682</v>
      </c>
      <c r="D162" s="3" t="s">
        <v>529</v>
      </c>
      <c r="E162" s="3" t="str">
        <f t="shared" si="12"/>
        <v>TOK_EXCLUDE</v>
      </c>
      <c r="F162" s="3" t="str">
        <f t="shared" si="13"/>
        <v>"EXCLUDE"</v>
      </c>
      <c r="G162" s="3" t="str">
        <f t="shared" si="14"/>
        <v>true</v>
      </c>
    </row>
    <row r="163" spans="1:7" x14ac:dyDescent="0.25">
      <c r="A163" s="3" t="s">
        <v>116</v>
      </c>
      <c r="B163" s="4" t="str">
        <f t="shared" si="15"/>
        <v>307</v>
      </c>
      <c r="C163" s="5" t="str">
        <f t="shared" si="11"/>
        <v>307</v>
      </c>
      <c r="D163" s="3" t="s">
        <v>530</v>
      </c>
      <c r="E163" s="3" t="str">
        <f t="shared" si="12"/>
        <v>TOK_EXECUTE</v>
      </c>
      <c r="F163" s="3" t="str">
        <f t="shared" si="13"/>
        <v>"EXECUTE"</v>
      </c>
      <c r="G163" s="3" t="str">
        <f t="shared" si="14"/>
        <v>false</v>
      </c>
    </row>
    <row r="164" spans="1:7" x14ac:dyDescent="0.25">
      <c r="A164" s="3" t="s">
        <v>117</v>
      </c>
      <c r="B164" s="4" t="str">
        <f t="shared" si="15"/>
        <v>308</v>
      </c>
      <c r="C164" s="5" t="str">
        <f t="shared" si="11"/>
        <v>308</v>
      </c>
      <c r="D164" s="3" t="s">
        <v>531</v>
      </c>
      <c r="E164" s="3" t="str">
        <f t="shared" si="12"/>
        <v>TOK_EXISTS</v>
      </c>
      <c r="F164" s="3" t="str">
        <f t="shared" si="13"/>
        <v>"EXISTS"</v>
      </c>
      <c r="G164" s="3" t="str">
        <f t="shared" si="14"/>
        <v>false</v>
      </c>
    </row>
    <row r="165" spans="1:7" x14ac:dyDescent="0.25">
      <c r="A165" s="3" t="s">
        <v>118</v>
      </c>
      <c r="B165" s="4" t="str">
        <f t="shared" si="15"/>
        <v>309</v>
      </c>
      <c r="C165" s="5" t="str">
        <f t="shared" si="11"/>
        <v>309</v>
      </c>
      <c r="D165" s="3" t="s">
        <v>532</v>
      </c>
      <c r="E165" s="3" t="str">
        <f t="shared" si="12"/>
        <v>TOK_EXIT</v>
      </c>
      <c r="F165" s="3" t="str">
        <f t="shared" si="13"/>
        <v>"EXIT"</v>
      </c>
      <c r="G165" s="3" t="str">
        <f t="shared" si="14"/>
        <v>true</v>
      </c>
    </row>
    <row r="166" spans="1:7" x14ac:dyDescent="0.25">
      <c r="A166" s="3" t="s">
        <v>119</v>
      </c>
      <c r="B166" s="4" t="str">
        <f t="shared" si="15"/>
        <v>548</v>
      </c>
      <c r="C166" s="5" t="str">
        <f t="shared" si="11"/>
        <v>548</v>
      </c>
      <c r="D166" s="3" t="s">
        <v>533</v>
      </c>
      <c r="E166" s="3" t="str">
        <f t="shared" si="12"/>
        <v>TOK_EXP</v>
      </c>
      <c r="F166" s="3" t="str">
        <f t="shared" si="13"/>
        <v>"EXP"</v>
      </c>
      <c r="G166" s="3" t="str">
        <f t="shared" si="14"/>
        <v>true</v>
      </c>
    </row>
    <row r="167" spans="1:7" x14ac:dyDescent="0.25">
      <c r="A167" s="3" t="s">
        <v>959</v>
      </c>
      <c r="B167" s="4" t="e">
        <f t="shared" si="15"/>
        <v>#VALUE!</v>
      </c>
      <c r="C167" s="5">
        <v>683</v>
      </c>
      <c r="D167" s="3" t="s">
        <v>534</v>
      </c>
      <c r="E167" s="3" t="str">
        <f t="shared" si="12"/>
        <v>TOK_EXTENDED</v>
      </c>
      <c r="F167" s="3" t="str">
        <f t="shared" si="13"/>
        <v>"EXTENDED"</v>
      </c>
      <c r="G167" s="3" t="str">
        <f t="shared" si="14"/>
        <v>true</v>
      </c>
    </row>
    <row r="168" spans="1:7" x14ac:dyDescent="0.25">
      <c r="A168" s="3" t="s">
        <v>120</v>
      </c>
      <c r="B168" s="4" t="str">
        <f t="shared" si="15"/>
        <v>310</v>
      </c>
      <c r="C168" s="5" t="str">
        <f t="shared" si="11"/>
        <v>310</v>
      </c>
      <c r="D168" s="3" t="s">
        <v>535</v>
      </c>
      <c r="E168" s="3" t="str">
        <f t="shared" si="12"/>
        <v>TOK_EXTERNAL</v>
      </c>
      <c r="F168" s="3" t="str">
        <f t="shared" si="13"/>
        <v>"EXTERNAL"</v>
      </c>
      <c r="G168" s="3" t="str">
        <f t="shared" si="14"/>
        <v>false</v>
      </c>
    </row>
    <row r="169" spans="1:7" x14ac:dyDescent="0.25">
      <c r="A169" s="3" t="s">
        <v>121</v>
      </c>
      <c r="B169" s="4" t="str">
        <f t="shared" si="15"/>
        <v>453</v>
      </c>
      <c r="C169" s="5" t="str">
        <f t="shared" si="11"/>
        <v>453</v>
      </c>
      <c r="D169" s="3" t="s">
        <v>536</v>
      </c>
      <c r="E169" s="3" t="str">
        <f t="shared" si="12"/>
        <v>TOK_EXTRACT</v>
      </c>
      <c r="F169" s="3" t="str">
        <f t="shared" si="13"/>
        <v>"EXTRACT"</v>
      </c>
      <c r="G169" s="3" t="str">
        <f t="shared" si="14"/>
        <v>false</v>
      </c>
    </row>
    <row r="170" spans="1:7" x14ac:dyDescent="0.25">
      <c r="A170" s="3" t="s">
        <v>933</v>
      </c>
      <c r="B170" s="4" t="str">
        <f t="shared" si="15"/>
        <v>639</v>
      </c>
      <c r="C170" s="5" t="str">
        <f t="shared" si="11"/>
        <v>639</v>
      </c>
      <c r="D170" s="3" t="s">
        <v>537</v>
      </c>
      <c r="E170" s="3" t="str">
        <f t="shared" si="12"/>
        <v>TOK_FALSE</v>
      </c>
      <c r="F170" s="3" t="str">
        <f t="shared" si="13"/>
        <v>"FALSE"</v>
      </c>
      <c r="G170" s="3" t="str">
        <f t="shared" si="14"/>
        <v>false</v>
      </c>
    </row>
    <row r="171" spans="1:7" x14ac:dyDescent="0.25">
      <c r="A171" s="3" t="s">
        <v>122</v>
      </c>
      <c r="B171" s="4" t="str">
        <f t="shared" si="15"/>
        <v>499</v>
      </c>
      <c r="C171" s="5" t="str">
        <f t="shared" si="11"/>
        <v>499</v>
      </c>
      <c r="D171" s="3" t="s">
        <v>538</v>
      </c>
      <c r="E171" s="3" t="str">
        <f t="shared" si="12"/>
        <v>TOK_FETCH</v>
      </c>
      <c r="F171" s="3" t="str">
        <f t="shared" si="13"/>
        <v>"FETCH"</v>
      </c>
      <c r="G171" s="3" t="str">
        <f t="shared" si="14"/>
        <v>false</v>
      </c>
    </row>
    <row r="172" spans="1:7" x14ac:dyDescent="0.25">
      <c r="A172" s="3" t="s">
        <v>934</v>
      </c>
      <c r="B172" s="4" t="str">
        <f t="shared" si="15"/>
        <v>340</v>
      </c>
      <c r="C172" s="5" t="str">
        <f t="shared" si="11"/>
        <v>340</v>
      </c>
      <c r="D172" s="3" t="s">
        <v>539</v>
      </c>
      <c r="E172" s="3" t="str">
        <f t="shared" si="12"/>
        <v>TOK_FILE</v>
      </c>
      <c r="F172" s="3" t="str">
        <f t="shared" si="13"/>
        <v>"FILE"</v>
      </c>
      <c r="G172" s="3" t="str">
        <f t="shared" si="14"/>
        <v>true</v>
      </c>
    </row>
    <row r="173" spans="1:7" x14ac:dyDescent="0.25">
      <c r="A173" s="3" t="s">
        <v>123</v>
      </c>
      <c r="B173" s="4" t="str">
        <f t="shared" si="15"/>
        <v>311</v>
      </c>
      <c r="C173" s="5" t="str">
        <f t="shared" si="11"/>
        <v>311</v>
      </c>
      <c r="D173" s="3" t="s">
        <v>540</v>
      </c>
      <c r="E173" s="3" t="str">
        <f t="shared" si="12"/>
        <v>TOK_FILTER</v>
      </c>
      <c r="F173" s="3" t="str">
        <f t="shared" si="13"/>
        <v>"FILTER"</v>
      </c>
      <c r="G173" s="3" t="str">
        <f t="shared" si="14"/>
        <v>false</v>
      </c>
    </row>
    <row r="174" spans="1:7" x14ac:dyDescent="0.25">
      <c r="A174" s="3" t="s">
        <v>124</v>
      </c>
      <c r="B174" s="4" t="str">
        <f t="shared" si="15"/>
        <v>475</v>
      </c>
      <c r="C174" s="5" t="str">
        <f t="shared" si="11"/>
        <v>475</v>
      </c>
      <c r="D174" s="3" t="s">
        <v>541</v>
      </c>
      <c r="E174" s="3" t="str">
        <f t="shared" si="12"/>
        <v>TOK_FIRST</v>
      </c>
      <c r="F174" s="3" t="str">
        <f t="shared" si="13"/>
        <v>"FIRST"</v>
      </c>
      <c r="G174" s="3" t="str">
        <f t="shared" si="14"/>
        <v>true</v>
      </c>
    </row>
    <row r="175" spans="1:7" x14ac:dyDescent="0.25">
      <c r="A175" s="3" t="s">
        <v>958</v>
      </c>
      <c r="B175" s="4" t="e">
        <f t="shared" si="15"/>
        <v>#VALUE!</v>
      </c>
      <c r="C175" s="5">
        <v>684</v>
      </c>
      <c r="D175" s="3" t="s">
        <v>542</v>
      </c>
      <c r="E175" s="3" t="str">
        <f t="shared" si="12"/>
        <v>TOK_FIRST_DAY</v>
      </c>
      <c r="F175" s="3" t="str">
        <f t="shared" si="13"/>
        <v>"FIRST_DAY"</v>
      </c>
      <c r="G175" s="3" t="str">
        <f t="shared" si="14"/>
        <v>true</v>
      </c>
    </row>
    <row r="176" spans="1:7" x14ac:dyDescent="0.25">
      <c r="A176" s="3" t="s">
        <v>125</v>
      </c>
      <c r="B176" s="4" t="str">
        <f t="shared" si="15"/>
        <v>630</v>
      </c>
      <c r="C176" s="5" t="str">
        <f t="shared" si="11"/>
        <v>630</v>
      </c>
      <c r="D176" s="3" t="s">
        <v>543</v>
      </c>
      <c r="E176" s="3" t="str">
        <f t="shared" si="12"/>
        <v>TOK_FIRST_VALUE</v>
      </c>
      <c r="F176" s="3" t="str">
        <f t="shared" si="13"/>
        <v>"FIRST_VALUE"</v>
      </c>
      <c r="G176" s="3" t="str">
        <f t="shared" si="14"/>
        <v>true</v>
      </c>
    </row>
    <row r="177" spans="1:7" x14ac:dyDescent="0.25">
      <c r="A177" s="3" t="s">
        <v>126</v>
      </c>
      <c r="B177" s="4" t="str">
        <f t="shared" si="15"/>
        <v>592</v>
      </c>
      <c r="C177" s="5" t="str">
        <f t="shared" si="11"/>
        <v>592</v>
      </c>
      <c r="D177" s="3" t="s">
        <v>544</v>
      </c>
      <c r="E177" s="3" t="str">
        <f t="shared" si="12"/>
        <v>TOK_FIRSTNAME</v>
      </c>
      <c r="F177" s="3" t="str">
        <f t="shared" si="13"/>
        <v>"FIRSTNAME"</v>
      </c>
      <c r="G177" s="3" t="str">
        <f t="shared" si="14"/>
        <v>true</v>
      </c>
    </row>
    <row r="178" spans="1:7" x14ac:dyDescent="0.25">
      <c r="A178" s="3" t="s">
        <v>935</v>
      </c>
      <c r="B178" s="4" t="str">
        <f t="shared" si="15"/>
        <v>341</v>
      </c>
      <c r="C178" s="5" t="str">
        <f t="shared" si="11"/>
        <v>341</v>
      </c>
      <c r="D178" s="3" t="s">
        <v>545</v>
      </c>
      <c r="E178" s="3" t="str">
        <f t="shared" si="12"/>
        <v>TOK_FLOAT</v>
      </c>
      <c r="F178" s="3" t="str">
        <f t="shared" si="13"/>
        <v>"FLOAT"</v>
      </c>
      <c r="G178" s="3" t="str">
        <f t="shared" si="14"/>
        <v>false</v>
      </c>
    </row>
    <row r="179" spans="1:7" x14ac:dyDescent="0.25">
      <c r="A179" s="3" t="s">
        <v>127</v>
      </c>
      <c r="B179" s="4" t="str">
        <f t="shared" si="15"/>
        <v>440</v>
      </c>
      <c r="C179" s="5" t="str">
        <f t="shared" si="11"/>
        <v>440</v>
      </c>
      <c r="D179" s="3" t="s">
        <v>922</v>
      </c>
      <c r="E179" s="3" t="str">
        <f t="shared" si="12"/>
        <v>TOK_FLOAT_NUMBER</v>
      </c>
      <c r="F179" s="3" t="str">
        <f t="shared" si="13"/>
        <v>"FLOAT_NUMBER"</v>
      </c>
      <c r="G179" s="3" t="str">
        <f t="shared" si="14"/>
        <v>false</v>
      </c>
    </row>
    <row r="180" spans="1:7" x14ac:dyDescent="0.25">
      <c r="A180" s="3" t="s">
        <v>128</v>
      </c>
      <c r="B180" s="4" t="str">
        <f t="shared" si="15"/>
        <v>549</v>
      </c>
      <c r="C180" s="5" t="str">
        <f t="shared" si="11"/>
        <v>549</v>
      </c>
      <c r="D180" s="3" t="s">
        <v>546</v>
      </c>
      <c r="E180" s="3" t="str">
        <f t="shared" si="12"/>
        <v>TOK_FLOOR</v>
      </c>
      <c r="F180" s="3" t="str">
        <f t="shared" si="13"/>
        <v>"FLOOR"</v>
      </c>
      <c r="G180" s="3" t="str">
        <f t="shared" si="14"/>
        <v>true</v>
      </c>
    </row>
    <row r="181" spans="1:7" x14ac:dyDescent="0.25">
      <c r="A181" s="3" t="s">
        <v>957</v>
      </c>
      <c r="B181" s="4" t="e">
        <f t="shared" si="15"/>
        <v>#VALUE!</v>
      </c>
      <c r="C181" s="5">
        <v>685</v>
      </c>
      <c r="D181" s="3" t="s">
        <v>547</v>
      </c>
      <c r="E181" s="3" t="str">
        <f t="shared" si="12"/>
        <v>TOK_FOLLOWING</v>
      </c>
      <c r="F181" s="3" t="str">
        <f t="shared" si="13"/>
        <v>"FOLLOWING"</v>
      </c>
      <c r="G181" s="3" t="str">
        <f t="shared" si="14"/>
        <v>true</v>
      </c>
    </row>
    <row r="182" spans="1:7" x14ac:dyDescent="0.25">
      <c r="A182" s="3" t="s">
        <v>129</v>
      </c>
      <c r="B182" s="4" t="str">
        <f t="shared" si="15"/>
        <v>312</v>
      </c>
      <c r="C182" s="5" t="str">
        <f t="shared" si="11"/>
        <v>312</v>
      </c>
      <c r="D182" s="3" t="s">
        <v>548</v>
      </c>
      <c r="E182" s="3" t="str">
        <f t="shared" si="12"/>
        <v>TOK_FOR</v>
      </c>
      <c r="F182" s="3" t="str">
        <f t="shared" si="13"/>
        <v>"FOR"</v>
      </c>
      <c r="G182" s="3" t="str">
        <f t="shared" si="14"/>
        <v>false</v>
      </c>
    </row>
    <row r="183" spans="1:7" x14ac:dyDescent="0.25">
      <c r="A183" s="3" t="s">
        <v>130</v>
      </c>
      <c r="B183" s="4" t="str">
        <f t="shared" si="15"/>
        <v>313</v>
      </c>
      <c r="C183" s="5" t="str">
        <f t="shared" si="11"/>
        <v>313</v>
      </c>
      <c r="D183" s="3" t="s">
        <v>549</v>
      </c>
      <c r="E183" s="3" t="str">
        <f t="shared" si="12"/>
        <v>TOK_FOREIGN</v>
      </c>
      <c r="F183" s="3" t="str">
        <f t="shared" si="13"/>
        <v>"FOREIGN"</v>
      </c>
      <c r="G183" s="3" t="str">
        <f t="shared" si="14"/>
        <v>false</v>
      </c>
    </row>
    <row r="184" spans="1:7" x14ac:dyDescent="0.25">
      <c r="A184" s="3" t="s">
        <v>131</v>
      </c>
      <c r="B184" s="4" t="str">
        <f t="shared" si="15"/>
        <v>448</v>
      </c>
      <c r="C184" s="5" t="str">
        <f t="shared" si="11"/>
        <v>448</v>
      </c>
      <c r="D184" s="3" t="s">
        <v>550</v>
      </c>
      <c r="E184" s="3" t="str">
        <f t="shared" si="12"/>
        <v>TOK_FREE_IT</v>
      </c>
      <c r="F184" s="3" t="str">
        <f t="shared" si="13"/>
        <v>"FREE_IT"</v>
      </c>
      <c r="G184" s="3" t="str">
        <f t="shared" si="14"/>
        <v>true</v>
      </c>
    </row>
    <row r="185" spans="1:7" x14ac:dyDescent="0.25">
      <c r="A185" s="3" t="s">
        <v>132</v>
      </c>
      <c r="B185" s="4" t="str">
        <f t="shared" si="15"/>
        <v>314</v>
      </c>
      <c r="C185" s="5" t="str">
        <f t="shared" si="11"/>
        <v>314</v>
      </c>
      <c r="D185" s="3" t="s">
        <v>551</v>
      </c>
      <c r="E185" s="3" t="str">
        <f t="shared" si="12"/>
        <v>TOK_FROM</v>
      </c>
      <c r="F185" s="3" t="str">
        <f t="shared" si="13"/>
        <v>"FROM"</v>
      </c>
      <c r="G185" s="3" t="str">
        <f t="shared" si="14"/>
        <v>false</v>
      </c>
    </row>
    <row r="186" spans="1:7" x14ac:dyDescent="0.25">
      <c r="A186" s="3" t="s">
        <v>133</v>
      </c>
      <c r="B186" s="4" t="str">
        <f t="shared" si="15"/>
        <v>315</v>
      </c>
      <c r="C186" s="5" t="str">
        <f t="shared" si="11"/>
        <v>315</v>
      </c>
      <c r="D186" s="3" t="s">
        <v>552</v>
      </c>
      <c r="E186" s="3" t="str">
        <f t="shared" si="12"/>
        <v>TOK_FULL</v>
      </c>
      <c r="F186" s="3" t="str">
        <f t="shared" si="13"/>
        <v>"FULL"</v>
      </c>
      <c r="G186" s="3" t="str">
        <f t="shared" si="14"/>
        <v>false</v>
      </c>
    </row>
    <row r="187" spans="1:7" x14ac:dyDescent="0.25">
      <c r="A187" s="3" t="s">
        <v>134</v>
      </c>
      <c r="B187" s="4" t="str">
        <f t="shared" si="15"/>
        <v>316</v>
      </c>
      <c r="C187" s="5" t="str">
        <f t="shared" si="11"/>
        <v>316</v>
      </c>
      <c r="D187" s="3" t="s">
        <v>553</v>
      </c>
      <c r="E187" s="3" t="str">
        <f t="shared" si="12"/>
        <v>TOK_FUNCTION</v>
      </c>
      <c r="F187" s="3" t="str">
        <f t="shared" si="13"/>
        <v>"FUNCTION"</v>
      </c>
      <c r="G187" s="3" t="str">
        <f t="shared" si="14"/>
        <v>false</v>
      </c>
    </row>
    <row r="188" spans="1:7" x14ac:dyDescent="0.25">
      <c r="A188" s="3" t="s">
        <v>135</v>
      </c>
      <c r="B188" s="4" t="str">
        <f t="shared" si="15"/>
        <v>317</v>
      </c>
      <c r="C188" s="5" t="str">
        <f t="shared" si="11"/>
        <v>317</v>
      </c>
      <c r="D188" s="3" t="s">
        <v>554</v>
      </c>
      <c r="E188" s="3" t="str">
        <f t="shared" si="12"/>
        <v>TOK_GDSCODE</v>
      </c>
      <c r="F188" s="3" t="str">
        <f t="shared" si="13"/>
        <v>"GDSCODE"</v>
      </c>
      <c r="G188" s="3" t="str">
        <f t="shared" si="14"/>
        <v>false</v>
      </c>
    </row>
    <row r="189" spans="1:7" x14ac:dyDescent="0.25">
      <c r="A189" s="3" t="s">
        <v>136</v>
      </c>
      <c r="B189" s="4" t="str">
        <f t="shared" si="15"/>
        <v>320</v>
      </c>
      <c r="C189" s="5" t="str">
        <f t="shared" si="11"/>
        <v>320</v>
      </c>
      <c r="D189" s="3" t="s">
        <v>555</v>
      </c>
      <c r="E189" s="3" t="str">
        <f t="shared" si="12"/>
        <v>TOK_GEN_ID</v>
      </c>
      <c r="F189" s="3" t="str">
        <f t="shared" si="13"/>
        <v>"GEN_ID"</v>
      </c>
      <c r="G189" s="3" t="str">
        <f t="shared" si="14"/>
        <v>true</v>
      </c>
    </row>
    <row r="190" spans="1:7" x14ac:dyDescent="0.25">
      <c r="A190" s="3" t="s">
        <v>137</v>
      </c>
      <c r="B190" s="4" t="str">
        <f t="shared" si="15"/>
        <v>550</v>
      </c>
      <c r="C190" s="5" t="str">
        <f t="shared" si="11"/>
        <v>550</v>
      </c>
      <c r="D190" s="3" t="s">
        <v>556</v>
      </c>
      <c r="E190" s="3" t="str">
        <f t="shared" si="12"/>
        <v>TOK_GEN_UUID</v>
      </c>
      <c r="F190" s="3" t="str">
        <f t="shared" si="13"/>
        <v>"GEN_UUID"</v>
      </c>
      <c r="G190" s="3" t="str">
        <f t="shared" si="14"/>
        <v>true</v>
      </c>
    </row>
    <row r="191" spans="1:7" x14ac:dyDescent="0.25">
      <c r="A191" s="3" t="s">
        <v>138</v>
      </c>
      <c r="B191" s="4" t="str">
        <f t="shared" si="15"/>
        <v>551</v>
      </c>
      <c r="C191" s="5" t="str">
        <f t="shared" si="11"/>
        <v>551</v>
      </c>
      <c r="D191" s="3" t="s">
        <v>557</v>
      </c>
      <c r="E191" s="3" t="str">
        <f t="shared" si="12"/>
        <v>TOK_GENERATED</v>
      </c>
      <c r="F191" s="3" t="str">
        <f t="shared" si="13"/>
        <v>"GENERATED"</v>
      </c>
      <c r="G191" s="3" t="str">
        <f t="shared" si="14"/>
        <v>true</v>
      </c>
    </row>
    <row r="192" spans="1:7" x14ac:dyDescent="0.25">
      <c r="A192" s="3" t="s">
        <v>139</v>
      </c>
      <c r="B192" s="4" t="str">
        <f t="shared" si="15"/>
        <v>319</v>
      </c>
      <c r="C192" s="5" t="str">
        <f t="shared" si="11"/>
        <v>319</v>
      </c>
      <c r="D192" s="3" t="s">
        <v>558</v>
      </c>
      <c r="E192" s="3" t="str">
        <f t="shared" si="12"/>
        <v>TOK_GENERATOR</v>
      </c>
      <c r="F192" s="3" t="str">
        <f t="shared" si="13"/>
        <v>"GENERATOR"</v>
      </c>
      <c r="G192" s="3" t="str">
        <f t="shared" si="14"/>
        <v>true</v>
      </c>
    </row>
    <row r="193" spans="1:7" x14ac:dyDescent="0.25">
      <c r="A193" s="3" t="s">
        <v>140</v>
      </c>
      <c r="B193" s="4" t="str">
        <f t="shared" si="15"/>
        <v>318</v>
      </c>
      <c r="C193" s="5" t="str">
        <f t="shared" si="11"/>
        <v>318</v>
      </c>
      <c r="D193" s="3" t="s">
        <v>559</v>
      </c>
      <c r="E193" s="3" t="str">
        <f t="shared" si="12"/>
        <v>TOK_GEQ</v>
      </c>
      <c r="F193" s="3" t="str">
        <f t="shared" si="13"/>
        <v>"&gt;="</v>
      </c>
      <c r="G193" s="3" t="str">
        <f t="shared" si="14"/>
        <v>false</v>
      </c>
    </row>
    <row r="194" spans="1:7" x14ac:dyDescent="0.25">
      <c r="A194" s="3" t="s">
        <v>141</v>
      </c>
      <c r="B194" s="4" t="str">
        <f t="shared" si="15"/>
        <v>552</v>
      </c>
      <c r="C194" s="5" t="str">
        <f t="shared" si="11"/>
        <v>552</v>
      </c>
      <c r="D194" s="3" t="s">
        <v>560</v>
      </c>
      <c r="E194" s="3" t="str">
        <f t="shared" si="12"/>
        <v>TOK_GLOBAL</v>
      </c>
      <c r="F194" s="3" t="str">
        <f t="shared" si="13"/>
        <v>"GLOBAL"</v>
      </c>
      <c r="G194" s="3" t="str">
        <f t="shared" si="14"/>
        <v>false</v>
      </c>
    </row>
    <row r="195" spans="1:7" x14ac:dyDescent="0.25">
      <c r="A195" s="3" t="s">
        <v>142</v>
      </c>
      <c r="B195" s="4" t="str">
        <f t="shared" si="15"/>
        <v>321</v>
      </c>
      <c r="C195" s="5" t="str">
        <f t="shared" ref="C195:C258" si="16">IF(B195 = "***", -1, B195)</f>
        <v>321</v>
      </c>
      <c r="D195" s="3" t="s">
        <v>561</v>
      </c>
      <c r="E195" s="3" t="str">
        <f t="shared" si="12"/>
        <v>TOK_GRANT</v>
      </c>
      <c r="F195" s="3" t="str">
        <f t="shared" si="13"/>
        <v>"GRANT"</v>
      </c>
      <c r="G195" s="3" t="str">
        <f t="shared" si="14"/>
        <v>false</v>
      </c>
    </row>
    <row r="196" spans="1:7" x14ac:dyDescent="0.25">
      <c r="A196" s="3" t="s">
        <v>143</v>
      </c>
      <c r="B196" s="4" t="str">
        <f t="shared" si="15"/>
        <v>593</v>
      </c>
      <c r="C196" s="5" t="str">
        <f t="shared" si="16"/>
        <v>593</v>
      </c>
      <c r="D196" s="3" t="s">
        <v>562</v>
      </c>
      <c r="E196" s="3" t="str">
        <f t="shared" si="12"/>
        <v>TOK_GRANTED</v>
      </c>
      <c r="F196" s="3" t="str">
        <f t="shared" si="13"/>
        <v>"GRANTED"</v>
      </c>
      <c r="G196" s="3" t="str">
        <f t="shared" si="14"/>
        <v>true</v>
      </c>
    </row>
    <row r="197" spans="1:7" x14ac:dyDescent="0.25">
      <c r="A197" s="3" t="s">
        <v>144</v>
      </c>
      <c r="B197" s="4" t="str">
        <f t="shared" si="15"/>
        <v>322</v>
      </c>
      <c r="C197" s="5" t="str">
        <f t="shared" si="16"/>
        <v>322</v>
      </c>
      <c r="D197" s="3" t="s">
        <v>563</v>
      </c>
      <c r="E197" s="3" t="str">
        <f t="shared" si="12"/>
        <v>TOK_GROUP</v>
      </c>
      <c r="F197" s="3" t="str">
        <f t="shared" si="13"/>
        <v>"GROUP"</v>
      </c>
      <c r="G197" s="3" t="str">
        <f t="shared" si="14"/>
        <v>false</v>
      </c>
    </row>
    <row r="198" spans="1:7" x14ac:dyDescent="0.25">
      <c r="A198" s="3" t="s">
        <v>145</v>
      </c>
      <c r="B198" s="4" t="str">
        <f t="shared" si="15"/>
        <v>553</v>
      </c>
      <c r="C198" s="5" t="str">
        <f t="shared" si="16"/>
        <v>553</v>
      </c>
      <c r="D198" s="3" t="s">
        <v>564</v>
      </c>
      <c r="E198" s="3" t="str">
        <f t="shared" si="12"/>
        <v>TOK_HASH</v>
      </c>
      <c r="F198" s="3" t="str">
        <f t="shared" si="13"/>
        <v>"HASH"</v>
      </c>
      <c r="G198" s="3" t="str">
        <f t="shared" si="14"/>
        <v>true</v>
      </c>
    </row>
    <row r="199" spans="1:7" x14ac:dyDescent="0.25">
      <c r="A199" s="3" t="s">
        <v>146</v>
      </c>
      <c r="B199" s="4" t="str">
        <f t="shared" si="15"/>
        <v>323</v>
      </c>
      <c r="C199" s="5" t="str">
        <f t="shared" si="16"/>
        <v>323</v>
      </c>
      <c r="D199" s="3" t="s">
        <v>565</v>
      </c>
      <c r="E199" s="3" t="str">
        <f t="shared" si="12"/>
        <v>TOK_HAVING</v>
      </c>
      <c r="F199" s="3" t="str">
        <f t="shared" si="13"/>
        <v>"HAVING"</v>
      </c>
      <c r="G199" s="3" t="str">
        <f t="shared" si="14"/>
        <v>false</v>
      </c>
    </row>
    <row r="200" spans="1:7" x14ac:dyDescent="0.25">
      <c r="A200" s="3" t="s">
        <v>955</v>
      </c>
      <c r="B200" s="4" t="e">
        <f t="shared" si="15"/>
        <v>#VALUE!</v>
      </c>
      <c r="C200" s="5">
        <v>686</v>
      </c>
      <c r="D200" s="3" t="s">
        <v>566</v>
      </c>
      <c r="E200" s="3" t="str">
        <f t="shared" si="12"/>
        <v>TOK_HEX_DECODE</v>
      </c>
      <c r="F200" s="3" t="str">
        <f t="shared" si="13"/>
        <v>"HEX_DECODE"</v>
      </c>
      <c r="G200" s="3" t="str">
        <f t="shared" si="14"/>
        <v>true</v>
      </c>
    </row>
    <row r="201" spans="1:7" x14ac:dyDescent="0.25">
      <c r="A201" s="3" t="s">
        <v>956</v>
      </c>
      <c r="B201" s="4" t="e">
        <f t="shared" si="15"/>
        <v>#VALUE!</v>
      </c>
      <c r="C201" s="5">
        <v>687</v>
      </c>
      <c r="D201" s="3" t="s">
        <v>567</v>
      </c>
      <c r="E201" s="3" t="str">
        <f t="shared" ref="E201:E264" si="17">TRIM(MID(D201, 1, SEARCH(",",D201) - 1))</f>
        <v>TOK_HEX_ENCODE</v>
      </c>
      <c r="F201" s="3" t="str">
        <f t="shared" si="13"/>
        <v>"HEX_ENCODE"</v>
      </c>
      <c r="G201" s="3" t="str">
        <f t="shared" si="14"/>
        <v>true</v>
      </c>
    </row>
    <row r="202" spans="1:7" x14ac:dyDescent="0.25">
      <c r="A202" s="3" t="s">
        <v>147</v>
      </c>
      <c r="B202" s="4" t="str">
        <f t="shared" si="15"/>
        <v>457</v>
      </c>
      <c r="C202" s="5" t="str">
        <f t="shared" si="16"/>
        <v>457</v>
      </c>
      <c r="D202" s="3" t="s">
        <v>568</v>
      </c>
      <c r="E202" s="3" t="str">
        <f t="shared" si="17"/>
        <v>TOK_HOUR</v>
      </c>
      <c r="F202" s="3" t="str">
        <f t="shared" ref="F202:F268" si="18">TRIM(MID(D202, SEARCH(",",D202) + 1, SEARCH(",",D202,SEARCH(",",D202)+1) - SEARCH(",",D202) - 1))</f>
        <v>"HOUR"</v>
      </c>
      <c r="G202" s="3" t="str">
        <f t="shared" ref="G202:G268" si="19">TRIM(MID(D202, FIND("#",SUBSTITUTE(D202,",","#",2))+1,99))</f>
        <v>false</v>
      </c>
    </row>
    <row r="203" spans="1:7" x14ac:dyDescent="0.25">
      <c r="A203" s="3" t="s">
        <v>148</v>
      </c>
      <c r="B203" s="4" t="str">
        <f t="shared" si="15"/>
        <v>628</v>
      </c>
      <c r="C203" s="5" t="str">
        <f t="shared" si="16"/>
        <v>628</v>
      </c>
      <c r="D203" s="3" t="s">
        <v>569</v>
      </c>
      <c r="E203" s="3" t="str">
        <f t="shared" si="17"/>
        <v>TOK_IDENTITY</v>
      </c>
      <c r="F203" s="3" t="str">
        <f t="shared" si="18"/>
        <v>"IDENTITY"</v>
      </c>
      <c r="G203" s="3" t="str">
        <f t="shared" si="19"/>
        <v>true</v>
      </c>
    </row>
    <row r="204" spans="1:7" x14ac:dyDescent="0.25">
      <c r="A204" s="3" t="s">
        <v>954</v>
      </c>
      <c r="B204" s="4" t="e">
        <f t="shared" si="15"/>
        <v>#VALUE!</v>
      </c>
      <c r="C204" s="5">
        <v>688</v>
      </c>
      <c r="D204" s="3" t="s">
        <v>570</v>
      </c>
      <c r="E204" s="3" t="str">
        <f t="shared" si="17"/>
        <v>TOK_IDLE</v>
      </c>
      <c r="F204" s="3" t="str">
        <f t="shared" si="18"/>
        <v>"IDLE"</v>
      </c>
      <c r="G204" s="3" t="str">
        <f t="shared" si="19"/>
        <v>true</v>
      </c>
    </row>
    <row r="205" spans="1:7" x14ac:dyDescent="0.25">
      <c r="A205" s="3" t="s">
        <v>149</v>
      </c>
      <c r="B205" s="4" t="str">
        <f t="shared" si="15"/>
        <v>324</v>
      </c>
      <c r="C205" s="5" t="str">
        <f t="shared" si="16"/>
        <v>324</v>
      </c>
      <c r="D205" s="3" t="s">
        <v>571</v>
      </c>
      <c r="E205" s="3" t="str">
        <f t="shared" si="17"/>
        <v>TOK_IF</v>
      </c>
      <c r="F205" s="3" t="str">
        <f t="shared" si="18"/>
        <v>"IF"</v>
      </c>
      <c r="G205" s="3" t="str">
        <f t="shared" si="19"/>
        <v>true</v>
      </c>
    </row>
    <row r="206" spans="1:7" x14ac:dyDescent="0.25">
      <c r="A206" s="3" t="s">
        <v>936</v>
      </c>
      <c r="B206" s="4" t="str">
        <f t="shared" si="15"/>
        <v>520</v>
      </c>
      <c r="C206" s="5" t="str">
        <f t="shared" si="16"/>
        <v>520</v>
      </c>
      <c r="D206" s="3" t="s">
        <v>572</v>
      </c>
      <c r="E206" s="3" t="str">
        <f t="shared" si="17"/>
        <v>TOK_IGNORE</v>
      </c>
      <c r="F206" s="3" t="str">
        <f t="shared" si="18"/>
        <v>"IGNORE"</v>
      </c>
      <c r="G206" s="3" t="str">
        <f t="shared" si="19"/>
        <v>true</v>
      </c>
    </row>
    <row r="207" spans="1:7" x14ac:dyDescent="0.25">
      <c r="A207" s="3" t="s">
        <v>150</v>
      </c>
      <c r="B207" s="4" t="str">
        <f t="shared" si="15"/>
        <v>502</v>
      </c>
      <c r="C207" s="5" t="str">
        <f t="shared" si="16"/>
        <v>502</v>
      </c>
      <c r="D207" s="3" t="s">
        <v>573</v>
      </c>
      <c r="E207" s="3" t="str">
        <f t="shared" si="17"/>
        <v>TOK_IIF</v>
      </c>
      <c r="F207" s="3" t="str">
        <f t="shared" si="18"/>
        <v>"IIF"</v>
      </c>
      <c r="G207" s="3" t="str">
        <f t="shared" si="19"/>
        <v>true</v>
      </c>
    </row>
    <row r="208" spans="1:7" x14ac:dyDescent="0.25">
      <c r="A208" s="3" t="s">
        <v>937</v>
      </c>
      <c r="B208" s="4" t="str">
        <f t="shared" si="15"/>
        <v>325</v>
      </c>
      <c r="C208" s="5" t="str">
        <f t="shared" si="16"/>
        <v>325</v>
      </c>
      <c r="D208" s="3" t="s">
        <v>574</v>
      </c>
      <c r="E208" s="3" t="str">
        <f t="shared" si="17"/>
        <v>TOK_IN</v>
      </c>
      <c r="F208" s="3" t="str">
        <f t="shared" si="18"/>
        <v>"IN"</v>
      </c>
      <c r="G208" s="3" t="str">
        <f t="shared" si="19"/>
        <v>false</v>
      </c>
    </row>
    <row r="209" spans="1:7" x14ac:dyDescent="0.25">
      <c r="A209" s="3" t="s">
        <v>151</v>
      </c>
      <c r="B209" s="4" t="str">
        <f t="shared" si="15"/>
        <v>326</v>
      </c>
      <c r="C209" s="5" t="str">
        <f t="shared" si="16"/>
        <v>326</v>
      </c>
      <c r="D209" s="3" t="s">
        <v>575</v>
      </c>
      <c r="E209" s="3" t="str">
        <f t="shared" si="17"/>
        <v>TOK_INACTIVE</v>
      </c>
      <c r="F209" s="3" t="str">
        <f t="shared" si="18"/>
        <v>"INACTIVE"</v>
      </c>
      <c r="G209" s="3" t="str">
        <f t="shared" si="19"/>
        <v>true</v>
      </c>
    </row>
    <row r="210" spans="1:7" x14ac:dyDescent="0.25">
      <c r="B210" s="4">
        <f t="shared" si="15"/>
        <v>-1</v>
      </c>
      <c r="C210" s="5">
        <v>690</v>
      </c>
      <c r="D210" s="3" t="s">
        <v>576</v>
      </c>
      <c r="E210" s="3" t="str">
        <f t="shared" si="17"/>
        <v>TOK_INCLUDE</v>
      </c>
      <c r="F210" s="3" t="str">
        <f t="shared" si="18"/>
        <v>"INCLUDE"</v>
      </c>
      <c r="G210" s="3" t="str">
        <f t="shared" si="19"/>
        <v>true</v>
      </c>
    </row>
    <row r="211" spans="1:7" x14ac:dyDescent="0.25">
      <c r="B211" s="4">
        <f t="shared" si="15"/>
        <v>-1</v>
      </c>
      <c r="C211" s="5">
        <v>691</v>
      </c>
      <c r="D211" s="3" t="s">
        <v>577</v>
      </c>
      <c r="E211" s="3" t="str">
        <f t="shared" si="17"/>
        <v>TOK_INCREMENT</v>
      </c>
      <c r="F211" s="3" t="str">
        <f t="shared" si="18"/>
        <v>"INCREMENT"</v>
      </c>
      <c r="G211" s="3" t="str">
        <f t="shared" si="19"/>
        <v>true</v>
      </c>
    </row>
    <row r="212" spans="1:7" x14ac:dyDescent="0.25">
      <c r="A212" s="3" t="s">
        <v>152</v>
      </c>
      <c r="B212" s="4" t="str">
        <f t="shared" si="15"/>
        <v>329</v>
      </c>
      <c r="C212" s="5" t="str">
        <f t="shared" si="16"/>
        <v>329</v>
      </c>
      <c r="D212" s="3" t="s">
        <v>578</v>
      </c>
      <c r="E212" s="3" t="str">
        <f t="shared" si="17"/>
        <v>TOK_INDEX</v>
      </c>
      <c r="F212" s="3" t="str">
        <f t="shared" si="18"/>
        <v>"INDEX"</v>
      </c>
      <c r="G212" s="3" t="str">
        <f t="shared" si="19"/>
        <v>false</v>
      </c>
    </row>
    <row r="213" spans="1:7" x14ac:dyDescent="0.25">
      <c r="A213" s="3" t="s">
        <v>153</v>
      </c>
      <c r="B213" s="4" t="str">
        <f t="shared" si="15"/>
        <v>327</v>
      </c>
      <c r="C213" s="5" t="str">
        <f t="shared" si="16"/>
        <v>327</v>
      </c>
      <c r="D213" s="3" t="s">
        <v>579</v>
      </c>
      <c r="E213" s="3" t="str">
        <f t="shared" si="17"/>
        <v>TOK_INNER</v>
      </c>
      <c r="F213" s="3" t="str">
        <f t="shared" si="18"/>
        <v>"INNER"</v>
      </c>
      <c r="G213" s="3" t="str">
        <f t="shared" si="19"/>
        <v>false</v>
      </c>
    </row>
    <row r="214" spans="1:7" x14ac:dyDescent="0.25">
      <c r="A214" s="3" t="s">
        <v>154</v>
      </c>
      <c r="B214" s="4" t="str">
        <f t="shared" si="15"/>
        <v>328</v>
      </c>
      <c r="C214" s="5" t="str">
        <f t="shared" si="16"/>
        <v>328</v>
      </c>
      <c r="D214" s="3" t="s">
        <v>580</v>
      </c>
      <c r="E214" s="3" t="str">
        <f t="shared" si="17"/>
        <v>TOK_INPUT_TYPE</v>
      </c>
      <c r="F214" s="3" t="str">
        <f t="shared" si="18"/>
        <v>"INPUT_TYPE"</v>
      </c>
      <c r="G214" s="3" t="str">
        <f t="shared" si="19"/>
        <v>true</v>
      </c>
    </row>
    <row r="215" spans="1:7" x14ac:dyDescent="0.25">
      <c r="A215" s="3" t="s">
        <v>155</v>
      </c>
      <c r="B215" s="4" t="str">
        <f t="shared" si="15"/>
        <v>554</v>
      </c>
      <c r="C215" s="5" t="str">
        <f t="shared" si="16"/>
        <v>554</v>
      </c>
      <c r="D215" s="3" t="s">
        <v>581</v>
      </c>
      <c r="E215" s="3" t="str">
        <f t="shared" si="17"/>
        <v>TOK_INSENSITIVE</v>
      </c>
      <c r="F215" s="3" t="str">
        <f t="shared" si="18"/>
        <v>"INSENSITIVE"</v>
      </c>
      <c r="G215" s="3" t="str">
        <f t="shared" si="19"/>
        <v>false</v>
      </c>
    </row>
    <row r="216" spans="1:7" x14ac:dyDescent="0.25">
      <c r="A216" s="3" t="s">
        <v>156</v>
      </c>
      <c r="B216" s="4" t="str">
        <f t="shared" si="15"/>
        <v>330</v>
      </c>
      <c r="C216" s="5" t="str">
        <f t="shared" si="16"/>
        <v>330</v>
      </c>
      <c r="D216" s="3" t="s">
        <v>582</v>
      </c>
      <c r="E216" s="3" t="str">
        <f t="shared" si="17"/>
        <v>TOK_INSERT</v>
      </c>
      <c r="F216" s="3" t="str">
        <f t="shared" si="18"/>
        <v>"INSERT"</v>
      </c>
      <c r="G216" s="3" t="str">
        <f t="shared" si="19"/>
        <v>false</v>
      </c>
    </row>
    <row r="217" spans="1:7" x14ac:dyDescent="0.25">
      <c r="A217" s="3" t="s">
        <v>157</v>
      </c>
      <c r="B217" s="4" t="str">
        <f t="shared" si="15"/>
        <v>492</v>
      </c>
      <c r="C217" s="5" t="str">
        <f t="shared" si="16"/>
        <v>492</v>
      </c>
      <c r="D217" s="3" t="s">
        <v>583</v>
      </c>
      <c r="E217" s="3" t="str">
        <f t="shared" si="17"/>
        <v>TOK_INSERTING</v>
      </c>
      <c r="F217" s="3" t="str">
        <f t="shared" si="18"/>
        <v>"INSERTING"</v>
      </c>
      <c r="G217" s="3" t="str">
        <f t="shared" si="19"/>
        <v>false</v>
      </c>
    </row>
    <row r="218" spans="1:7" x14ac:dyDescent="0.25">
      <c r="A218" s="3" t="s">
        <v>938</v>
      </c>
      <c r="B218" s="4" t="str">
        <f t="shared" si="15"/>
        <v>342</v>
      </c>
      <c r="C218" s="5" t="str">
        <f t="shared" si="16"/>
        <v>342</v>
      </c>
      <c r="D218" s="3" t="s">
        <v>584</v>
      </c>
      <c r="E218" s="3" t="str">
        <f t="shared" si="17"/>
        <v>TOK_INT</v>
      </c>
      <c r="F218" s="3" t="str">
        <f t="shared" si="18"/>
        <v>"INT"</v>
      </c>
      <c r="G218" s="3" t="str">
        <f t="shared" si="19"/>
        <v>false</v>
      </c>
    </row>
    <row r="219" spans="1:7" x14ac:dyDescent="0.25">
      <c r="A219" s="3" t="s">
        <v>953</v>
      </c>
      <c r="B219" s="4" t="str">
        <f t="shared" si="15"/>
        <v>***</v>
      </c>
      <c r="C219" s="5">
        <v>692</v>
      </c>
      <c r="D219" s="3" t="s">
        <v>585</v>
      </c>
      <c r="E219" s="3" t="str">
        <f t="shared" si="17"/>
        <v>TOK_INT128</v>
      </c>
      <c r="F219" s="3" t="str">
        <f t="shared" si="18"/>
        <v>"INT128"</v>
      </c>
      <c r="G219" s="3" t="str">
        <f t="shared" si="19"/>
        <v>false</v>
      </c>
    </row>
    <row r="220" spans="1:7" x14ac:dyDescent="0.25">
      <c r="A220" s="3" t="s">
        <v>158</v>
      </c>
      <c r="B220" s="4" t="str">
        <f t="shared" si="15"/>
        <v>331</v>
      </c>
      <c r="C220" s="5" t="str">
        <f t="shared" si="16"/>
        <v>331</v>
      </c>
      <c r="D220" s="3" t="s">
        <v>586</v>
      </c>
      <c r="E220" s="3" t="str">
        <f t="shared" si="17"/>
        <v>TOK_INTEGER</v>
      </c>
      <c r="F220" s="3" t="str">
        <f t="shared" si="18"/>
        <v>"INTEGER"</v>
      </c>
      <c r="G220" s="3" t="str">
        <f t="shared" si="19"/>
        <v>false</v>
      </c>
    </row>
    <row r="221" spans="1:7" x14ac:dyDescent="0.25">
      <c r="A221" s="3" t="s">
        <v>159</v>
      </c>
      <c r="B221" s="4" t="str">
        <f t="shared" si="15"/>
        <v>332</v>
      </c>
      <c r="C221" s="5" t="str">
        <f t="shared" si="16"/>
        <v>332</v>
      </c>
      <c r="D221" s="3" t="s">
        <v>587</v>
      </c>
      <c r="E221" s="3" t="str">
        <f t="shared" si="17"/>
        <v>TOK_INTO</v>
      </c>
      <c r="F221" s="3" t="str">
        <f t="shared" si="18"/>
        <v>"INTO"</v>
      </c>
      <c r="G221" s="3" t="str">
        <f t="shared" si="19"/>
        <v>false</v>
      </c>
    </row>
    <row r="222" spans="1:7" x14ac:dyDescent="0.25">
      <c r="A222" s="3" t="s">
        <v>160</v>
      </c>
      <c r="B222" s="4" t="str">
        <f t="shared" si="15"/>
        <v>444</v>
      </c>
      <c r="C222" s="5" t="str">
        <f t="shared" si="16"/>
        <v>444</v>
      </c>
      <c r="D222" s="3" t="s">
        <v>923</v>
      </c>
      <c r="E222" s="3" t="str">
        <f t="shared" si="17"/>
        <v>TOK_INTRODUCER</v>
      </c>
      <c r="F222" s="3" t="str">
        <f t="shared" si="18"/>
        <v>"INTRODUCER"</v>
      </c>
      <c r="G222" s="3" t="str">
        <f t="shared" si="19"/>
        <v>true</v>
      </c>
    </row>
    <row r="223" spans="1:7" x14ac:dyDescent="0.25">
      <c r="A223" s="3" t="s">
        <v>952</v>
      </c>
      <c r="B223" s="4" t="str">
        <f t="shared" si="15"/>
        <v>***</v>
      </c>
      <c r="C223" s="5">
        <v>693</v>
      </c>
      <c r="D223" s="3" t="s">
        <v>588</v>
      </c>
      <c r="E223" s="3" t="str">
        <f t="shared" si="17"/>
        <v>TOK_INVOKER</v>
      </c>
      <c r="F223" s="3" t="str">
        <f t="shared" si="18"/>
        <v>"INVOKER"</v>
      </c>
      <c r="G223" s="3" t="str">
        <f t="shared" si="19"/>
        <v>true</v>
      </c>
    </row>
    <row r="224" spans="1:7" x14ac:dyDescent="0.25">
      <c r="A224" s="3" t="s">
        <v>161</v>
      </c>
      <c r="B224" s="4" t="str">
        <f t="shared" si="15"/>
        <v>333</v>
      </c>
      <c r="C224" s="5" t="str">
        <f t="shared" si="16"/>
        <v>333</v>
      </c>
      <c r="D224" s="3" t="s">
        <v>589</v>
      </c>
      <c r="E224" s="3" t="str">
        <f t="shared" si="17"/>
        <v>TOK_IS</v>
      </c>
      <c r="F224" s="3" t="str">
        <f t="shared" si="18"/>
        <v>"IS"</v>
      </c>
      <c r="G224" s="3" t="str">
        <f t="shared" si="19"/>
        <v>false</v>
      </c>
    </row>
    <row r="225" spans="1:7" x14ac:dyDescent="0.25">
      <c r="A225" s="3" t="s">
        <v>162</v>
      </c>
      <c r="B225" s="4" t="str">
        <f t="shared" ref="B225:B288" si="20">IF(A225 = "", -1,TRIM(MID(A225, SEARCH(" ",A225) + 1, 99)))</f>
        <v>334</v>
      </c>
      <c r="C225" s="5" t="str">
        <f t="shared" si="16"/>
        <v>334</v>
      </c>
      <c r="D225" s="3" t="s">
        <v>590</v>
      </c>
      <c r="E225" s="3" t="str">
        <f t="shared" si="17"/>
        <v>TOK_ISOLATION</v>
      </c>
      <c r="F225" s="3" t="str">
        <f t="shared" si="18"/>
        <v>"ISOLATION"</v>
      </c>
      <c r="G225" s="3" t="str">
        <f t="shared" si="19"/>
        <v>true</v>
      </c>
    </row>
    <row r="226" spans="1:7" x14ac:dyDescent="0.25">
      <c r="A226" s="3" t="s">
        <v>951</v>
      </c>
      <c r="B226" s="4" t="str">
        <f t="shared" si="20"/>
        <v>***</v>
      </c>
      <c r="C226" s="5">
        <v>694</v>
      </c>
      <c r="D226" s="3" t="s">
        <v>591</v>
      </c>
      <c r="E226" s="3" t="str">
        <f t="shared" si="17"/>
        <v>TOK_IV</v>
      </c>
      <c r="F226" s="3" t="str">
        <f t="shared" si="18"/>
        <v>"IV"</v>
      </c>
      <c r="G226" s="3" t="str">
        <f t="shared" si="19"/>
        <v>true</v>
      </c>
    </row>
    <row r="227" spans="1:7" x14ac:dyDescent="0.25">
      <c r="A227" s="3" t="s">
        <v>163</v>
      </c>
      <c r="B227" s="4" t="str">
        <f t="shared" si="20"/>
        <v>335</v>
      </c>
      <c r="C227" s="5" t="str">
        <f t="shared" si="16"/>
        <v>335</v>
      </c>
      <c r="D227" s="3" t="s">
        <v>592</v>
      </c>
      <c r="E227" s="3" t="str">
        <f t="shared" si="17"/>
        <v>TOK_JOIN</v>
      </c>
      <c r="F227" s="3" t="str">
        <f t="shared" si="18"/>
        <v>"JOIN"</v>
      </c>
      <c r="G227" s="3" t="str">
        <f t="shared" si="19"/>
        <v>false</v>
      </c>
    </row>
    <row r="228" spans="1:7" x14ac:dyDescent="0.25">
      <c r="A228" s="3" t="s">
        <v>164</v>
      </c>
      <c r="B228" s="4" t="str">
        <f t="shared" si="20"/>
        <v>336</v>
      </c>
      <c r="C228" s="5" t="str">
        <f t="shared" si="16"/>
        <v>336</v>
      </c>
      <c r="D228" s="3" t="s">
        <v>593</v>
      </c>
      <c r="E228" s="3" t="str">
        <f t="shared" si="17"/>
        <v>TOK_KEY</v>
      </c>
      <c r="F228" s="3" t="str">
        <f t="shared" si="18"/>
        <v>"KEY"</v>
      </c>
      <c r="G228" s="3" t="str">
        <f t="shared" si="19"/>
        <v>true</v>
      </c>
    </row>
    <row r="229" spans="1:7" x14ac:dyDescent="0.25">
      <c r="A229" s="3" t="s">
        <v>165</v>
      </c>
      <c r="B229" s="4" t="str">
        <f t="shared" si="20"/>
        <v>633</v>
      </c>
      <c r="C229" s="5" t="str">
        <f t="shared" si="16"/>
        <v>633</v>
      </c>
      <c r="D229" s="3" t="s">
        <v>594</v>
      </c>
      <c r="E229" s="3" t="str">
        <f t="shared" si="17"/>
        <v>TOK_LAG</v>
      </c>
      <c r="F229" s="3" t="str">
        <f t="shared" si="18"/>
        <v>"LAG"</v>
      </c>
      <c r="G229" s="3" t="str">
        <f t="shared" si="19"/>
        <v>true</v>
      </c>
    </row>
    <row r="230" spans="1:7" x14ac:dyDescent="0.25">
      <c r="A230" s="3" t="s">
        <v>166</v>
      </c>
      <c r="B230" s="4" t="str">
        <f t="shared" si="20"/>
        <v>485</v>
      </c>
      <c r="C230" s="5" t="str">
        <f t="shared" si="16"/>
        <v>485</v>
      </c>
      <c r="D230" s="3" t="s">
        <v>595</v>
      </c>
      <c r="E230" s="3" t="str">
        <f t="shared" si="17"/>
        <v>TOK_LAST</v>
      </c>
      <c r="F230" s="3" t="str">
        <f t="shared" si="18"/>
        <v>"LAST"</v>
      </c>
      <c r="G230" s="3" t="str">
        <f t="shared" si="19"/>
        <v>true</v>
      </c>
    </row>
    <row r="231" spans="1:7" x14ac:dyDescent="0.25">
      <c r="B231" s="4">
        <f t="shared" si="20"/>
        <v>-1</v>
      </c>
      <c r="C231" s="5">
        <v>695</v>
      </c>
      <c r="D231" s="3" t="s">
        <v>596</v>
      </c>
      <c r="E231" s="3" t="str">
        <f t="shared" si="17"/>
        <v>TOK_LAST_DAY</v>
      </c>
      <c r="F231" s="3" t="str">
        <f t="shared" si="18"/>
        <v>"LAST_DAY"</v>
      </c>
      <c r="G231" s="3" t="str">
        <f t="shared" si="19"/>
        <v>true</v>
      </c>
    </row>
    <row r="232" spans="1:7" x14ac:dyDescent="0.25">
      <c r="A232" s="3" t="s">
        <v>167</v>
      </c>
      <c r="B232" s="4" t="str">
        <f t="shared" si="20"/>
        <v>632</v>
      </c>
      <c r="C232" s="5" t="str">
        <f t="shared" si="16"/>
        <v>632</v>
      </c>
      <c r="D232" s="3" t="s">
        <v>597</v>
      </c>
      <c r="E232" s="3" t="str">
        <f t="shared" si="17"/>
        <v>TOK_LAST_VALUE</v>
      </c>
      <c r="F232" s="3" t="str">
        <f t="shared" si="18"/>
        <v>"LAST_VALUE"</v>
      </c>
      <c r="G232" s="3" t="str">
        <f t="shared" si="19"/>
        <v>true</v>
      </c>
    </row>
    <row r="233" spans="1:7" x14ac:dyDescent="0.25">
      <c r="A233" s="3" t="s">
        <v>168</v>
      </c>
      <c r="B233" s="4" t="str">
        <f t="shared" si="20"/>
        <v>594</v>
      </c>
      <c r="C233" s="5" t="str">
        <f t="shared" si="16"/>
        <v>594</v>
      </c>
      <c r="D233" s="3" t="s">
        <v>598</v>
      </c>
      <c r="E233" s="3" t="str">
        <f t="shared" si="17"/>
        <v>TOK_LASTNAME</v>
      </c>
      <c r="F233" s="3" t="str">
        <f t="shared" si="18"/>
        <v>"LASTNAME"</v>
      </c>
      <c r="G233" s="3" t="str">
        <f t="shared" si="19"/>
        <v>true</v>
      </c>
    </row>
    <row r="234" spans="1:7" x14ac:dyDescent="0.25">
      <c r="B234" s="4">
        <f t="shared" si="20"/>
        <v>-1</v>
      </c>
      <c r="C234" s="5">
        <v>696</v>
      </c>
      <c r="D234" s="3" t="s">
        <v>599</v>
      </c>
      <c r="E234" s="3" t="str">
        <f t="shared" si="17"/>
        <v>TOK_LATERAL</v>
      </c>
      <c r="F234" s="3" t="str">
        <f t="shared" si="18"/>
        <v>"LATERAL"</v>
      </c>
      <c r="G234" s="3" t="str">
        <f t="shared" si="19"/>
        <v>false</v>
      </c>
    </row>
    <row r="235" spans="1:7" x14ac:dyDescent="0.25">
      <c r="A235" s="3" t="s">
        <v>169</v>
      </c>
      <c r="B235" s="4" t="str">
        <f t="shared" si="20"/>
        <v>634</v>
      </c>
      <c r="C235" s="5" t="str">
        <f t="shared" si="16"/>
        <v>634</v>
      </c>
      <c r="D235" s="3" t="s">
        <v>600</v>
      </c>
      <c r="E235" s="3" t="str">
        <f t="shared" si="17"/>
        <v>TOK_LEAD</v>
      </c>
      <c r="F235" s="3" t="str">
        <f t="shared" si="18"/>
        <v>"LEAD"</v>
      </c>
      <c r="G235" s="3" t="str">
        <f t="shared" si="19"/>
        <v>true</v>
      </c>
    </row>
    <row r="236" spans="1:7" x14ac:dyDescent="0.25">
      <c r="A236" s="3" t="s">
        <v>170</v>
      </c>
      <c r="B236" s="4" t="str">
        <f t="shared" si="20"/>
        <v>514</v>
      </c>
      <c r="C236" s="5" t="str">
        <f t="shared" si="16"/>
        <v>514</v>
      </c>
      <c r="D236" s="3" t="s">
        <v>601</v>
      </c>
      <c r="E236" s="3" t="str">
        <f t="shared" si="17"/>
        <v>TOK_LEADING</v>
      </c>
      <c r="F236" s="3" t="str">
        <f t="shared" si="18"/>
        <v>"LEADING"</v>
      </c>
      <c r="G236" s="3" t="str">
        <f t="shared" si="19"/>
        <v>false</v>
      </c>
    </row>
    <row r="237" spans="1:7" x14ac:dyDescent="0.25">
      <c r="A237" s="3" t="s">
        <v>171</v>
      </c>
      <c r="B237" s="4" t="str">
        <f t="shared" si="20"/>
        <v>491</v>
      </c>
      <c r="C237" s="5" t="str">
        <f t="shared" si="16"/>
        <v>491</v>
      </c>
      <c r="D237" s="3" t="s">
        <v>602</v>
      </c>
      <c r="E237" s="3" t="str">
        <f t="shared" si="17"/>
        <v>TOK_LEAVE</v>
      </c>
      <c r="F237" s="3" t="str">
        <f t="shared" si="18"/>
        <v>"LEAVE"</v>
      </c>
      <c r="G237" s="3" t="str">
        <f t="shared" si="19"/>
        <v>true</v>
      </c>
    </row>
    <row r="238" spans="1:7" x14ac:dyDescent="0.25">
      <c r="A238" s="3" t="s">
        <v>172</v>
      </c>
      <c r="B238" s="4" t="str">
        <f t="shared" si="20"/>
        <v>349</v>
      </c>
      <c r="C238" s="5" t="str">
        <f t="shared" si="16"/>
        <v>349</v>
      </c>
      <c r="D238" s="3" t="s">
        <v>603</v>
      </c>
      <c r="E238" s="3" t="str">
        <f t="shared" si="17"/>
        <v>TOK_LEFT</v>
      </c>
      <c r="F238" s="3" t="str">
        <f t="shared" si="18"/>
        <v>"LEFT"</v>
      </c>
      <c r="G238" s="3" t="str">
        <f t="shared" si="19"/>
        <v>false</v>
      </c>
    </row>
    <row r="239" spans="1:7" x14ac:dyDescent="0.25">
      <c r="B239" s="4">
        <f t="shared" si="20"/>
        <v>-1</v>
      </c>
      <c r="C239" s="5">
        <v>697</v>
      </c>
      <c r="D239" s="3" t="s">
        <v>604</v>
      </c>
      <c r="E239" s="3" t="str">
        <f t="shared" si="17"/>
        <v>TOK_LEGACY</v>
      </c>
      <c r="F239" s="3" t="str">
        <f t="shared" si="18"/>
        <v>"LEGACY"</v>
      </c>
      <c r="G239" s="3" t="str">
        <f t="shared" si="19"/>
        <v>true</v>
      </c>
    </row>
    <row r="240" spans="1:7" x14ac:dyDescent="0.25">
      <c r="A240" s="3" t="s">
        <v>173</v>
      </c>
      <c r="B240" s="4" t="str">
        <f t="shared" si="20"/>
        <v>348</v>
      </c>
      <c r="C240" s="5" t="str">
        <f t="shared" si="16"/>
        <v>348</v>
      </c>
      <c r="D240" s="3" t="s">
        <v>605</v>
      </c>
      <c r="E240" s="3" t="str">
        <f t="shared" si="17"/>
        <v>TOK_LENGTH</v>
      </c>
      <c r="F240" s="3" t="str">
        <f t="shared" si="18"/>
        <v>"LENGTH"</v>
      </c>
      <c r="G240" s="3" t="str">
        <f t="shared" si="19"/>
        <v>true</v>
      </c>
    </row>
    <row r="241" spans="1:7" x14ac:dyDescent="0.25">
      <c r="A241" s="3" t="s">
        <v>174</v>
      </c>
      <c r="B241" s="4" t="str">
        <f t="shared" si="20"/>
        <v>350</v>
      </c>
      <c r="C241" s="5" t="str">
        <f t="shared" si="16"/>
        <v>350</v>
      </c>
      <c r="D241" s="3" t="s">
        <v>606</v>
      </c>
      <c r="E241" s="3" t="str">
        <f t="shared" si="17"/>
        <v>TOK_LEQ</v>
      </c>
      <c r="F241" s="3" t="str">
        <f t="shared" si="18"/>
        <v>"&lt;="</v>
      </c>
      <c r="G241" s="3" t="str">
        <f t="shared" si="19"/>
        <v>false</v>
      </c>
    </row>
    <row r="242" spans="1:7" x14ac:dyDescent="0.25">
      <c r="A242" s="3" t="s">
        <v>175</v>
      </c>
      <c r="B242" s="4" t="str">
        <f t="shared" si="20"/>
        <v>351</v>
      </c>
      <c r="C242" s="5" t="str">
        <f t="shared" si="16"/>
        <v>351</v>
      </c>
      <c r="D242" s="3" t="s">
        <v>607</v>
      </c>
      <c r="E242" s="3" t="str">
        <f t="shared" si="17"/>
        <v>TOK_LEVEL</v>
      </c>
      <c r="F242" s="3" t="str">
        <f t="shared" si="18"/>
        <v>"LEVEL"</v>
      </c>
      <c r="G242" s="3" t="str">
        <f t="shared" si="19"/>
        <v>true</v>
      </c>
    </row>
    <row r="243" spans="1:7" x14ac:dyDescent="0.25">
      <c r="B243" s="4">
        <f t="shared" si="20"/>
        <v>-1</v>
      </c>
      <c r="C243" s="5">
        <v>698</v>
      </c>
      <c r="D243" s="3" t="s">
        <v>608</v>
      </c>
      <c r="E243" s="3" t="str">
        <f t="shared" si="17"/>
        <v>TOK_LIFETIME</v>
      </c>
      <c r="F243" s="3" t="str">
        <f t="shared" si="18"/>
        <v>"LIFETIME"</v>
      </c>
      <c r="G243" s="3" t="str">
        <f t="shared" si="19"/>
        <v>true</v>
      </c>
    </row>
    <row r="244" spans="1:7" x14ac:dyDescent="0.25">
      <c r="A244" s="3" t="s">
        <v>176</v>
      </c>
      <c r="B244" s="4" t="str">
        <f t="shared" si="20"/>
        <v>352</v>
      </c>
      <c r="C244" s="5" t="str">
        <f t="shared" si="16"/>
        <v>352</v>
      </c>
      <c r="D244" s="3" t="s">
        <v>609</v>
      </c>
      <c r="E244" s="3" t="str">
        <f t="shared" si="17"/>
        <v>TOK_LIKE</v>
      </c>
      <c r="F244" s="3" t="str">
        <f t="shared" si="18"/>
        <v>"LIKE"</v>
      </c>
      <c r="G244" s="3" t="str">
        <f t="shared" si="19"/>
        <v>false</v>
      </c>
    </row>
    <row r="245" spans="1:7" x14ac:dyDescent="0.25">
      <c r="A245" s="3" t="s">
        <v>177</v>
      </c>
      <c r="B245" s="4" t="str">
        <f t="shared" si="20"/>
        <v>521</v>
      </c>
      <c r="C245" s="5" t="str">
        <f t="shared" si="16"/>
        <v>521</v>
      </c>
      <c r="D245" s="3" t="s">
        <v>610</v>
      </c>
      <c r="E245" s="3" t="str">
        <f t="shared" si="17"/>
        <v>TOK_LIMBO</v>
      </c>
      <c r="F245" s="3" t="str">
        <f t="shared" si="18"/>
        <v>"LIMBO"</v>
      </c>
      <c r="G245" s="3" t="str">
        <f t="shared" si="19"/>
        <v>true</v>
      </c>
    </row>
    <row r="246" spans="1:7" x14ac:dyDescent="0.25">
      <c r="A246" s="3" t="s">
        <v>178</v>
      </c>
      <c r="B246" s="4" t="str">
        <f t="shared" si="20"/>
        <v>650</v>
      </c>
      <c r="C246" s="5" t="str">
        <f t="shared" si="16"/>
        <v>650</v>
      </c>
      <c r="D246" s="3" t="s">
        <v>961</v>
      </c>
      <c r="E246" s="3" t="str">
        <f t="shared" si="17"/>
        <v>TOK_LIMIT64_INT</v>
      </c>
      <c r="F246" s="3" t="str">
        <f t="shared" si="18"/>
        <v>"TOK_LIMIT64_INT"</v>
      </c>
      <c r="G246" s="3" t="str">
        <f t="shared" si="19"/>
        <v>true</v>
      </c>
    </row>
    <row r="247" spans="1:7" x14ac:dyDescent="0.25">
      <c r="A247" s="3" t="s">
        <v>179</v>
      </c>
      <c r="B247" s="4" t="str">
        <f t="shared" si="20"/>
        <v>649</v>
      </c>
      <c r="C247" s="5" t="str">
        <f t="shared" si="16"/>
        <v>649</v>
      </c>
      <c r="D247" s="3" t="s">
        <v>962</v>
      </c>
      <c r="E247" s="3" t="str">
        <f t="shared" si="17"/>
        <v>TOK_LIMIT64_NUMBER</v>
      </c>
      <c r="F247" s="3" t="str">
        <f t="shared" si="18"/>
        <v>"TOK_LIMIT64_NUMBER"</v>
      </c>
      <c r="G247" s="3" t="str">
        <f t="shared" si="19"/>
        <v>true</v>
      </c>
    </row>
    <row r="248" spans="1:7" x14ac:dyDescent="0.25">
      <c r="A248" s="3" t="s">
        <v>180</v>
      </c>
      <c r="B248" s="4" t="str">
        <f t="shared" si="20"/>
        <v>644</v>
      </c>
      <c r="C248" s="5" t="str">
        <f t="shared" si="16"/>
        <v>644</v>
      </c>
      <c r="D248" s="3" t="s">
        <v>611</v>
      </c>
      <c r="E248" s="3" t="str">
        <f t="shared" si="17"/>
        <v>TOK_LINGER</v>
      </c>
      <c r="F248" s="3" t="str">
        <f t="shared" si="18"/>
        <v>"LINGER"</v>
      </c>
      <c r="G248" s="3" t="str">
        <f t="shared" si="19"/>
        <v>true</v>
      </c>
    </row>
    <row r="249" spans="1:7" x14ac:dyDescent="0.25">
      <c r="A249" s="3" t="s">
        <v>181</v>
      </c>
      <c r="B249" s="4" t="str">
        <f t="shared" si="20"/>
        <v>555</v>
      </c>
      <c r="C249" s="5" t="str">
        <f t="shared" si="16"/>
        <v>555</v>
      </c>
      <c r="D249" s="3" t="s">
        <v>612</v>
      </c>
      <c r="E249" s="3" t="str">
        <f t="shared" si="17"/>
        <v>TOK_LIST</v>
      </c>
      <c r="F249" s="3" t="str">
        <f t="shared" si="18"/>
        <v>"LIST"</v>
      </c>
      <c r="G249" s="3" t="str">
        <f t="shared" si="19"/>
        <v>true</v>
      </c>
    </row>
    <row r="250" spans="1:7" x14ac:dyDescent="0.25">
      <c r="A250" s="3" t="s">
        <v>182</v>
      </c>
      <c r="B250" s="4" t="str">
        <f t="shared" si="20"/>
        <v>556</v>
      </c>
      <c r="C250" s="5" t="str">
        <f t="shared" si="16"/>
        <v>556</v>
      </c>
      <c r="D250" s="3" t="s">
        <v>613</v>
      </c>
      <c r="E250" s="3" t="str">
        <f t="shared" si="17"/>
        <v>TOK_LN</v>
      </c>
      <c r="F250" s="3" t="str">
        <f t="shared" si="18"/>
        <v>"LN"</v>
      </c>
      <c r="G250" s="3" t="str">
        <f t="shared" si="19"/>
        <v>true</v>
      </c>
    </row>
    <row r="251" spans="1:7" x14ac:dyDescent="0.25">
      <c r="B251" s="4">
        <f t="shared" si="20"/>
        <v>-1</v>
      </c>
      <c r="C251" s="5">
        <v>699</v>
      </c>
      <c r="D251" s="3" t="s">
        <v>614</v>
      </c>
      <c r="E251" s="3" t="str">
        <f t="shared" si="17"/>
        <v>TOK_LOCAL</v>
      </c>
      <c r="F251" s="3" t="str">
        <f t="shared" si="18"/>
        <v>"LOCAL"</v>
      </c>
      <c r="G251" s="3" t="str">
        <f t="shared" si="19"/>
        <v>false</v>
      </c>
    </row>
    <row r="252" spans="1:7" x14ac:dyDescent="0.25">
      <c r="B252" s="4">
        <f t="shared" si="20"/>
        <v>-1</v>
      </c>
      <c r="C252" s="5">
        <v>700</v>
      </c>
      <c r="D252" s="3" t="s">
        <v>615</v>
      </c>
      <c r="E252" s="3" t="str">
        <f t="shared" si="17"/>
        <v>TOK_LOCALTIME</v>
      </c>
      <c r="F252" s="3" t="str">
        <f t="shared" si="18"/>
        <v>"LOCALTIME"</v>
      </c>
      <c r="G252" s="3" t="str">
        <f t="shared" si="19"/>
        <v>false</v>
      </c>
    </row>
    <row r="253" spans="1:7" x14ac:dyDescent="0.25">
      <c r="B253" s="4">
        <f t="shared" si="20"/>
        <v>-1</v>
      </c>
      <c r="C253" s="5">
        <v>701</v>
      </c>
      <c r="D253" s="3" t="s">
        <v>616</v>
      </c>
      <c r="E253" s="3" t="str">
        <f t="shared" si="17"/>
        <v>TOK_LOCALTIMESTAMP</v>
      </c>
      <c r="F253" s="3" t="str">
        <f t="shared" si="18"/>
        <v>"LOCALTIMESTAMP"</v>
      </c>
      <c r="G253" s="3" t="str">
        <f t="shared" si="19"/>
        <v>false</v>
      </c>
    </row>
    <row r="254" spans="1:7" x14ac:dyDescent="0.25">
      <c r="A254" s="3" t="s">
        <v>183</v>
      </c>
      <c r="B254" s="4" t="str">
        <f t="shared" si="20"/>
        <v>487</v>
      </c>
      <c r="C254" s="5" t="str">
        <f t="shared" si="16"/>
        <v>487</v>
      </c>
      <c r="D254" s="3" t="s">
        <v>617</v>
      </c>
      <c r="E254" s="3" t="str">
        <f t="shared" si="17"/>
        <v>TOK_LOCK</v>
      </c>
      <c r="F254" s="3" t="str">
        <f t="shared" si="18"/>
        <v>"LOCK"</v>
      </c>
      <c r="G254" s="3" t="str">
        <f t="shared" si="19"/>
        <v>true</v>
      </c>
    </row>
    <row r="255" spans="1:7" x14ac:dyDescent="0.25">
      <c r="B255" s="4">
        <f t="shared" si="20"/>
        <v>-1</v>
      </c>
      <c r="C255" s="5">
        <v>702</v>
      </c>
      <c r="D255" s="3" t="s">
        <v>618</v>
      </c>
      <c r="E255" s="3" t="str">
        <f t="shared" si="17"/>
        <v>TOK_LOCKED</v>
      </c>
      <c r="F255" s="3" t="str">
        <f t="shared" si="18"/>
        <v>"LOCKED"</v>
      </c>
      <c r="G255" s="3" t="str">
        <f t="shared" si="19"/>
        <v>true</v>
      </c>
    </row>
    <row r="256" spans="1:7" x14ac:dyDescent="0.25">
      <c r="A256" s="3" t="s">
        <v>184</v>
      </c>
      <c r="B256" s="4" t="str">
        <f t="shared" si="20"/>
        <v>557</v>
      </c>
      <c r="C256" s="5" t="str">
        <f t="shared" si="16"/>
        <v>557</v>
      </c>
      <c r="D256" s="3" t="s">
        <v>619</v>
      </c>
      <c r="E256" s="3" t="str">
        <f t="shared" si="17"/>
        <v>TOK_LOG</v>
      </c>
      <c r="F256" s="3" t="str">
        <f t="shared" si="18"/>
        <v>"LOG"</v>
      </c>
      <c r="G256" s="3" t="str">
        <f t="shared" si="19"/>
        <v>true</v>
      </c>
    </row>
    <row r="257" spans="1:7" x14ac:dyDescent="0.25">
      <c r="A257" s="3" t="s">
        <v>185</v>
      </c>
      <c r="B257" s="4" t="str">
        <f t="shared" si="20"/>
        <v>558</v>
      </c>
      <c r="C257" s="5" t="str">
        <f t="shared" si="16"/>
        <v>558</v>
      </c>
      <c r="D257" s="3" t="s">
        <v>620</v>
      </c>
      <c r="E257" s="3" t="str">
        <f t="shared" si="17"/>
        <v>TOK_LOG10</v>
      </c>
      <c r="F257" s="3" t="str">
        <f t="shared" si="18"/>
        <v>"LOG10"</v>
      </c>
      <c r="G257" s="3" t="str">
        <f t="shared" si="19"/>
        <v>true</v>
      </c>
    </row>
    <row r="258" spans="1:7" x14ac:dyDescent="0.25">
      <c r="A258" s="3" t="s">
        <v>939</v>
      </c>
      <c r="B258" s="4" t="str">
        <f t="shared" si="20"/>
        <v>343</v>
      </c>
      <c r="C258" s="5" t="str">
        <f t="shared" si="16"/>
        <v>343</v>
      </c>
      <c r="D258" s="3" t="s">
        <v>621</v>
      </c>
      <c r="E258" s="3" t="str">
        <f t="shared" si="17"/>
        <v>TOK_LONG</v>
      </c>
      <c r="F258" s="3" t="str">
        <f t="shared" si="18"/>
        <v>"LONG"</v>
      </c>
      <c r="G258" s="3" t="str">
        <f t="shared" si="19"/>
        <v>false</v>
      </c>
    </row>
    <row r="259" spans="1:7" x14ac:dyDescent="0.25">
      <c r="A259" s="3" t="s">
        <v>940</v>
      </c>
      <c r="B259" s="4" t="str">
        <f t="shared" si="20"/>
        <v>515</v>
      </c>
      <c r="C259" s="5" t="str">
        <f t="shared" ref="C259:C322" si="21">IF(B259 = "***", -1, B259)</f>
        <v>515</v>
      </c>
      <c r="D259" s="3" t="s">
        <v>622</v>
      </c>
      <c r="E259" s="3" t="str">
        <f t="shared" si="17"/>
        <v>TOK_LOWER</v>
      </c>
      <c r="F259" s="3" t="str">
        <f t="shared" si="18"/>
        <v>"LOWER"</v>
      </c>
      <c r="G259" s="3" t="str">
        <f t="shared" si="19"/>
        <v>false</v>
      </c>
    </row>
    <row r="260" spans="1:7" x14ac:dyDescent="0.25">
      <c r="A260" s="3" t="s">
        <v>186</v>
      </c>
      <c r="B260" s="4" t="str">
        <f t="shared" si="20"/>
        <v>559</v>
      </c>
      <c r="C260" s="5" t="str">
        <f t="shared" si="21"/>
        <v>559</v>
      </c>
      <c r="D260" s="3" t="s">
        <v>623</v>
      </c>
      <c r="E260" s="3" t="str">
        <f t="shared" si="17"/>
        <v>TOK_LPAD</v>
      </c>
      <c r="F260" s="3" t="str">
        <f t="shared" si="18"/>
        <v>"LPAD"</v>
      </c>
      <c r="G260" s="3" t="str">
        <f t="shared" si="19"/>
        <v>true</v>
      </c>
    </row>
    <row r="261" spans="1:7" x14ac:dyDescent="0.25">
      <c r="B261" s="4">
        <f t="shared" si="20"/>
        <v>-1</v>
      </c>
      <c r="C261" s="5">
        <v>703</v>
      </c>
      <c r="D261" s="3" t="s">
        <v>624</v>
      </c>
      <c r="E261" s="3" t="str">
        <f t="shared" si="17"/>
        <v>TOK_LPARAM</v>
      </c>
      <c r="F261" s="3" t="str">
        <f t="shared" si="18"/>
        <v>"LPARAM"</v>
      </c>
      <c r="G261" s="3" t="str">
        <f t="shared" si="19"/>
        <v>true</v>
      </c>
    </row>
    <row r="262" spans="1:7" x14ac:dyDescent="0.25">
      <c r="B262" s="4">
        <f t="shared" si="20"/>
        <v>-1</v>
      </c>
      <c r="C262" s="5">
        <v>704</v>
      </c>
      <c r="D262" s="3" t="s">
        <v>625</v>
      </c>
      <c r="E262" s="3" t="str">
        <f t="shared" si="17"/>
        <v>TOK_MAKE_DBKEY</v>
      </c>
      <c r="F262" s="3" t="str">
        <f t="shared" si="18"/>
        <v>"MAKE_DBKEY"</v>
      </c>
      <c r="G262" s="3" t="str">
        <f t="shared" si="19"/>
        <v>true</v>
      </c>
    </row>
    <row r="263" spans="1:7" x14ac:dyDescent="0.25">
      <c r="A263" s="3" t="s">
        <v>187</v>
      </c>
      <c r="B263" s="4" t="str">
        <f t="shared" si="20"/>
        <v>353</v>
      </c>
      <c r="C263" s="5" t="str">
        <f t="shared" si="21"/>
        <v>353</v>
      </c>
      <c r="D263" s="3" t="s">
        <v>626</v>
      </c>
      <c r="E263" s="3" t="str">
        <f t="shared" si="17"/>
        <v>TOK_MANUAL</v>
      </c>
      <c r="F263" s="3" t="str">
        <f t="shared" si="18"/>
        <v>"MANUAL"</v>
      </c>
      <c r="G263" s="3" t="str">
        <f t="shared" si="19"/>
        <v>true</v>
      </c>
    </row>
    <row r="264" spans="1:7" x14ac:dyDescent="0.25">
      <c r="A264" s="3" t="s">
        <v>188</v>
      </c>
      <c r="B264" s="4" t="str">
        <f t="shared" si="20"/>
        <v>596</v>
      </c>
      <c r="C264" s="5" t="str">
        <f t="shared" si="21"/>
        <v>596</v>
      </c>
      <c r="D264" s="3" t="s">
        <v>627</v>
      </c>
      <c r="E264" s="3" t="str">
        <f t="shared" si="17"/>
        <v>TOK_MAPPING</v>
      </c>
      <c r="F264" s="3" t="str">
        <f t="shared" si="18"/>
        <v>"MAPPING"</v>
      </c>
      <c r="G264" s="3" t="str">
        <f t="shared" si="19"/>
        <v>true</v>
      </c>
    </row>
    <row r="265" spans="1:7" x14ac:dyDescent="0.25">
      <c r="A265" s="3" t="s">
        <v>189</v>
      </c>
      <c r="B265" s="4" t="str">
        <f t="shared" si="20"/>
        <v>560</v>
      </c>
      <c r="C265" s="5" t="str">
        <f t="shared" si="21"/>
        <v>560</v>
      </c>
      <c r="D265" s="3" t="s">
        <v>628</v>
      </c>
      <c r="E265" s="3" t="str">
        <f t="shared" ref="E265:E328" si="22">TRIM(MID(D265, 1, SEARCH(",",D265) - 1))</f>
        <v>TOK_MATCHED</v>
      </c>
      <c r="F265" s="3" t="str">
        <f t="shared" si="18"/>
        <v>"MATCHED"</v>
      </c>
      <c r="G265" s="3" t="str">
        <f t="shared" si="19"/>
        <v>true</v>
      </c>
    </row>
    <row r="266" spans="1:7" x14ac:dyDescent="0.25">
      <c r="A266" s="3" t="s">
        <v>190</v>
      </c>
      <c r="B266" s="4" t="str">
        <f t="shared" si="20"/>
        <v>561</v>
      </c>
      <c r="C266" s="5" t="str">
        <f t="shared" si="21"/>
        <v>561</v>
      </c>
      <c r="D266" s="3" t="s">
        <v>629</v>
      </c>
      <c r="E266" s="3" t="str">
        <f t="shared" si="22"/>
        <v>TOK_MATCHING</v>
      </c>
      <c r="F266" s="3" t="str">
        <f t="shared" si="18"/>
        <v>"MATCHING"</v>
      </c>
      <c r="G266" s="3" t="str">
        <f t="shared" si="19"/>
        <v>true</v>
      </c>
    </row>
    <row r="267" spans="1:7" x14ac:dyDescent="0.25">
      <c r="A267" s="3" t="s">
        <v>191</v>
      </c>
      <c r="B267" s="4" t="str">
        <f t="shared" si="20"/>
        <v>354</v>
      </c>
      <c r="C267" s="5" t="str">
        <f t="shared" si="21"/>
        <v>354</v>
      </c>
      <c r="D267" s="3" t="s">
        <v>630</v>
      </c>
      <c r="E267" s="3" t="str">
        <f t="shared" si="22"/>
        <v>TOK_MAXIMUM</v>
      </c>
      <c r="F267" s="3" t="str">
        <f t="shared" si="18"/>
        <v>"MAX"</v>
      </c>
      <c r="G267" s="3" t="str">
        <f t="shared" si="19"/>
        <v>false</v>
      </c>
    </row>
    <row r="268" spans="1:7" x14ac:dyDescent="0.25">
      <c r="A268" s="3" t="s">
        <v>192</v>
      </c>
      <c r="B268" s="4" t="str">
        <f t="shared" si="20"/>
        <v>562</v>
      </c>
      <c r="C268" s="5" t="str">
        <f t="shared" si="21"/>
        <v>562</v>
      </c>
      <c r="D268" s="3" t="s">
        <v>631</v>
      </c>
      <c r="E268" s="3" t="str">
        <f t="shared" si="22"/>
        <v>TOK_MAXVALUE</v>
      </c>
      <c r="F268" s="3" t="str">
        <f t="shared" si="18"/>
        <v>"MAXVALUE"</v>
      </c>
      <c r="G268" s="3" t="str">
        <f t="shared" si="19"/>
        <v>true</v>
      </c>
    </row>
    <row r="269" spans="1:7" x14ac:dyDescent="0.25">
      <c r="A269" s="3" t="s">
        <v>193</v>
      </c>
      <c r="B269" s="4" t="str">
        <f t="shared" si="20"/>
        <v>355</v>
      </c>
      <c r="C269" s="5" t="str">
        <f t="shared" si="21"/>
        <v>355</v>
      </c>
      <c r="D269" s="3" t="s">
        <v>632</v>
      </c>
      <c r="E269" s="3" t="str">
        <f t="shared" si="22"/>
        <v>TOK_MERGE</v>
      </c>
      <c r="F269" s="3" t="str">
        <f t="shared" ref="F269:F332" si="23">TRIM(MID(D269, SEARCH(",",D269) + 1, SEARCH(",",D269,SEARCH(",",D269)+1) - SEARCH(",",D269) - 1))</f>
        <v>"MERGE"</v>
      </c>
      <c r="G269" s="3" t="str">
        <f t="shared" ref="G269:G332" si="24">TRIM(MID(D269, FIND("#",SUBSTITUTE(D269,",","#",2))+1,99))</f>
        <v>false</v>
      </c>
    </row>
    <row r="270" spans="1:7" x14ac:dyDescent="0.25">
      <c r="B270" s="4">
        <f t="shared" si="20"/>
        <v>-1</v>
      </c>
      <c r="C270" s="5">
        <v>705</v>
      </c>
      <c r="D270" s="3" t="s">
        <v>633</v>
      </c>
      <c r="E270" s="3" t="str">
        <f t="shared" si="22"/>
        <v>TOK_MESSAGE</v>
      </c>
      <c r="F270" s="3" t="str">
        <f t="shared" si="23"/>
        <v>"MESSAGE"</v>
      </c>
      <c r="G270" s="3" t="str">
        <f t="shared" si="24"/>
        <v>true</v>
      </c>
    </row>
    <row r="271" spans="1:7" x14ac:dyDescent="0.25">
      <c r="A271" s="3" t="s">
        <v>194</v>
      </c>
      <c r="B271" s="4" t="str">
        <f t="shared" si="20"/>
        <v>595</v>
      </c>
      <c r="C271" s="5" t="str">
        <f t="shared" si="21"/>
        <v>595</v>
      </c>
      <c r="D271" s="3" t="s">
        <v>634</v>
      </c>
      <c r="E271" s="3" t="str">
        <f t="shared" si="22"/>
        <v>TOK_MIDDLENAME</v>
      </c>
      <c r="F271" s="3" t="str">
        <f t="shared" si="23"/>
        <v>"MIDDLENAME"</v>
      </c>
      <c r="G271" s="3" t="str">
        <f t="shared" si="24"/>
        <v>true</v>
      </c>
    </row>
    <row r="272" spans="1:7" x14ac:dyDescent="0.25">
      <c r="A272" s="3" t="s">
        <v>195</v>
      </c>
      <c r="B272" s="4" t="str">
        <f t="shared" si="20"/>
        <v>563</v>
      </c>
      <c r="C272" s="5" t="str">
        <f t="shared" si="21"/>
        <v>563</v>
      </c>
      <c r="D272" s="3" t="s">
        <v>635</v>
      </c>
      <c r="E272" s="3" t="str">
        <f t="shared" si="22"/>
        <v>TOK_MILLISECOND</v>
      </c>
      <c r="F272" s="3" t="str">
        <f t="shared" si="23"/>
        <v>"MILLISECOND"</v>
      </c>
      <c r="G272" s="3" t="str">
        <f t="shared" si="24"/>
        <v>true</v>
      </c>
    </row>
    <row r="273" spans="1:7" x14ac:dyDescent="0.25">
      <c r="A273" s="3" t="s">
        <v>196</v>
      </c>
      <c r="B273" s="4" t="str">
        <f t="shared" si="20"/>
        <v>356</v>
      </c>
      <c r="C273" s="5" t="str">
        <f t="shared" si="21"/>
        <v>356</v>
      </c>
      <c r="D273" s="3" t="s">
        <v>636</v>
      </c>
      <c r="E273" s="3" t="str">
        <f t="shared" si="22"/>
        <v>TOK_MINIMUM</v>
      </c>
      <c r="F273" s="3" t="str">
        <f t="shared" si="23"/>
        <v>"MIN"</v>
      </c>
      <c r="G273" s="3" t="str">
        <f t="shared" si="24"/>
        <v>false</v>
      </c>
    </row>
    <row r="274" spans="1:7" x14ac:dyDescent="0.25">
      <c r="A274" s="3" t="s">
        <v>197</v>
      </c>
      <c r="B274" s="4" t="str">
        <f t="shared" si="20"/>
        <v>458</v>
      </c>
      <c r="C274" s="5" t="str">
        <f t="shared" si="21"/>
        <v>458</v>
      </c>
      <c r="D274" s="3" t="s">
        <v>637</v>
      </c>
      <c r="E274" s="3" t="str">
        <f t="shared" si="22"/>
        <v>TOK_MINUTE</v>
      </c>
      <c r="F274" s="3" t="str">
        <f t="shared" si="23"/>
        <v>"MINUTE"</v>
      </c>
      <c r="G274" s="3" t="str">
        <f t="shared" si="24"/>
        <v>false</v>
      </c>
    </row>
    <row r="275" spans="1:7" x14ac:dyDescent="0.25">
      <c r="A275" s="3" t="s">
        <v>198</v>
      </c>
      <c r="B275" s="4" t="str">
        <f t="shared" si="20"/>
        <v>564</v>
      </c>
      <c r="C275" s="5" t="str">
        <f t="shared" si="21"/>
        <v>564</v>
      </c>
      <c r="D275" s="3" t="s">
        <v>638</v>
      </c>
      <c r="E275" s="3" t="str">
        <f t="shared" si="22"/>
        <v>TOK_MINVALUE</v>
      </c>
      <c r="F275" s="3" t="str">
        <f t="shared" si="23"/>
        <v>"MINVALUE"</v>
      </c>
      <c r="G275" s="3" t="str">
        <f t="shared" si="24"/>
        <v>true</v>
      </c>
    </row>
    <row r="276" spans="1:7" x14ac:dyDescent="0.25">
      <c r="A276" s="3" t="s">
        <v>199</v>
      </c>
      <c r="B276" s="4" t="str">
        <f t="shared" si="20"/>
        <v>565</v>
      </c>
      <c r="C276" s="5" t="str">
        <f t="shared" si="21"/>
        <v>565</v>
      </c>
      <c r="D276" s="3" t="s">
        <v>639</v>
      </c>
      <c r="E276" s="3" t="str">
        <f t="shared" si="22"/>
        <v>TOK_MOD</v>
      </c>
      <c r="F276" s="3" t="str">
        <f t="shared" si="23"/>
        <v>"MOD"</v>
      </c>
      <c r="G276" s="3" t="str">
        <f t="shared" si="24"/>
        <v>true</v>
      </c>
    </row>
    <row r="277" spans="1:7" x14ac:dyDescent="0.25">
      <c r="B277" s="4">
        <f t="shared" si="20"/>
        <v>-1</v>
      </c>
      <c r="C277" s="5">
        <v>706</v>
      </c>
      <c r="D277" s="3" t="s">
        <v>640</v>
      </c>
      <c r="E277" s="3" t="str">
        <f t="shared" si="22"/>
        <v>TOK_MODE</v>
      </c>
      <c r="F277" s="3" t="str">
        <f t="shared" si="23"/>
        <v>"MODE"</v>
      </c>
      <c r="G277" s="3" t="str">
        <f t="shared" si="24"/>
        <v>true</v>
      </c>
    </row>
    <row r="278" spans="1:7" x14ac:dyDescent="0.25">
      <c r="A278" s="3" t="s">
        <v>200</v>
      </c>
      <c r="B278" s="4" t="str">
        <f t="shared" si="20"/>
        <v>357</v>
      </c>
      <c r="C278" s="5" t="str">
        <f t="shared" si="21"/>
        <v>357</v>
      </c>
      <c r="D278" s="3" t="s">
        <v>641</v>
      </c>
      <c r="E278" s="3" t="str">
        <f t="shared" si="22"/>
        <v>TOK_MODULE_NAME</v>
      </c>
      <c r="F278" s="3" t="str">
        <f t="shared" si="23"/>
        <v>"MODULE_NAME"</v>
      </c>
      <c r="G278" s="3" t="str">
        <f t="shared" si="24"/>
        <v>true</v>
      </c>
    </row>
    <row r="279" spans="1:7" x14ac:dyDescent="0.25">
      <c r="A279" s="3" t="s">
        <v>201</v>
      </c>
      <c r="B279" s="4" t="str">
        <f t="shared" si="20"/>
        <v>455</v>
      </c>
      <c r="C279" s="5" t="str">
        <f t="shared" si="21"/>
        <v>455</v>
      </c>
      <c r="D279" s="3" t="s">
        <v>642</v>
      </c>
      <c r="E279" s="3" t="str">
        <f t="shared" si="22"/>
        <v>TOK_MONTH</v>
      </c>
      <c r="F279" s="3" t="str">
        <f t="shared" si="23"/>
        <v>"MONTH"</v>
      </c>
      <c r="G279" s="3" t="str">
        <f t="shared" si="24"/>
        <v>false</v>
      </c>
    </row>
    <row r="280" spans="1:7" x14ac:dyDescent="0.25">
      <c r="A280" s="3" t="s">
        <v>202</v>
      </c>
      <c r="B280" s="4" t="str">
        <f t="shared" si="20"/>
        <v>613</v>
      </c>
      <c r="C280" s="5" t="str">
        <f t="shared" si="21"/>
        <v>613</v>
      </c>
      <c r="D280" s="3" t="s">
        <v>643</v>
      </c>
      <c r="E280" s="3" t="str">
        <f t="shared" si="22"/>
        <v>TOK_NAME</v>
      </c>
      <c r="F280" s="3" t="str">
        <f t="shared" si="23"/>
        <v>"NAME"</v>
      </c>
      <c r="G280" s="3" t="str">
        <f t="shared" si="24"/>
        <v>true</v>
      </c>
    </row>
    <row r="281" spans="1:7" x14ac:dyDescent="0.25">
      <c r="A281" s="3" t="s">
        <v>203</v>
      </c>
      <c r="B281" s="4" t="str">
        <f t="shared" si="20"/>
        <v>358</v>
      </c>
      <c r="C281" s="5" t="str">
        <f t="shared" si="21"/>
        <v>358</v>
      </c>
      <c r="D281" s="3" t="s">
        <v>644</v>
      </c>
      <c r="E281" s="3" t="str">
        <f t="shared" si="22"/>
        <v>TOK_NAMES</v>
      </c>
      <c r="F281" s="3" t="str">
        <f t="shared" si="23"/>
        <v>"NAMES"</v>
      </c>
      <c r="G281" s="3" t="str">
        <f t="shared" si="24"/>
        <v>true</v>
      </c>
    </row>
    <row r="282" spans="1:7" x14ac:dyDescent="0.25">
      <c r="A282" s="3" t="s">
        <v>204</v>
      </c>
      <c r="B282" s="4" t="str">
        <f t="shared" si="20"/>
        <v>359</v>
      </c>
      <c r="C282" s="5" t="str">
        <f t="shared" si="21"/>
        <v>359</v>
      </c>
      <c r="D282" s="3" t="s">
        <v>645</v>
      </c>
      <c r="E282" s="3" t="str">
        <f t="shared" si="22"/>
        <v>TOK_NATIONAL</v>
      </c>
      <c r="F282" s="3" t="str">
        <f t="shared" si="23"/>
        <v>"NATIONAL"</v>
      </c>
      <c r="G282" s="3" t="str">
        <f t="shared" si="24"/>
        <v>false</v>
      </c>
    </row>
    <row r="283" spans="1:7" x14ac:dyDescent="0.25">
      <c r="B283" s="4">
        <f t="shared" si="20"/>
        <v>-1</v>
      </c>
      <c r="C283" s="5">
        <v>707</v>
      </c>
      <c r="D283" s="3" t="s">
        <v>646</v>
      </c>
      <c r="E283" s="3" t="str">
        <f t="shared" si="22"/>
        <v>TOK_NATIVE</v>
      </c>
      <c r="F283" s="3" t="str">
        <f t="shared" si="23"/>
        <v>"NATIVE"</v>
      </c>
      <c r="G283" s="3" t="str">
        <f t="shared" si="24"/>
        <v>true</v>
      </c>
    </row>
    <row r="284" spans="1:7" x14ac:dyDescent="0.25">
      <c r="A284" s="3" t="s">
        <v>205</v>
      </c>
      <c r="B284" s="4" t="str">
        <f t="shared" si="20"/>
        <v>360</v>
      </c>
      <c r="C284" s="5" t="str">
        <f t="shared" si="21"/>
        <v>360</v>
      </c>
      <c r="D284" s="3" t="s">
        <v>647</v>
      </c>
      <c r="E284" s="3" t="str">
        <f t="shared" si="22"/>
        <v>TOK_NATURAL</v>
      </c>
      <c r="F284" s="3" t="str">
        <f t="shared" si="23"/>
        <v>"NATURAL"</v>
      </c>
      <c r="G284" s="3" t="str">
        <f t="shared" si="24"/>
        <v>false</v>
      </c>
    </row>
    <row r="285" spans="1:7" x14ac:dyDescent="0.25">
      <c r="A285" s="3" t="s">
        <v>206</v>
      </c>
      <c r="B285" s="4" t="str">
        <f t="shared" si="20"/>
        <v>361</v>
      </c>
      <c r="C285" s="5" t="str">
        <f t="shared" si="21"/>
        <v>361</v>
      </c>
      <c r="D285" s="3" t="s">
        <v>648</v>
      </c>
      <c r="E285" s="3" t="str">
        <f t="shared" si="22"/>
        <v>TOK_NCHAR</v>
      </c>
      <c r="F285" s="3" t="str">
        <f t="shared" si="23"/>
        <v>"NCHAR"</v>
      </c>
      <c r="G285" s="3" t="str">
        <f t="shared" si="24"/>
        <v>false</v>
      </c>
    </row>
    <row r="286" spans="1:7" x14ac:dyDescent="0.25">
      <c r="A286" s="3" t="s">
        <v>207</v>
      </c>
      <c r="B286" s="4" t="str">
        <f t="shared" si="20"/>
        <v>362</v>
      </c>
      <c r="C286" s="5" t="str">
        <f t="shared" si="21"/>
        <v>362</v>
      </c>
      <c r="D286" s="3" t="s">
        <v>649</v>
      </c>
      <c r="E286" s="3" t="str">
        <f t="shared" si="22"/>
        <v>TOK_NEQ</v>
      </c>
      <c r="F286" s="3" t="str">
        <f t="shared" si="23"/>
        <v>"!="</v>
      </c>
      <c r="G286" s="3" t="str">
        <f t="shared" si="24"/>
        <v>false</v>
      </c>
    </row>
    <row r="287" spans="1:7" x14ac:dyDescent="0.25">
      <c r="B287" s="4">
        <f t="shared" si="20"/>
        <v>-1</v>
      </c>
      <c r="C287" s="5">
        <v>708</v>
      </c>
      <c r="D287" s="3" t="s">
        <v>963</v>
      </c>
      <c r="E287" s="3" t="str">
        <f t="shared" si="22"/>
        <v>TOK_NOT_GTR_LSS</v>
      </c>
      <c r="F287" s="3" t="str">
        <f t="shared" si="23"/>
        <v>"&lt;&gt;"</v>
      </c>
      <c r="G287" s="3" t="str">
        <f t="shared" si="24"/>
        <v>false</v>
      </c>
    </row>
    <row r="288" spans="1:7" x14ac:dyDescent="0.25">
      <c r="A288" s="3" t="s">
        <v>208</v>
      </c>
      <c r="B288" s="4" t="str">
        <f t="shared" si="20"/>
        <v>505</v>
      </c>
      <c r="C288" s="5" t="str">
        <f t="shared" si="21"/>
        <v>505</v>
      </c>
      <c r="D288" s="3" t="s">
        <v>650</v>
      </c>
      <c r="E288" s="3" t="str">
        <f t="shared" si="22"/>
        <v>TOK_NEXT</v>
      </c>
      <c r="F288" s="3" t="str">
        <f t="shared" si="23"/>
        <v>"NEXT"</v>
      </c>
      <c r="G288" s="3" t="str">
        <f t="shared" si="24"/>
        <v>true</v>
      </c>
    </row>
    <row r="289" spans="1:7" x14ac:dyDescent="0.25">
      <c r="A289" s="3" t="s">
        <v>209</v>
      </c>
      <c r="B289" s="4" t="str">
        <f t="shared" ref="B289:B352" si="25">IF(A289 = "", -1,TRIM(MID(A289, SEARCH(" ",A289) + 1, 99)))</f>
        <v>363</v>
      </c>
      <c r="C289" s="5" t="str">
        <f t="shared" si="21"/>
        <v>363</v>
      </c>
      <c r="D289" s="3" t="s">
        <v>651</v>
      </c>
      <c r="E289" s="3" t="str">
        <f t="shared" si="22"/>
        <v>TOK_NO</v>
      </c>
      <c r="F289" s="3" t="str">
        <f t="shared" si="23"/>
        <v>"NO"</v>
      </c>
      <c r="G289" s="3" t="str">
        <f t="shared" si="24"/>
        <v>false</v>
      </c>
    </row>
    <row r="290" spans="1:7" x14ac:dyDescent="0.25">
      <c r="B290" s="4">
        <f t="shared" si="25"/>
        <v>-1</v>
      </c>
      <c r="C290" s="5">
        <v>709</v>
      </c>
      <c r="D290" s="3" t="s">
        <v>652</v>
      </c>
      <c r="E290" s="3" t="str">
        <f t="shared" si="22"/>
        <v>TOK_NORMALIZE_DECFLOAT</v>
      </c>
      <c r="F290" s="3" t="str">
        <f t="shared" si="23"/>
        <v>"NORMALIZE_DECFLOAT"</v>
      </c>
      <c r="G290" s="3" t="str">
        <f t="shared" si="24"/>
        <v>true</v>
      </c>
    </row>
    <row r="291" spans="1:7" x14ac:dyDescent="0.25">
      <c r="A291" s="3" t="s">
        <v>210</v>
      </c>
      <c r="B291" s="4" t="str">
        <f t="shared" si="25"/>
        <v>364</v>
      </c>
      <c r="C291" s="5" t="str">
        <f t="shared" si="21"/>
        <v>364</v>
      </c>
      <c r="D291" s="3" t="s">
        <v>653</v>
      </c>
      <c r="E291" s="3" t="str">
        <f t="shared" si="22"/>
        <v>TOK_NOT</v>
      </c>
      <c r="F291" s="3" t="str">
        <f t="shared" si="23"/>
        <v>"NOT"</v>
      </c>
      <c r="G291" s="3" t="str">
        <f t="shared" si="24"/>
        <v>false</v>
      </c>
    </row>
    <row r="292" spans="1:7" x14ac:dyDescent="0.25">
      <c r="A292" s="3" t="s">
        <v>211</v>
      </c>
      <c r="B292" s="4" t="str">
        <f t="shared" si="25"/>
        <v>365</v>
      </c>
      <c r="C292" s="5" t="str">
        <f t="shared" si="21"/>
        <v>365</v>
      </c>
      <c r="D292" s="3" t="s">
        <v>654</v>
      </c>
      <c r="E292" s="3" t="str">
        <f t="shared" si="22"/>
        <v>TOK_NOT_GTR</v>
      </c>
      <c r="F292" s="3" t="str">
        <f t="shared" si="23"/>
        <v>"!&gt;"</v>
      </c>
      <c r="G292" s="3" t="str">
        <f t="shared" si="24"/>
        <v>false</v>
      </c>
    </row>
    <row r="293" spans="1:7" x14ac:dyDescent="0.25">
      <c r="A293" s="3" t="s">
        <v>212</v>
      </c>
      <c r="B293" s="4" t="str">
        <f t="shared" si="25"/>
        <v>366</v>
      </c>
      <c r="C293" s="5" t="str">
        <f t="shared" si="21"/>
        <v>366</v>
      </c>
      <c r="D293" s="3" t="s">
        <v>655</v>
      </c>
      <c r="E293" s="3" t="str">
        <f t="shared" si="22"/>
        <v>TOK_NOT_LSS</v>
      </c>
      <c r="F293" s="3" t="str">
        <f t="shared" si="23"/>
        <v>"!&lt;"</v>
      </c>
      <c r="G293" s="3" t="str">
        <f t="shared" si="24"/>
        <v>false</v>
      </c>
    </row>
    <row r="294" spans="1:7" x14ac:dyDescent="0.25">
      <c r="A294" s="3" t="s">
        <v>213</v>
      </c>
      <c r="B294" s="4" t="str">
        <f t="shared" si="25"/>
        <v>631</v>
      </c>
      <c r="C294" s="5" t="str">
        <f t="shared" si="21"/>
        <v>631</v>
      </c>
      <c r="D294" s="3" t="s">
        <v>656</v>
      </c>
      <c r="E294" s="3" t="str">
        <f t="shared" si="22"/>
        <v>TOK_NTH_VALUE</v>
      </c>
      <c r="F294" s="3" t="str">
        <f t="shared" si="23"/>
        <v>"NTH_VALUE"</v>
      </c>
      <c r="G294" s="3" t="str">
        <f t="shared" si="24"/>
        <v>true</v>
      </c>
    </row>
    <row r="295" spans="1:7" x14ac:dyDescent="0.25">
      <c r="B295" s="4">
        <f t="shared" si="25"/>
        <v>-1</v>
      </c>
      <c r="C295" s="5">
        <v>710</v>
      </c>
      <c r="D295" s="3" t="s">
        <v>657</v>
      </c>
      <c r="E295" s="3" t="str">
        <f t="shared" si="22"/>
        <v>TOK_NTILE</v>
      </c>
      <c r="F295" s="3" t="str">
        <f t="shared" si="23"/>
        <v>"NTILE"</v>
      </c>
      <c r="G295" s="3" t="str">
        <f t="shared" si="24"/>
        <v>true</v>
      </c>
    </row>
    <row r="296" spans="1:7" x14ac:dyDescent="0.25">
      <c r="A296" s="3" t="s">
        <v>941</v>
      </c>
      <c r="B296" s="4" t="str">
        <f t="shared" si="25"/>
        <v>344</v>
      </c>
      <c r="C296" s="5" t="str">
        <f t="shared" si="21"/>
        <v>344</v>
      </c>
      <c r="D296" s="3" t="s">
        <v>658</v>
      </c>
      <c r="E296" s="3" t="str">
        <f t="shared" si="22"/>
        <v>TOK_NULL</v>
      </c>
      <c r="F296" s="3" t="str">
        <f t="shared" si="23"/>
        <v>"NULL"</v>
      </c>
      <c r="G296" s="3" t="str">
        <f t="shared" si="24"/>
        <v>false</v>
      </c>
    </row>
    <row r="297" spans="1:7" x14ac:dyDescent="0.25">
      <c r="A297" s="3" t="s">
        <v>214</v>
      </c>
      <c r="B297" s="4" t="str">
        <f t="shared" si="25"/>
        <v>481</v>
      </c>
      <c r="C297" s="5" t="str">
        <f t="shared" si="21"/>
        <v>481</v>
      </c>
      <c r="D297" s="3" t="s">
        <v>659</v>
      </c>
      <c r="E297" s="3" t="str">
        <f t="shared" si="22"/>
        <v>TOK_NULLIF</v>
      </c>
      <c r="F297" s="3" t="str">
        <f t="shared" si="23"/>
        <v>"NULLIF"</v>
      </c>
      <c r="G297" s="3" t="str">
        <f t="shared" si="24"/>
        <v>true</v>
      </c>
    </row>
    <row r="298" spans="1:7" x14ac:dyDescent="0.25">
      <c r="A298" s="3" t="s">
        <v>215</v>
      </c>
      <c r="B298" s="4" t="str">
        <f t="shared" si="25"/>
        <v>484</v>
      </c>
      <c r="C298" s="5" t="str">
        <f t="shared" si="21"/>
        <v>484</v>
      </c>
      <c r="D298" s="3" t="s">
        <v>660</v>
      </c>
      <c r="E298" s="3" t="str">
        <f t="shared" si="22"/>
        <v>TOK_NULLS</v>
      </c>
      <c r="F298" s="3" t="str">
        <f t="shared" si="23"/>
        <v>"NULLS"</v>
      </c>
      <c r="G298" s="3" t="str">
        <f t="shared" si="24"/>
        <v>true</v>
      </c>
    </row>
    <row r="299" spans="1:7" x14ac:dyDescent="0.25">
      <c r="A299" s="3" t="s">
        <v>216</v>
      </c>
      <c r="B299" s="4" t="str">
        <f t="shared" si="25"/>
        <v>651</v>
      </c>
      <c r="C299" s="5" t="str">
        <f t="shared" si="21"/>
        <v>651</v>
      </c>
      <c r="D299" s="3" t="s">
        <v>974</v>
      </c>
      <c r="E299" s="3" t="str">
        <f t="shared" si="22"/>
        <v>TOK_NUM126</v>
      </c>
      <c r="F299" s="3" t="str">
        <f t="shared" si="23"/>
        <v>"NUM128"</v>
      </c>
      <c r="G299" s="3" t="str">
        <f t="shared" si="24"/>
        <v>true</v>
      </c>
    </row>
    <row r="300" spans="1:7" x14ac:dyDescent="0.25">
      <c r="A300" s="3" t="s">
        <v>217</v>
      </c>
      <c r="B300" s="4" t="str">
        <f t="shared" si="25"/>
        <v>442</v>
      </c>
      <c r="C300" s="5" t="str">
        <f t="shared" si="21"/>
        <v>442</v>
      </c>
      <c r="D300" s="3" t="s">
        <v>661</v>
      </c>
      <c r="E300" s="3" t="str">
        <f t="shared" si="22"/>
        <v>TOK_NUMBER</v>
      </c>
      <c r="F300" s="3" t="str">
        <f t="shared" si="23"/>
        <v>"NUMBER"</v>
      </c>
      <c r="G300" s="3" t="str">
        <f t="shared" si="24"/>
        <v>true</v>
      </c>
    </row>
    <row r="301" spans="1:7" x14ac:dyDescent="0.25">
      <c r="A301" s="3" t="s">
        <v>218</v>
      </c>
      <c r="B301" s="4" t="str">
        <f t="shared" si="25"/>
        <v>652</v>
      </c>
      <c r="C301" s="5" t="str">
        <f t="shared" si="21"/>
        <v>652</v>
      </c>
      <c r="D301" s="3" t="s">
        <v>975</v>
      </c>
      <c r="E301" s="3" t="str">
        <f t="shared" si="22"/>
        <v>TOK_NUMBER32BIT</v>
      </c>
      <c r="F301" s="3" t="str">
        <f t="shared" si="23"/>
        <v>"NUMBER32BIT"</v>
      </c>
      <c r="G301" s="3" t="str">
        <f t="shared" si="24"/>
        <v>true</v>
      </c>
    </row>
    <row r="302" spans="1:7" x14ac:dyDescent="0.25">
      <c r="A302" s="3" t="s">
        <v>219</v>
      </c>
      <c r="B302" s="4" t="str">
        <f t="shared" si="25"/>
        <v>467</v>
      </c>
      <c r="C302" s="5" t="str">
        <f t="shared" si="21"/>
        <v>467</v>
      </c>
      <c r="D302" s="3" t="s">
        <v>976</v>
      </c>
      <c r="E302" s="3" t="str">
        <f t="shared" si="22"/>
        <v>TOK_NUMBER64BIT</v>
      </c>
      <c r="F302" s="3" t="str">
        <f t="shared" si="23"/>
        <v>"NUMBER64BIT"</v>
      </c>
      <c r="G302" s="3" t="str">
        <f t="shared" si="24"/>
        <v>true</v>
      </c>
    </row>
    <row r="303" spans="1:7" x14ac:dyDescent="0.25">
      <c r="A303" s="3" t="s">
        <v>942</v>
      </c>
      <c r="B303" s="4" t="str">
        <f t="shared" si="25"/>
        <v>345</v>
      </c>
      <c r="C303" s="5" t="str">
        <f t="shared" si="21"/>
        <v>345</v>
      </c>
      <c r="D303" s="3" t="s">
        <v>662</v>
      </c>
      <c r="E303" s="3" t="str">
        <f t="shared" si="22"/>
        <v>TOK_NUMERIC</v>
      </c>
      <c r="F303" s="3" t="str">
        <f t="shared" si="23"/>
        <v>"NUMERIC"</v>
      </c>
      <c r="G303" s="3" t="str">
        <f t="shared" si="24"/>
        <v>false</v>
      </c>
    </row>
    <row r="304" spans="1:7" x14ac:dyDescent="0.25">
      <c r="A304" s="3" t="s">
        <v>220</v>
      </c>
      <c r="B304" s="4" t="str">
        <f t="shared" si="25"/>
        <v>516</v>
      </c>
      <c r="C304" s="5" t="str">
        <f t="shared" si="21"/>
        <v>516</v>
      </c>
      <c r="D304" s="3" t="s">
        <v>663</v>
      </c>
      <c r="E304" s="3" t="str">
        <f t="shared" si="22"/>
        <v>TOK_OCTET_LENGTH</v>
      </c>
      <c r="F304" s="3" t="str">
        <f t="shared" si="23"/>
        <v>"OCTET_LENGTH"</v>
      </c>
      <c r="G304" s="3" t="str">
        <f t="shared" si="24"/>
        <v>false</v>
      </c>
    </row>
    <row r="305" spans="1:7" x14ac:dyDescent="0.25">
      <c r="A305" s="3" t="s">
        <v>221</v>
      </c>
      <c r="B305" s="4" t="str">
        <f t="shared" si="25"/>
        <v>367</v>
      </c>
      <c r="C305" s="5" t="str">
        <f t="shared" si="21"/>
        <v>367</v>
      </c>
      <c r="D305" s="3" t="s">
        <v>664</v>
      </c>
      <c r="E305" s="3" t="str">
        <f t="shared" si="22"/>
        <v>TOK_OF</v>
      </c>
      <c r="F305" s="3" t="str">
        <f t="shared" si="23"/>
        <v>"OF"</v>
      </c>
      <c r="G305" s="3" t="str">
        <f t="shared" si="24"/>
        <v>false</v>
      </c>
    </row>
    <row r="306" spans="1:7" x14ac:dyDescent="0.25">
      <c r="B306" s="4">
        <f t="shared" si="25"/>
        <v>-1</v>
      </c>
      <c r="C306" s="5">
        <v>711</v>
      </c>
      <c r="D306" s="3" t="s">
        <v>665</v>
      </c>
      <c r="E306" s="3" t="str">
        <f t="shared" si="22"/>
        <v>TOK_OFFSET</v>
      </c>
      <c r="F306" s="3" t="str">
        <f t="shared" si="23"/>
        <v>"OFFSET"</v>
      </c>
      <c r="G306" s="3" t="str">
        <f t="shared" si="24"/>
        <v>false</v>
      </c>
    </row>
    <row r="307" spans="1:7" x14ac:dyDescent="0.25">
      <c r="B307" s="4">
        <f t="shared" si="25"/>
        <v>-1</v>
      </c>
      <c r="C307" s="5">
        <v>712</v>
      </c>
      <c r="D307" s="3" t="s">
        <v>666</v>
      </c>
      <c r="E307" s="3" t="str">
        <f t="shared" si="22"/>
        <v>TOK_OLDEST</v>
      </c>
      <c r="F307" s="3" t="str">
        <f t="shared" si="23"/>
        <v>"OLDEST"</v>
      </c>
      <c r="G307" s="3" t="str">
        <f t="shared" si="24"/>
        <v>true</v>
      </c>
    </row>
    <row r="308" spans="1:7" x14ac:dyDescent="0.25">
      <c r="A308" s="3" t="s">
        <v>222</v>
      </c>
      <c r="B308" s="4" t="str">
        <f t="shared" si="25"/>
        <v>368</v>
      </c>
      <c r="C308" s="5" t="str">
        <f t="shared" si="21"/>
        <v>368</v>
      </c>
      <c r="D308" s="3" t="s">
        <v>667</v>
      </c>
      <c r="E308" s="3" t="str">
        <f t="shared" si="22"/>
        <v>TOK_ON</v>
      </c>
      <c r="F308" s="3" t="str">
        <f t="shared" si="23"/>
        <v>"ON"</v>
      </c>
      <c r="G308" s="3" t="str">
        <f t="shared" si="24"/>
        <v>false</v>
      </c>
    </row>
    <row r="309" spans="1:7" x14ac:dyDescent="0.25">
      <c r="A309" s="3" t="s">
        <v>223</v>
      </c>
      <c r="B309" s="4" t="str">
        <f t="shared" si="25"/>
        <v>369</v>
      </c>
      <c r="C309" s="5" t="str">
        <f t="shared" si="21"/>
        <v>369</v>
      </c>
      <c r="D309" s="3" t="s">
        <v>668</v>
      </c>
      <c r="E309" s="3" t="str">
        <f t="shared" si="22"/>
        <v>TOK_ONLY</v>
      </c>
      <c r="F309" s="3" t="str">
        <f t="shared" si="23"/>
        <v>"ONLY"</v>
      </c>
      <c r="G309" s="3" t="str">
        <f t="shared" si="24"/>
        <v>false</v>
      </c>
    </row>
    <row r="310" spans="1:7" x14ac:dyDescent="0.25">
      <c r="A310" s="3" t="s">
        <v>224</v>
      </c>
      <c r="B310" s="4" t="str">
        <f t="shared" si="25"/>
        <v>497</v>
      </c>
      <c r="C310" s="5" t="str">
        <f t="shared" si="21"/>
        <v>497</v>
      </c>
      <c r="D310" s="3" t="s">
        <v>669</v>
      </c>
      <c r="E310" s="3" t="str">
        <f t="shared" si="22"/>
        <v>TOK_OPEN</v>
      </c>
      <c r="F310" s="3" t="str">
        <f t="shared" si="23"/>
        <v>"OPEN"</v>
      </c>
      <c r="G310" s="3" t="str">
        <f t="shared" si="24"/>
        <v>false</v>
      </c>
    </row>
    <row r="311" spans="1:7" x14ac:dyDescent="0.25">
      <c r="B311" s="4">
        <f t="shared" si="25"/>
        <v>-1</v>
      </c>
      <c r="C311" s="5">
        <v>713</v>
      </c>
      <c r="D311" s="3" t="s">
        <v>977</v>
      </c>
      <c r="E311" s="3" t="str">
        <f t="shared" si="22"/>
        <v>TOK_OPR_ASSIGN</v>
      </c>
      <c r="F311" s="3" t="str">
        <f t="shared" si="23"/>
        <v>"="</v>
      </c>
      <c r="G311" s="3" t="str">
        <f t="shared" si="24"/>
        <v>false</v>
      </c>
    </row>
    <row r="312" spans="1:7" x14ac:dyDescent="0.25">
      <c r="B312" s="4">
        <f t="shared" si="25"/>
        <v>-1</v>
      </c>
      <c r="C312" s="5">
        <v>714</v>
      </c>
      <c r="D312" s="3" t="s">
        <v>978</v>
      </c>
      <c r="E312" s="3" t="str">
        <f t="shared" si="22"/>
        <v>TOK_OPR_GTR</v>
      </c>
      <c r="F312" s="3" t="str">
        <f t="shared" si="23"/>
        <v>"&gt;"</v>
      </c>
      <c r="G312" s="3" t="str">
        <f t="shared" si="24"/>
        <v>false</v>
      </c>
    </row>
    <row r="313" spans="1:7" x14ac:dyDescent="0.25">
      <c r="B313" s="4">
        <f t="shared" si="25"/>
        <v>-1</v>
      </c>
      <c r="C313" s="5">
        <v>715</v>
      </c>
      <c r="D313" s="3" t="s">
        <v>979</v>
      </c>
      <c r="E313" s="3" t="str">
        <f t="shared" si="22"/>
        <v>TOK_OPR_LSS</v>
      </c>
      <c r="F313" s="3" t="str">
        <f t="shared" si="23"/>
        <v>"&lt;"</v>
      </c>
      <c r="G313" s="3" t="str">
        <f t="shared" si="24"/>
        <v>false</v>
      </c>
    </row>
    <row r="314" spans="1:7" x14ac:dyDescent="0.25">
      <c r="A314" s="3" t="s">
        <v>225</v>
      </c>
      <c r="B314" s="4" t="str">
        <f t="shared" si="25"/>
        <v>370</v>
      </c>
      <c r="C314" s="5" t="str">
        <f t="shared" si="21"/>
        <v>370</v>
      </c>
      <c r="D314" s="3" t="s">
        <v>670</v>
      </c>
      <c r="E314" s="3" t="str">
        <f t="shared" si="22"/>
        <v>TOK_OPTION</v>
      </c>
      <c r="F314" s="3" t="str">
        <f t="shared" si="23"/>
        <v>"OPTION"</v>
      </c>
      <c r="G314" s="3" t="str">
        <f t="shared" si="24"/>
        <v>true</v>
      </c>
    </row>
    <row r="315" spans="1:7" x14ac:dyDescent="0.25">
      <c r="A315" s="3" t="s">
        <v>226</v>
      </c>
      <c r="B315" s="4" t="str">
        <f t="shared" si="25"/>
        <v>371</v>
      </c>
      <c r="C315" s="5" t="str">
        <f t="shared" si="21"/>
        <v>371</v>
      </c>
      <c r="D315" s="3" t="s">
        <v>671</v>
      </c>
      <c r="E315" s="3" t="str">
        <f t="shared" si="22"/>
        <v>TOK_OR</v>
      </c>
      <c r="F315" s="3" t="str">
        <f t="shared" si="23"/>
        <v>"OR"</v>
      </c>
      <c r="G315" s="3" t="str">
        <f t="shared" si="24"/>
        <v>false</v>
      </c>
    </row>
    <row r="316" spans="1:7" x14ac:dyDescent="0.25">
      <c r="A316" s="3" t="s">
        <v>227</v>
      </c>
      <c r="B316" s="4" t="str">
        <f t="shared" si="25"/>
        <v>372</v>
      </c>
      <c r="C316" s="5" t="str">
        <f t="shared" si="21"/>
        <v>372</v>
      </c>
      <c r="D316" s="3" t="s">
        <v>672</v>
      </c>
      <c r="E316" s="3" t="str">
        <f t="shared" si="22"/>
        <v>TOK_ORDER</v>
      </c>
      <c r="F316" s="3" t="str">
        <f t="shared" si="23"/>
        <v>"ORDER"</v>
      </c>
      <c r="G316" s="3" t="str">
        <f t="shared" si="24"/>
        <v>false</v>
      </c>
    </row>
    <row r="317" spans="1:7" x14ac:dyDescent="0.25">
      <c r="A317" s="3" t="s">
        <v>228</v>
      </c>
      <c r="B317" s="4" t="str">
        <f t="shared" si="25"/>
        <v>597</v>
      </c>
      <c r="C317" s="5" t="str">
        <f t="shared" si="21"/>
        <v>597</v>
      </c>
      <c r="D317" s="3" t="s">
        <v>673</v>
      </c>
      <c r="E317" s="3" t="str">
        <f t="shared" si="22"/>
        <v>TOK_OS_NAME</v>
      </c>
      <c r="F317" s="3" t="str">
        <f t="shared" si="23"/>
        <v>"OS_NAME"</v>
      </c>
      <c r="G317" s="3" t="str">
        <f t="shared" si="24"/>
        <v>true</v>
      </c>
    </row>
    <row r="318" spans="1:7" x14ac:dyDescent="0.25">
      <c r="B318" s="4">
        <f t="shared" si="25"/>
        <v>-1</v>
      </c>
      <c r="C318" s="5">
        <v>716</v>
      </c>
      <c r="D318" s="3" t="s">
        <v>674</v>
      </c>
      <c r="E318" s="3" t="str">
        <f t="shared" si="22"/>
        <v>TOK_OTHERS</v>
      </c>
      <c r="F318" s="3" t="str">
        <f t="shared" si="23"/>
        <v>"OTHERS"</v>
      </c>
      <c r="G318" s="3" t="str">
        <f t="shared" si="24"/>
        <v>true</v>
      </c>
    </row>
    <row r="319" spans="1:7" x14ac:dyDescent="0.25">
      <c r="A319" s="3" t="s">
        <v>229</v>
      </c>
      <c r="B319" s="4" t="str">
        <f t="shared" si="25"/>
        <v>373</v>
      </c>
      <c r="C319" s="5" t="str">
        <f t="shared" si="21"/>
        <v>373</v>
      </c>
      <c r="D319" s="3" t="s">
        <v>675</v>
      </c>
      <c r="E319" s="3" t="str">
        <f t="shared" si="22"/>
        <v>TOK_OUTER</v>
      </c>
      <c r="F319" s="3" t="str">
        <f t="shared" si="23"/>
        <v>"OUTER"</v>
      </c>
      <c r="G319" s="3" t="str">
        <f t="shared" si="24"/>
        <v>false</v>
      </c>
    </row>
    <row r="320" spans="1:7" x14ac:dyDescent="0.25">
      <c r="A320" s="3" t="s">
        <v>230</v>
      </c>
      <c r="B320" s="4" t="str">
        <f t="shared" si="25"/>
        <v>374</v>
      </c>
      <c r="C320" s="5" t="str">
        <f t="shared" si="21"/>
        <v>374</v>
      </c>
      <c r="D320" s="3" t="s">
        <v>676</v>
      </c>
      <c r="E320" s="3" t="str">
        <f t="shared" si="22"/>
        <v>TOK_OUTPUT_TYPE</v>
      </c>
      <c r="F320" s="3" t="str">
        <f t="shared" si="23"/>
        <v>"OUTPUT_TYPE"</v>
      </c>
      <c r="G320" s="3" t="str">
        <f t="shared" si="24"/>
        <v>true</v>
      </c>
    </row>
    <row r="321" spans="1:7" x14ac:dyDescent="0.25">
      <c r="A321" s="3" t="s">
        <v>231</v>
      </c>
      <c r="B321" s="4" t="str">
        <f t="shared" si="25"/>
        <v>614</v>
      </c>
      <c r="C321" s="5" t="str">
        <f t="shared" si="21"/>
        <v>614</v>
      </c>
      <c r="D321" s="3" t="s">
        <v>677</v>
      </c>
      <c r="E321" s="3" t="str">
        <f t="shared" si="22"/>
        <v>TOK_OVER</v>
      </c>
      <c r="F321" s="3" t="str">
        <f t="shared" si="23"/>
        <v>"OVER"</v>
      </c>
      <c r="G321" s="3" t="str">
        <f t="shared" si="24"/>
        <v>false</v>
      </c>
    </row>
    <row r="322" spans="1:7" x14ac:dyDescent="0.25">
      <c r="A322" s="3" t="s">
        <v>232</v>
      </c>
      <c r="B322" s="4" t="str">
        <f t="shared" si="25"/>
        <v>375</v>
      </c>
      <c r="C322" s="5" t="str">
        <f t="shared" si="21"/>
        <v>375</v>
      </c>
      <c r="D322" s="3" t="s">
        <v>678</v>
      </c>
      <c r="E322" s="3" t="str">
        <f t="shared" si="22"/>
        <v>TOK_OVERFLOW</v>
      </c>
      <c r="F322" s="3" t="str">
        <f t="shared" si="23"/>
        <v>"OVERFLOW"</v>
      </c>
      <c r="G322" s="3" t="str">
        <f t="shared" si="24"/>
        <v>true</v>
      </c>
    </row>
    <row r="323" spans="1:7" x14ac:dyDescent="0.25">
      <c r="A323" s="3" t="s">
        <v>233</v>
      </c>
      <c r="B323" s="4" t="str">
        <f t="shared" si="25"/>
        <v>566</v>
      </c>
      <c r="C323" s="5" t="str">
        <f t="shared" ref="C323:C385" si="26">IF(B323 = "***", -1, B323)</f>
        <v>566</v>
      </c>
      <c r="D323" s="3" t="s">
        <v>679</v>
      </c>
      <c r="E323" s="3" t="str">
        <f t="shared" si="22"/>
        <v>TOK_OVERLAY</v>
      </c>
      <c r="F323" s="3" t="str">
        <f t="shared" si="23"/>
        <v>"OVERLAY"</v>
      </c>
      <c r="G323" s="3" t="str">
        <f t="shared" si="24"/>
        <v>true</v>
      </c>
    </row>
    <row r="324" spans="1:7" x14ac:dyDescent="0.25">
      <c r="B324" s="4">
        <f t="shared" si="25"/>
        <v>-1</v>
      </c>
      <c r="C324" s="5">
        <v>717</v>
      </c>
      <c r="D324" s="3" t="s">
        <v>680</v>
      </c>
      <c r="E324" s="3" t="str">
        <f t="shared" si="22"/>
        <v>TOK_OVERRIDING</v>
      </c>
      <c r="F324" s="3" t="str">
        <f t="shared" si="23"/>
        <v>"OVERRIDING"</v>
      </c>
      <c r="G324" s="3" t="str">
        <f t="shared" si="24"/>
        <v>true</v>
      </c>
    </row>
    <row r="325" spans="1:7" x14ac:dyDescent="0.25">
      <c r="A325" s="3" t="s">
        <v>234</v>
      </c>
      <c r="B325" s="4" t="str">
        <f t="shared" si="25"/>
        <v>615</v>
      </c>
      <c r="C325" s="5" t="str">
        <f t="shared" si="26"/>
        <v>615</v>
      </c>
      <c r="D325" s="3" t="s">
        <v>681</v>
      </c>
      <c r="E325" s="3" t="str">
        <f t="shared" si="22"/>
        <v>TOK_PACKAGE</v>
      </c>
      <c r="F325" s="3" t="str">
        <f t="shared" si="23"/>
        <v>"PACKAGE"</v>
      </c>
      <c r="G325" s="3" t="str">
        <f t="shared" si="24"/>
        <v>true</v>
      </c>
    </row>
    <row r="326" spans="1:7" x14ac:dyDescent="0.25">
      <c r="A326" s="3" t="s">
        <v>235</v>
      </c>
      <c r="B326" s="4" t="str">
        <f t="shared" si="25"/>
        <v>567</v>
      </c>
      <c r="C326" s="5" t="str">
        <f t="shared" si="26"/>
        <v>567</v>
      </c>
      <c r="D326" s="3" t="s">
        <v>682</v>
      </c>
      <c r="E326" s="3" t="str">
        <f t="shared" si="22"/>
        <v>TOK_PAD</v>
      </c>
      <c r="F326" s="3" t="str">
        <f t="shared" si="23"/>
        <v>"PAD"</v>
      </c>
      <c r="G326" s="3" t="str">
        <f t="shared" si="24"/>
        <v>true</v>
      </c>
    </row>
    <row r="327" spans="1:7" x14ac:dyDescent="0.25">
      <c r="A327" s="3" t="s">
        <v>236</v>
      </c>
      <c r="B327" s="4" t="str">
        <f t="shared" si="25"/>
        <v>376</v>
      </c>
      <c r="C327" s="5" t="str">
        <f t="shared" si="26"/>
        <v>376</v>
      </c>
      <c r="D327" s="3" t="s">
        <v>683</v>
      </c>
      <c r="E327" s="3" t="str">
        <f t="shared" si="22"/>
        <v>TOK_PAGE</v>
      </c>
      <c r="F327" s="3" t="str">
        <f t="shared" si="23"/>
        <v>"PAGE"</v>
      </c>
      <c r="G327" s="3" t="str">
        <f t="shared" si="24"/>
        <v>true</v>
      </c>
    </row>
    <row r="328" spans="1:7" x14ac:dyDescent="0.25">
      <c r="A328" s="3" t="s">
        <v>943</v>
      </c>
      <c r="B328" s="4" t="str">
        <f t="shared" si="25"/>
        <v>378</v>
      </c>
      <c r="C328" s="5" t="str">
        <f t="shared" si="26"/>
        <v>378</v>
      </c>
      <c r="D328" s="3" t="s">
        <v>684</v>
      </c>
      <c r="E328" s="3" t="str">
        <f t="shared" si="22"/>
        <v>TOK_PAGE_SIZE</v>
      </c>
      <c r="F328" s="3" t="str">
        <f t="shared" si="23"/>
        <v>"PAGE_SIZE"</v>
      </c>
      <c r="G328" s="3" t="str">
        <f t="shared" si="24"/>
        <v>true</v>
      </c>
    </row>
    <row r="329" spans="1:7" x14ac:dyDescent="0.25">
      <c r="A329" s="3" t="s">
        <v>237</v>
      </c>
      <c r="B329" s="4" t="str">
        <f t="shared" si="25"/>
        <v>377</v>
      </c>
      <c r="C329" s="5" t="str">
        <f t="shared" si="26"/>
        <v>377</v>
      </c>
      <c r="D329" s="3" t="s">
        <v>685</v>
      </c>
      <c r="E329" s="3" t="str">
        <f t="shared" ref="E329:E392" si="27">TRIM(MID(D329, 1, SEARCH(",",D329) - 1))</f>
        <v>TOK_PAGES</v>
      </c>
      <c r="F329" s="3" t="str">
        <f t="shared" si="23"/>
        <v>"PAGES"</v>
      </c>
      <c r="G329" s="3" t="str">
        <f t="shared" si="24"/>
        <v>true</v>
      </c>
    </row>
    <row r="330" spans="1:7" x14ac:dyDescent="0.25">
      <c r="A330" s="3" t="s">
        <v>238</v>
      </c>
      <c r="B330" s="4" t="str">
        <f t="shared" si="25"/>
        <v>379</v>
      </c>
      <c r="C330" s="5" t="str">
        <f t="shared" si="26"/>
        <v>379</v>
      </c>
      <c r="D330" s="3" t="s">
        <v>686</v>
      </c>
      <c r="E330" s="3" t="str">
        <f t="shared" si="27"/>
        <v>TOK_PARAMETER</v>
      </c>
      <c r="F330" s="3" t="str">
        <f t="shared" si="23"/>
        <v>"PARAMETER"</v>
      </c>
      <c r="G330" s="3" t="str">
        <f t="shared" si="24"/>
        <v>false</v>
      </c>
    </row>
    <row r="331" spans="1:7" x14ac:dyDescent="0.25">
      <c r="B331" s="4">
        <f t="shared" si="25"/>
        <v>-1</v>
      </c>
      <c r="C331" s="5">
        <v>718</v>
      </c>
      <c r="D331" s="3" t="s">
        <v>687</v>
      </c>
      <c r="E331" s="3" t="str">
        <f t="shared" si="27"/>
        <v>TOK_PAREN_CLOSE</v>
      </c>
      <c r="F331" s="3" t="str">
        <f t="shared" si="23"/>
        <v>")"</v>
      </c>
      <c r="G331" s="3" t="str">
        <f t="shared" si="24"/>
        <v>false</v>
      </c>
    </row>
    <row r="332" spans="1:7" x14ac:dyDescent="0.25">
      <c r="B332" s="4">
        <f t="shared" si="25"/>
        <v>-1</v>
      </c>
      <c r="C332" s="5">
        <v>719</v>
      </c>
      <c r="D332" s="3" t="s">
        <v>688</v>
      </c>
      <c r="E332" s="3" t="str">
        <f t="shared" si="27"/>
        <v>TOK_PAREN_OPEN</v>
      </c>
      <c r="F332" s="3" t="str">
        <f t="shared" si="23"/>
        <v>"("</v>
      </c>
      <c r="G332" s="3" t="str">
        <f t="shared" si="24"/>
        <v>false</v>
      </c>
    </row>
    <row r="333" spans="1:7" x14ac:dyDescent="0.25">
      <c r="A333" s="3" t="s">
        <v>239</v>
      </c>
      <c r="B333" s="4" t="str">
        <f t="shared" si="25"/>
        <v>616</v>
      </c>
      <c r="C333" s="5" t="str">
        <f t="shared" si="26"/>
        <v>616</v>
      </c>
      <c r="D333" s="3" t="s">
        <v>689</v>
      </c>
      <c r="E333" s="3" t="str">
        <f t="shared" si="27"/>
        <v>TOK_PARTITION</v>
      </c>
      <c r="F333" s="3" t="str">
        <f t="shared" ref="F333:F396" si="28">TRIM(MID(D333, SEARCH(",",D333) + 1, SEARCH(",",D333,SEARCH(",",D333)+1) - SEARCH(",",D333) - 1))</f>
        <v>"PARTITION"</v>
      </c>
      <c r="G333" s="3" t="str">
        <f t="shared" ref="G333:G396" si="29">TRIM(MID(D333, FIND("#",SUBSTITUTE(D333,",","#",2))+1,99))</f>
        <v>true</v>
      </c>
    </row>
    <row r="334" spans="1:7" x14ac:dyDescent="0.25">
      <c r="A334" s="3" t="s">
        <v>240</v>
      </c>
      <c r="B334" s="4" t="str">
        <f t="shared" si="25"/>
        <v>380</v>
      </c>
      <c r="C334" s="5" t="str">
        <f t="shared" si="26"/>
        <v>380</v>
      </c>
      <c r="D334" s="3" t="s">
        <v>690</v>
      </c>
      <c r="E334" s="3" t="str">
        <f t="shared" si="27"/>
        <v>TOK_PASSWORD</v>
      </c>
      <c r="F334" s="3" t="str">
        <f t="shared" si="28"/>
        <v>"PASSWORD"</v>
      </c>
      <c r="G334" s="3" t="str">
        <f t="shared" si="29"/>
        <v>true</v>
      </c>
    </row>
    <row r="335" spans="1:7" x14ac:dyDescent="0.25">
      <c r="B335" s="4">
        <f t="shared" si="25"/>
        <v>-1</v>
      </c>
      <c r="C335" s="5">
        <v>720</v>
      </c>
      <c r="D335" s="3" t="s">
        <v>691</v>
      </c>
      <c r="E335" s="3" t="str">
        <f t="shared" si="27"/>
        <v>TOK_PERCENT_RANK</v>
      </c>
      <c r="F335" s="3" t="str">
        <f t="shared" si="28"/>
        <v>"PERCENT_RANK"</v>
      </c>
      <c r="G335" s="3" t="str">
        <f t="shared" si="29"/>
        <v>true</v>
      </c>
    </row>
    <row r="336" spans="1:7" x14ac:dyDescent="0.25">
      <c r="A336" s="3" t="s">
        <v>241</v>
      </c>
      <c r="B336" s="4" t="str">
        <f t="shared" si="25"/>
        <v>568</v>
      </c>
      <c r="C336" s="5" t="str">
        <f t="shared" si="26"/>
        <v>568</v>
      </c>
      <c r="D336" s="3" t="s">
        <v>692</v>
      </c>
      <c r="E336" s="3" t="str">
        <f t="shared" si="27"/>
        <v>TOK_PI</v>
      </c>
      <c r="F336" s="3" t="str">
        <f t="shared" si="28"/>
        <v>"PI"</v>
      </c>
      <c r="G336" s="3" t="str">
        <f t="shared" si="29"/>
        <v>true</v>
      </c>
    </row>
    <row r="337" spans="1:7" x14ac:dyDescent="0.25">
      <c r="B337" s="4">
        <f t="shared" si="25"/>
        <v>-1</v>
      </c>
      <c r="C337" s="5">
        <v>721</v>
      </c>
      <c r="D337" s="3" t="s">
        <v>693</v>
      </c>
      <c r="E337" s="3" t="str">
        <f t="shared" si="27"/>
        <v>TOK_PKCS_1_5</v>
      </c>
      <c r="F337" s="3" t="str">
        <f t="shared" si="28"/>
        <v>"PKCS_1_5"</v>
      </c>
      <c r="G337" s="3" t="str">
        <f t="shared" si="29"/>
        <v>true</v>
      </c>
    </row>
    <row r="338" spans="1:7" x14ac:dyDescent="0.25">
      <c r="A338" s="3" t="s">
        <v>242</v>
      </c>
      <c r="B338" s="4" t="str">
        <f t="shared" si="25"/>
        <v>569</v>
      </c>
      <c r="C338" s="5" t="str">
        <f t="shared" si="26"/>
        <v>569</v>
      </c>
      <c r="D338" s="3" t="s">
        <v>694</v>
      </c>
      <c r="E338" s="3" t="str">
        <f t="shared" si="27"/>
        <v>TOK_PLACING</v>
      </c>
      <c r="F338" s="3" t="str">
        <f t="shared" si="28"/>
        <v>"PLACING"</v>
      </c>
      <c r="G338" s="3" t="str">
        <f t="shared" si="29"/>
        <v>true</v>
      </c>
    </row>
    <row r="339" spans="1:7" x14ac:dyDescent="0.25">
      <c r="A339" s="3" t="s">
        <v>243</v>
      </c>
      <c r="B339" s="4" t="str">
        <f t="shared" si="25"/>
        <v>381</v>
      </c>
      <c r="C339" s="5" t="str">
        <f t="shared" si="26"/>
        <v>381</v>
      </c>
      <c r="D339" s="3" t="s">
        <v>695</v>
      </c>
      <c r="E339" s="3" t="str">
        <f t="shared" si="27"/>
        <v>TOK_PLAN</v>
      </c>
      <c r="F339" s="3" t="str">
        <f t="shared" si="28"/>
        <v>"PLAN"</v>
      </c>
      <c r="G339" s="3" t="str">
        <f t="shared" si="29"/>
        <v>false</v>
      </c>
    </row>
    <row r="340" spans="1:7" x14ac:dyDescent="0.25">
      <c r="B340" s="4">
        <f t="shared" si="25"/>
        <v>-1</v>
      </c>
      <c r="C340" s="5">
        <v>722</v>
      </c>
      <c r="D340" s="3" t="s">
        <v>696</v>
      </c>
      <c r="E340" s="3" t="str">
        <f t="shared" si="27"/>
        <v>TOK_PLUGIN</v>
      </c>
      <c r="F340" s="3" t="str">
        <f t="shared" si="28"/>
        <v>"PLUGIN"</v>
      </c>
      <c r="G340" s="3" t="str">
        <f t="shared" si="29"/>
        <v>true</v>
      </c>
    </row>
    <row r="341" spans="1:7" x14ac:dyDescent="0.25">
      <c r="B341" s="4">
        <f t="shared" si="25"/>
        <v>-1</v>
      </c>
      <c r="C341" s="5">
        <v>723</v>
      </c>
      <c r="D341" s="3" t="s">
        <v>697</v>
      </c>
      <c r="E341" s="3" t="str">
        <f t="shared" si="27"/>
        <v>TOK_POOL</v>
      </c>
      <c r="F341" s="3" t="str">
        <f t="shared" si="28"/>
        <v>"POOL"</v>
      </c>
      <c r="G341" s="3" t="str">
        <f t="shared" si="29"/>
        <v>true</v>
      </c>
    </row>
    <row r="342" spans="1:7" x14ac:dyDescent="0.25">
      <c r="A342" s="3" t="s">
        <v>244</v>
      </c>
      <c r="B342" s="4" t="str">
        <f t="shared" si="25"/>
        <v>382</v>
      </c>
      <c r="C342" s="5" t="str">
        <f t="shared" si="26"/>
        <v>382</v>
      </c>
      <c r="D342" s="3" t="s">
        <v>698</v>
      </c>
      <c r="E342" s="3" t="str">
        <f t="shared" si="27"/>
        <v>TOK_POSITION</v>
      </c>
      <c r="F342" s="3" t="str">
        <f t="shared" si="28"/>
        <v>"POSITION"</v>
      </c>
      <c r="G342" s="3" t="str">
        <f t="shared" si="29"/>
        <v>false</v>
      </c>
    </row>
    <row r="343" spans="1:7" x14ac:dyDescent="0.25">
      <c r="A343" s="3" t="s">
        <v>245</v>
      </c>
      <c r="B343" s="4" t="str">
        <f t="shared" si="25"/>
        <v>383</v>
      </c>
      <c r="C343" s="5" t="str">
        <f t="shared" si="26"/>
        <v>383</v>
      </c>
      <c r="D343" s="3" t="s">
        <v>699</v>
      </c>
      <c r="E343" s="3" t="str">
        <f t="shared" si="27"/>
        <v>TOK_POST_EVENT</v>
      </c>
      <c r="F343" s="3" t="str">
        <f t="shared" si="28"/>
        <v>"POST_EVENT"</v>
      </c>
      <c r="G343" s="3" t="str">
        <f t="shared" si="29"/>
        <v>false</v>
      </c>
    </row>
    <row r="344" spans="1:7" x14ac:dyDescent="0.25">
      <c r="A344" s="3" t="s">
        <v>246</v>
      </c>
      <c r="B344" s="4" t="str">
        <f t="shared" si="25"/>
        <v>570</v>
      </c>
      <c r="C344" s="5" t="str">
        <f t="shared" si="26"/>
        <v>570</v>
      </c>
      <c r="D344" s="3" t="s">
        <v>700</v>
      </c>
      <c r="E344" s="3" t="str">
        <f t="shared" si="27"/>
        <v>TOK_POWER</v>
      </c>
      <c r="F344" s="3" t="str">
        <f t="shared" si="28"/>
        <v>"POWER"</v>
      </c>
      <c r="G344" s="3" t="str">
        <f t="shared" si="29"/>
        <v>true</v>
      </c>
    </row>
    <row r="345" spans="1:7" x14ac:dyDescent="0.25">
      <c r="B345" s="4">
        <f t="shared" si="25"/>
        <v>-1</v>
      </c>
      <c r="C345" s="5">
        <v>724</v>
      </c>
      <c r="D345" s="3" t="s">
        <v>701</v>
      </c>
      <c r="E345" s="3" t="str">
        <f t="shared" si="27"/>
        <v>TOK_PRECEDING</v>
      </c>
      <c r="F345" s="3" t="str">
        <f t="shared" si="28"/>
        <v>"PRECEDING"</v>
      </c>
      <c r="G345" s="3" t="str">
        <f t="shared" si="29"/>
        <v>true</v>
      </c>
    </row>
    <row r="346" spans="1:7" x14ac:dyDescent="0.25">
      <c r="A346" s="3" t="s">
        <v>247</v>
      </c>
      <c r="B346" s="4" t="str">
        <f t="shared" si="25"/>
        <v>384</v>
      </c>
      <c r="C346" s="5" t="str">
        <f t="shared" si="26"/>
        <v>384</v>
      </c>
      <c r="D346" s="3" t="s">
        <v>702</v>
      </c>
      <c r="E346" s="3" t="str">
        <f t="shared" si="27"/>
        <v>TOK_PRECISION</v>
      </c>
      <c r="F346" s="3" t="str">
        <f t="shared" si="28"/>
        <v>"PRECISION"</v>
      </c>
      <c r="G346" s="3" t="str">
        <f t="shared" si="29"/>
        <v>false</v>
      </c>
    </row>
    <row r="347" spans="1:7" x14ac:dyDescent="0.25">
      <c r="A347" s="3" t="s">
        <v>248</v>
      </c>
      <c r="B347" s="4" t="str">
        <f t="shared" si="25"/>
        <v>571</v>
      </c>
      <c r="C347" s="5" t="str">
        <f t="shared" si="26"/>
        <v>571</v>
      </c>
      <c r="D347" s="3" t="s">
        <v>703</v>
      </c>
      <c r="E347" s="3" t="str">
        <f t="shared" si="27"/>
        <v>TOK_PRESERVE</v>
      </c>
      <c r="F347" s="3" t="str">
        <f t="shared" si="28"/>
        <v>"PRESERVE"</v>
      </c>
      <c r="G347" s="3" t="str">
        <f t="shared" si="29"/>
        <v>true</v>
      </c>
    </row>
    <row r="348" spans="1:7" x14ac:dyDescent="0.25">
      <c r="A348" s="3" t="s">
        <v>249</v>
      </c>
      <c r="B348" s="4" t="str">
        <f t="shared" si="25"/>
        <v>385</v>
      </c>
      <c r="C348" s="5" t="str">
        <f t="shared" si="26"/>
        <v>385</v>
      </c>
      <c r="D348" s="3" t="s">
        <v>704</v>
      </c>
      <c r="E348" s="3" t="str">
        <f t="shared" si="27"/>
        <v>TOK_PRIMARY</v>
      </c>
      <c r="F348" s="3" t="str">
        <f t="shared" si="28"/>
        <v>"PRIMARY"</v>
      </c>
      <c r="G348" s="3" t="str">
        <f t="shared" si="29"/>
        <v>false</v>
      </c>
    </row>
    <row r="349" spans="1:7" x14ac:dyDescent="0.25">
      <c r="A349" s="3" t="s">
        <v>250</v>
      </c>
      <c r="B349" s="4" t="str">
        <f t="shared" si="25"/>
        <v>620</v>
      </c>
      <c r="C349" s="5" t="str">
        <f t="shared" si="26"/>
        <v>620</v>
      </c>
      <c r="D349" s="3" t="s">
        <v>705</v>
      </c>
      <c r="E349" s="3" t="str">
        <f t="shared" si="27"/>
        <v>TOK_PRIOR</v>
      </c>
      <c r="F349" s="3" t="str">
        <f t="shared" si="28"/>
        <v>"PRIOR"</v>
      </c>
      <c r="G349" s="3" t="str">
        <f t="shared" si="29"/>
        <v>true</v>
      </c>
    </row>
    <row r="350" spans="1:7" x14ac:dyDescent="0.25">
      <c r="B350" s="4">
        <f t="shared" si="25"/>
        <v>-1</v>
      </c>
      <c r="C350" s="5">
        <v>725</v>
      </c>
      <c r="D350" s="3" t="s">
        <v>706</v>
      </c>
      <c r="E350" s="3" t="str">
        <f t="shared" si="27"/>
        <v>TOK_PRIVILEGE</v>
      </c>
      <c r="F350" s="3" t="str">
        <f t="shared" si="28"/>
        <v>"PRIVILEGE"</v>
      </c>
      <c r="G350" s="3" t="str">
        <f t="shared" si="29"/>
        <v>true</v>
      </c>
    </row>
    <row r="351" spans="1:7" x14ac:dyDescent="0.25">
      <c r="A351" s="3" t="s">
        <v>251</v>
      </c>
      <c r="B351" s="4" t="str">
        <f t="shared" si="25"/>
        <v>386</v>
      </c>
      <c r="C351" s="5" t="str">
        <f t="shared" si="26"/>
        <v>386</v>
      </c>
      <c r="D351" s="3" t="s">
        <v>707</v>
      </c>
      <c r="E351" s="3" t="str">
        <f t="shared" si="27"/>
        <v>TOK_PRIVILEGES</v>
      </c>
      <c r="F351" s="3" t="str">
        <f t="shared" si="28"/>
        <v>"PRIVILEGES"</v>
      </c>
      <c r="G351" s="3" t="str">
        <f t="shared" si="29"/>
        <v>true</v>
      </c>
    </row>
    <row r="352" spans="1:7" x14ac:dyDescent="0.25">
      <c r="A352" s="3" t="s">
        <v>252</v>
      </c>
      <c r="B352" s="4" t="str">
        <f t="shared" si="25"/>
        <v>387</v>
      </c>
      <c r="C352" s="5" t="str">
        <f t="shared" si="26"/>
        <v>387</v>
      </c>
      <c r="D352" s="3" t="s">
        <v>708</v>
      </c>
      <c r="E352" s="3" t="str">
        <f t="shared" si="27"/>
        <v>TOK_PROCEDURE</v>
      </c>
      <c r="F352" s="3" t="str">
        <f t="shared" si="28"/>
        <v>"PROCEDURE"</v>
      </c>
      <c r="G352" s="3" t="str">
        <f t="shared" si="29"/>
        <v>false</v>
      </c>
    </row>
    <row r="353" spans="1:7" x14ac:dyDescent="0.25">
      <c r="A353" s="3" t="s">
        <v>253</v>
      </c>
      <c r="B353" s="4" t="str">
        <f t="shared" ref="B353:B416" si="30">IF(A353 = "", -1,TRIM(MID(A353, SEARCH(" ",A353) + 1, 99)))</f>
        <v>388</v>
      </c>
      <c r="C353" s="5" t="str">
        <f t="shared" si="26"/>
        <v>388</v>
      </c>
      <c r="D353" s="3" t="s">
        <v>709</v>
      </c>
      <c r="E353" s="3" t="str">
        <f t="shared" si="27"/>
        <v>TOK_PROTECTED</v>
      </c>
      <c r="F353" s="3" t="str">
        <f t="shared" si="28"/>
        <v>"PROTECTED"</v>
      </c>
      <c r="G353" s="3" t="str">
        <f t="shared" si="29"/>
        <v>true</v>
      </c>
    </row>
    <row r="354" spans="1:7" x14ac:dyDescent="0.25">
      <c r="B354" s="4">
        <f t="shared" si="30"/>
        <v>-1</v>
      </c>
      <c r="C354" s="5">
        <v>726</v>
      </c>
      <c r="D354" s="3" t="s">
        <v>710</v>
      </c>
      <c r="E354" s="3" t="str">
        <f t="shared" si="27"/>
        <v>TOK_PUBLICATION</v>
      </c>
      <c r="F354" s="3" t="str">
        <f t="shared" si="28"/>
        <v>"PUBLICATION"</v>
      </c>
      <c r="G354" s="3" t="str">
        <f t="shared" si="29"/>
        <v>false</v>
      </c>
    </row>
    <row r="355" spans="1:7" x14ac:dyDescent="0.25">
      <c r="B355" s="4">
        <f t="shared" si="30"/>
        <v>-1</v>
      </c>
      <c r="C355" s="5">
        <v>727</v>
      </c>
      <c r="D355" s="3" t="s">
        <v>711</v>
      </c>
      <c r="E355" s="3" t="str">
        <f t="shared" si="27"/>
        <v>TOK_QUANTIZE</v>
      </c>
      <c r="F355" s="3" t="str">
        <f t="shared" si="28"/>
        <v>"QUANTIZE"</v>
      </c>
      <c r="G355" s="3" t="str">
        <f t="shared" si="29"/>
        <v>true</v>
      </c>
    </row>
    <row r="356" spans="1:7" x14ac:dyDescent="0.25">
      <c r="A356" s="3" t="s">
        <v>254</v>
      </c>
      <c r="B356" s="4" t="str">
        <f t="shared" si="30"/>
        <v>572</v>
      </c>
      <c r="C356" s="5" t="str">
        <f t="shared" si="26"/>
        <v>572</v>
      </c>
      <c r="D356" s="3" t="s">
        <v>712</v>
      </c>
      <c r="E356" s="3" t="str">
        <f t="shared" si="27"/>
        <v>TOK_RAND</v>
      </c>
      <c r="F356" s="3" t="str">
        <f t="shared" si="28"/>
        <v>"RAND"</v>
      </c>
      <c r="G356" s="3" t="str">
        <f t="shared" si="29"/>
        <v>true</v>
      </c>
    </row>
    <row r="357" spans="1:7" x14ac:dyDescent="0.25">
      <c r="B357" s="4">
        <f t="shared" si="30"/>
        <v>-1</v>
      </c>
      <c r="C357" s="5">
        <v>728</v>
      </c>
      <c r="D357" s="3" t="s">
        <v>713</v>
      </c>
      <c r="E357" s="3" t="str">
        <f t="shared" si="27"/>
        <v>TOK_RANGE</v>
      </c>
      <c r="F357" s="3" t="str">
        <f t="shared" si="28"/>
        <v>"RANGE"</v>
      </c>
      <c r="G357" s="3" t="str">
        <f t="shared" si="29"/>
        <v>true</v>
      </c>
    </row>
    <row r="358" spans="1:7" x14ac:dyDescent="0.25">
      <c r="A358" s="3" t="s">
        <v>255</v>
      </c>
      <c r="B358" s="4" t="str">
        <f t="shared" si="30"/>
        <v>635</v>
      </c>
      <c r="C358" s="5" t="str">
        <f t="shared" si="26"/>
        <v>635</v>
      </c>
      <c r="D358" s="3" t="s">
        <v>714</v>
      </c>
      <c r="E358" s="3" t="str">
        <f t="shared" si="27"/>
        <v>TOK_RANK</v>
      </c>
      <c r="F358" s="3" t="str">
        <f t="shared" si="28"/>
        <v>"RANK"</v>
      </c>
      <c r="G358" s="3" t="str">
        <f t="shared" si="29"/>
        <v>true</v>
      </c>
    </row>
    <row r="359" spans="1:7" x14ac:dyDescent="0.25">
      <c r="B359" s="4">
        <f t="shared" si="30"/>
        <v>-1</v>
      </c>
      <c r="C359" s="5">
        <v>729</v>
      </c>
      <c r="D359" s="3" t="s">
        <v>715</v>
      </c>
      <c r="E359" s="3" t="str">
        <f t="shared" si="27"/>
        <v>TOK_RDB_ERROR</v>
      </c>
      <c r="F359" s="3" t="str">
        <f t="shared" si="28"/>
        <v>"RDB$ERROR"</v>
      </c>
      <c r="G359" s="3" t="str">
        <f t="shared" si="29"/>
        <v>false</v>
      </c>
    </row>
    <row r="360" spans="1:7" x14ac:dyDescent="0.25">
      <c r="A360" s="3" t="s">
        <v>256</v>
      </c>
      <c r="B360" s="4" t="str">
        <f t="shared" si="30"/>
        <v>617</v>
      </c>
      <c r="C360" s="5" t="str">
        <f t="shared" si="26"/>
        <v>617</v>
      </c>
      <c r="D360" s="3" t="s">
        <v>716</v>
      </c>
      <c r="E360" s="3" t="str">
        <f t="shared" si="27"/>
        <v>TOK_RDB_GET_CONTEXT</v>
      </c>
      <c r="F360" s="3" t="str">
        <f t="shared" si="28"/>
        <v>"RDB$GET_CONTEXT"</v>
      </c>
      <c r="G360" s="3" t="str">
        <f t="shared" si="29"/>
        <v>false</v>
      </c>
    </row>
    <row r="361" spans="1:7" x14ac:dyDescent="0.25">
      <c r="B361" s="4">
        <f t="shared" si="30"/>
        <v>-1</v>
      </c>
      <c r="C361" s="5">
        <v>730</v>
      </c>
      <c r="D361" s="3" t="s">
        <v>717</v>
      </c>
      <c r="E361" s="3" t="str">
        <f t="shared" si="27"/>
        <v>TOK_RDB_GET_TRANSACTION_CN</v>
      </c>
      <c r="F361" s="3" t="str">
        <f t="shared" si="28"/>
        <v>"RDB$GET_TRANSACTION_CN"</v>
      </c>
      <c r="G361" s="3" t="str">
        <f t="shared" si="29"/>
        <v>false</v>
      </c>
    </row>
    <row r="362" spans="1:7" x14ac:dyDescent="0.25">
      <c r="A362" s="3" t="s">
        <v>257</v>
      </c>
      <c r="B362" s="4" t="str">
        <f t="shared" si="30"/>
        <v>643</v>
      </c>
      <c r="C362" s="5" t="str">
        <f t="shared" si="26"/>
        <v>643</v>
      </c>
      <c r="D362" s="3" t="s">
        <v>718</v>
      </c>
      <c r="E362" s="3" t="str">
        <f t="shared" si="27"/>
        <v>TOK_RDB_RECORD_VERSION</v>
      </c>
      <c r="F362" s="3" t="str">
        <f t="shared" si="28"/>
        <v>"RDB$RECORD_VERSION"</v>
      </c>
      <c r="G362" s="3" t="str">
        <f t="shared" si="29"/>
        <v>false</v>
      </c>
    </row>
    <row r="363" spans="1:7" x14ac:dyDescent="0.25">
      <c r="B363" s="4">
        <f t="shared" si="30"/>
        <v>-1</v>
      </c>
      <c r="C363" s="5">
        <v>731</v>
      </c>
      <c r="D363" s="3" t="s">
        <v>719</v>
      </c>
      <c r="E363" s="3" t="str">
        <f t="shared" si="27"/>
        <v>TOK_RDB_ROLE_IN_USE</v>
      </c>
      <c r="F363" s="3" t="str">
        <f t="shared" si="28"/>
        <v>"RDB$ROLE_IN_USE"</v>
      </c>
      <c r="G363" s="3" t="str">
        <f t="shared" si="29"/>
        <v>false</v>
      </c>
    </row>
    <row r="364" spans="1:7" x14ac:dyDescent="0.25">
      <c r="A364" s="3" t="s">
        <v>258</v>
      </c>
      <c r="B364" s="4" t="str">
        <f t="shared" si="30"/>
        <v>618</v>
      </c>
      <c r="C364" s="5" t="str">
        <f t="shared" si="26"/>
        <v>618</v>
      </c>
      <c r="D364" s="3" t="s">
        <v>720</v>
      </c>
      <c r="E364" s="3" t="str">
        <f t="shared" si="27"/>
        <v>TOK_RDB_SET_CONTEXT</v>
      </c>
      <c r="F364" s="3" t="str">
        <f t="shared" si="28"/>
        <v>"RDB$SET_CONTEXT"</v>
      </c>
      <c r="G364" s="3" t="str">
        <f t="shared" si="29"/>
        <v>false</v>
      </c>
    </row>
    <row r="365" spans="1:7" x14ac:dyDescent="0.25">
      <c r="B365" s="4">
        <f t="shared" si="30"/>
        <v>-1</v>
      </c>
      <c r="C365" s="5">
        <v>732</v>
      </c>
      <c r="D365" s="3" t="s">
        <v>721</v>
      </c>
      <c r="E365" s="3" t="str">
        <f t="shared" si="27"/>
        <v>TOK_RDB_SYSTEM_PRIVILEGE</v>
      </c>
      <c r="F365" s="3" t="str">
        <f t="shared" si="28"/>
        <v>"RDB$SYSTEM_PRIVILEGE"</v>
      </c>
      <c r="G365" s="3" t="str">
        <f t="shared" si="29"/>
        <v>false</v>
      </c>
    </row>
    <row r="366" spans="1:7" x14ac:dyDescent="0.25">
      <c r="A366" s="3" t="s">
        <v>259</v>
      </c>
      <c r="B366" s="4" t="str">
        <f t="shared" si="30"/>
        <v>389</v>
      </c>
      <c r="C366" s="5" t="str">
        <f t="shared" si="26"/>
        <v>389</v>
      </c>
      <c r="D366" s="3" t="s">
        <v>722</v>
      </c>
      <c r="E366" s="3" t="str">
        <f t="shared" si="27"/>
        <v>TOK_READ</v>
      </c>
      <c r="F366" s="3" t="str">
        <f t="shared" si="28"/>
        <v>"READ"</v>
      </c>
      <c r="G366" s="3" t="str">
        <f t="shared" si="29"/>
        <v>true</v>
      </c>
    </row>
    <row r="367" spans="1:7" x14ac:dyDescent="0.25">
      <c r="A367" s="3" t="s">
        <v>260</v>
      </c>
      <c r="B367" s="4" t="str">
        <f t="shared" si="30"/>
        <v>390</v>
      </c>
      <c r="C367" s="5" t="str">
        <f t="shared" si="26"/>
        <v>390</v>
      </c>
      <c r="D367" s="3" t="s">
        <v>723</v>
      </c>
      <c r="E367" s="3" t="str">
        <f t="shared" si="27"/>
        <v>TOK_REAL</v>
      </c>
      <c r="F367" s="3" t="str">
        <f t="shared" si="28"/>
        <v>"REAL"</v>
      </c>
      <c r="G367" s="3" t="str">
        <f t="shared" si="29"/>
        <v>false</v>
      </c>
    </row>
    <row r="368" spans="1:7" x14ac:dyDescent="0.25">
      <c r="A368" s="3" t="s">
        <v>261</v>
      </c>
      <c r="B368" s="4" t="str">
        <f t="shared" si="30"/>
        <v>473</v>
      </c>
      <c r="C368" s="5" t="str">
        <f t="shared" si="26"/>
        <v>473</v>
      </c>
      <c r="D368" s="3" t="s">
        <v>724</v>
      </c>
      <c r="E368" s="3" t="str">
        <f t="shared" si="27"/>
        <v>TOK_RECREATE</v>
      </c>
      <c r="F368" s="3" t="str">
        <f t="shared" si="28"/>
        <v>"RECREATE"</v>
      </c>
      <c r="G368" s="3" t="str">
        <f t="shared" si="29"/>
        <v>false</v>
      </c>
    </row>
    <row r="369" spans="1:9" x14ac:dyDescent="0.25">
      <c r="A369" s="3" t="s">
        <v>262</v>
      </c>
      <c r="B369" s="4" t="str">
        <f t="shared" si="30"/>
        <v>573</v>
      </c>
      <c r="C369" s="5" t="str">
        <f t="shared" si="26"/>
        <v>573</v>
      </c>
      <c r="D369" s="3" t="s">
        <v>725</v>
      </c>
      <c r="E369" s="3" t="str">
        <f t="shared" si="27"/>
        <v>TOK_RECURSIVE</v>
      </c>
      <c r="F369" s="3" t="str">
        <f t="shared" si="28"/>
        <v>"RECURSIVE"</v>
      </c>
      <c r="G369" s="3" t="str">
        <f t="shared" si="29"/>
        <v>false</v>
      </c>
    </row>
    <row r="370" spans="1:9" x14ac:dyDescent="0.25">
      <c r="A370" s="3" t="s">
        <v>263</v>
      </c>
      <c r="B370" s="4" t="str">
        <f t="shared" si="30"/>
        <v>391</v>
      </c>
      <c r="C370" s="5" t="str">
        <f t="shared" si="26"/>
        <v>391</v>
      </c>
      <c r="D370" s="3" t="s">
        <v>726</v>
      </c>
      <c r="E370" s="3" t="str">
        <f t="shared" si="27"/>
        <v>TOK_REFERENCES</v>
      </c>
      <c r="F370" s="3" t="str">
        <f t="shared" si="28"/>
        <v>"REFERENCES"</v>
      </c>
      <c r="G370" s="3" t="str">
        <f t="shared" si="29"/>
        <v>false</v>
      </c>
      <c r="I370" t="s">
        <v>373</v>
      </c>
    </row>
    <row r="371" spans="1:9" x14ac:dyDescent="0.25">
      <c r="B371" s="4">
        <f t="shared" si="30"/>
        <v>-1</v>
      </c>
      <c r="C371" s="5">
        <v>733</v>
      </c>
      <c r="D371" s="3" t="s">
        <v>727</v>
      </c>
      <c r="E371" s="3" t="str">
        <f t="shared" si="27"/>
        <v>TOK_REGR_AVGX</v>
      </c>
      <c r="F371" s="3" t="str">
        <f t="shared" si="28"/>
        <v>"REGR_AVGX"</v>
      </c>
      <c r="G371" s="3" t="str">
        <f t="shared" si="29"/>
        <v>false</v>
      </c>
    </row>
    <row r="372" spans="1:9" x14ac:dyDescent="0.25">
      <c r="B372" s="4">
        <f t="shared" si="30"/>
        <v>-1</v>
      </c>
      <c r="C372" s="5">
        <f>C371+1</f>
        <v>734</v>
      </c>
      <c r="D372" s="3" t="s">
        <v>728</v>
      </c>
      <c r="E372" s="3" t="str">
        <f t="shared" si="27"/>
        <v>TOK_REGR_AVGY</v>
      </c>
      <c r="F372" s="3" t="str">
        <f t="shared" si="28"/>
        <v>"REGR_AVGY"</v>
      </c>
      <c r="G372" s="3" t="str">
        <f t="shared" si="29"/>
        <v>false</v>
      </c>
    </row>
    <row r="373" spans="1:9" x14ac:dyDescent="0.25">
      <c r="B373" s="4">
        <f t="shared" si="30"/>
        <v>-1</v>
      </c>
      <c r="C373" s="5">
        <f t="shared" ref="C373:C379" si="31">C372+1</f>
        <v>735</v>
      </c>
      <c r="D373" s="3" t="s">
        <v>729</v>
      </c>
      <c r="E373" s="3" t="str">
        <f t="shared" si="27"/>
        <v>TOK_REGR_COUNT</v>
      </c>
      <c r="F373" s="3" t="str">
        <f t="shared" si="28"/>
        <v>"REGR_COUNT"</v>
      </c>
      <c r="G373" s="3" t="str">
        <f t="shared" si="29"/>
        <v>false</v>
      </c>
    </row>
    <row r="374" spans="1:9" x14ac:dyDescent="0.25">
      <c r="B374" s="4">
        <f t="shared" si="30"/>
        <v>-1</v>
      </c>
      <c r="C374" s="5">
        <f t="shared" si="31"/>
        <v>736</v>
      </c>
      <c r="D374" s="3" t="s">
        <v>730</v>
      </c>
      <c r="E374" s="3" t="str">
        <f t="shared" si="27"/>
        <v>TOK_REGR_INTERCEPT</v>
      </c>
      <c r="F374" s="3" t="str">
        <f t="shared" si="28"/>
        <v>"REGR_INTERCEPT"</v>
      </c>
      <c r="G374" s="3" t="str">
        <f t="shared" si="29"/>
        <v>false</v>
      </c>
    </row>
    <row r="375" spans="1:9" x14ac:dyDescent="0.25">
      <c r="B375" s="4">
        <f t="shared" si="30"/>
        <v>-1</v>
      </c>
      <c r="C375" s="5">
        <f t="shared" si="31"/>
        <v>737</v>
      </c>
      <c r="D375" s="3" t="s">
        <v>731</v>
      </c>
      <c r="E375" s="3" t="str">
        <f t="shared" si="27"/>
        <v>TOK_REGR_R2</v>
      </c>
      <c r="F375" s="3" t="str">
        <f t="shared" si="28"/>
        <v>"REGR_R2"</v>
      </c>
      <c r="G375" s="3" t="str">
        <f t="shared" si="29"/>
        <v>false</v>
      </c>
    </row>
    <row r="376" spans="1:9" x14ac:dyDescent="0.25">
      <c r="B376" s="4">
        <f t="shared" si="30"/>
        <v>-1</v>
      </c>
      <c r="C376" s="5">
        <f t="shared" si="31"/>
        <v>738</v>
      </c>
      <c r="D376" s="3" t="s">
        <v>732</v>
      </c>
      <c r="E376" s="3" t="str">
        <f t="shared" si="27"/>
        <v>TOK_REGR_SLOPE</v>
      </c>
      <c r="F376" s="3" t="str">
        <f t="shared" si="28"/>
        <v>"REGR_SLOPE"</v>
      </c>
      <c r="G376" s="3" t="str">
        <f t="shared" si="29"/>
        <v>false</v>
      </c>
    </row>
    <row r="377" spans="1:9" x14ac:dyDescent="0.25">
      <c r="B377" s="4">
        <f t="shared" si="30"/>
        <v>-1</v>
      </c>
      <c r="C377" s="5">
        <f t="shared" si="31"/>
        <v>739</v>
      </c>
      <c r="D377" s="3" t="s">
        <v>733</v>
      </c>
      <c r="E377" s="3" t="str">
        <f t="shared" si="27"/>
        <v>TOK_REGR_SXX</v>
      </c>
      <c r="F377" s="3" t="str">
        <f t="shared" si="28"/>
        <v>"REGR_SXX"</v>
      </c>
      <c r="G377" s="3" t="str">
        <f t="shared" si="29"/>
        <v>false</v>
      </c>
    </row>
    <row r="378" spans="1:9" x14ac:dyDescent="0.25">
      <c r="B378" s="4">
        <f t="shared" si="30"/>
        <v>-1</v>
      </c>
      <c r="C378" s="5">
        <f t="shared" si="31"/>
        <v>740</v>
      </c>
      <c r="D378" s="3" t="s">
        <v>734</v>
      </c>
      <c r="E378" s="3" t="str">
        <f t="shared" si="27"/>
        <v>TOK_REGR_SXY</v>
      </c>
      <c r="F378" s="3" t="str">
        <f t="shared" si="28"/>
        <v>"REGR_SXY"</v>
      </c>
      <c r="G378" s="3" t="str">
        <f t="shared" si="29"/>
        <v>false</v>
      </c>
    </row>
    <row r="379" spans="1:9" x14ac:dyDescent="0.25">
      <c r="B379" s="4">
        <f t="shared" si="30"/>
        <v>-1</v>
      </c>
      <c r="C379" s="5">
        <f t="shared" si="31"/>
        <v>741</v>
      </c>
      <c r="D379" s="3" t="s">
        <v>735</v>
      </c>
      <c r="E379" s="3" t="str">
        <f t="shared" si="27"/>
        <v>TOK_REGR_SYY</v>
      </c>
      <c r="F379" s="3" t="str">
        <f t="shared" si="28"/>
        <v>"REGR_SYY"</v>
      </c>
      <c r="G379" s="3" t="str">
        <f t="shared" si="29"/>
        <v>false</v>
      </c>
    </row>
    <row r="380" spans="1:9" x14ac:dyDescent="0.25">
      <c r="A380" s="3" t="s">
        <v>944</v>
      </c>
      <c r="B380" s="4" t="str">
        <f t="shared" si="30"/>
        <v>622</v>
      </c>
      <c r="C380" s="5" t="str">
        <f t="shared" si="26"/>
        <v>622</v>
      </c>
      <c r="D380" s="3" t="s">
        <v>736</v>
      </c>
      <c r="E380" s="3" t="str">
        <f t="shared" si="27"/>
        <v>TOK_RELATIVE</v>
      </c>
      <c r="F380" s="3" t="str">
        <f t="shared" si="28"/>
        <v>"RELATIVE"</v>
      </c>
      <c r="G380" s="3" t="str">
        <f t="shared" si="29"/>
        <v>true</v>
      </c>
    </row>
    <row r="381" spans="1:9" x14ac:dyDescent="0.25">
      <c r="A381" s="3" t="s">
        <v>264</v>
      </c>
      <c r="B381" s="4" t="str">
        <f t="shared" si="30"/>
        <v>489</v>
      </c>
      <c r="C381" s="5" t="str">
        <f t="shared" si="26"/>
        <v>489</v>
      </c>
      <c r="D381" s="3" t="s">
        <v>737</v>
      </c>
      <c r="E381" s="3" t="str">
        <f t="shared" si="27"/>
        <v>TOK_RELEASE</v>
      </c>
      <c r="F381" s="3" t="str">
        <f t="shared" si="28"/>
        <v>"RELEASE"</v>
      </c>
      <c r="G381" s="3" t="str">
        <f t="shared" si="29"/>
        <v>false</v>
      </c>
    </row>
    <row r="382" spans="1:9" x14ac:dyDescent="0.25">
      <c r="A382" s="3" t="s">
        <v>265</v>
      </c>
      <c r="B382" s="4" t="str">
        <f t="shared" si="30"/>
        <v>574</v>
      </c>
      <c r="C382" s="5" t="str">
        <f t="shared" si="26"/>
        <v>574</v>
      </c>
      <c r="D382" s="3" t="s">
        <v>738</v>
      </c>
      <c r="E382" s="3" t="str">
        <f t="shared" si="27"/>
        <v>TOK_REPLACE</v>
      </c>
      <c r="F382" s="3" t="str">
        <f t="shared" si="28"/>
        <v>"REPLACE"</v>
      </c>
      <c r="G382" s="3" t="str">
        <f t="shared" si="29"/>
        <v>true</v>
      </c>
    </row>
    <row r="383" spans="1:9" x14ac:dyDescent="0.25">
      <c r="A383" s="3" t="s">
        <v>266</v>
      </c>
      <c r="B383" s="4" t="str">
        <f t="shared" si="30"/>
        <v>523</v>
      </c>
      <c r="C383" s="5" t="str">
        <f t="shared" si="26"/>
        <v>523</v>
      </c>
      <c r="D383" s="3" t="s">
        <v>739</v>
      </c>
      <c r="E383" s="3" t="str">
        <f t="shared" si="27"/>
        <v>TOK_REQUESTS</v>
      </c>
      <c r="F383" s="3" t="str">
        <f t="shared" si="28"/>
        <v>"REQUESTS"</v>
      </c>
      <c r="G383" s="3" t="str">
        <f t="shared" si="29"/>
        <v>true</v>
      </c>
    </row>
    <row r="384" spans="1:9" x14ac:dyDescent="0.25">
      <c r="B384" s="4">
        <f t="shared" si="30"/>
        <v>-1</v>
      </c>
      <c r="C384" s="5">
        <v>742</v>
      </c>
      <c r="D384" s="3" t="s">
        <v>740</v>
      </c>
      <c r="E384" s="3" t="str">
        <f t="shared" si="27"/>
        <v>TOK_RESERVING</v>
      </c>
      <c r="F384" s="3" t="str">
        <f t="shared" si="28"/>
        <v>"RESERV"</v>
      </c>
      <c r="G384" s="3" t="str">
        <f t="shared" si="29"/>
        <v>true</v>
      </c>
    </row>
    <row r="385" spans="1:7" x14ac:dyDescent="0.25">
      <c r="A385" s="3" t="s">
        <v>267</v>
      </c>
      <c r="B385" s="4" t="str">
        <f t="shared" si="30"/>
        <v>392</v>
      </c>
      <c r="C385" s="5" t="str">
        <f t="shared" si="26"/>
        <v>392</v>
      </c>
      <c r="D385" s="3" t="s">
        <v>741</v>
      </c>
      <c r="E385" s="3" t="str">
        <f t="shared" si="27"/>
        <v>TOK_RESERVING</v>
      </c>
      <c r="F385" s="3" t="str">
        <f t="shared" si="28"/>
        <v>"RESERVING"</v>
      </c>
      <c r="G385" s="3" t="str">
        <f t="shared" si="29"/>
        <v>true</v>
      </c>
    </row>
    <row r="386" spans="1:7" x14ac:dyDescent="0.25">
      <c r="B386" s="4">
        <f t="shared" si="30"/>
        <v>-1</v>
      </c>
      <c r="C386" s="5">
        <v>743</v>
      </c>
      <c r="D386" s="3" t="s">
        <v>742</v>
      </c>
      <c r="E386" s="3" t="str">
        <f t="shared" si="27"/>
        <v>TOK_RESET</v>
      </c>
      <c r="F386" s="3" t="str">
        <f t="shared" si="28"/>
        <v>"RESET"</v>
      </c>
      <c r="G386" s="3" t="str">
        <f t="shared" si="29"/>
        <v>true</v>
      </c>
    </row>
    <row r="387" spans="1:7" x14ac:dyDescent="0.25">
      <c r="B387" s="4">
        <f t="shared" si="30"/>
        <v>-1</v>
      </c>
      <c r="C387" s="5">
        <v>744</v>
      </c>
      <c r="D387" s="3" t="s">
        <v>743</v>
      </c>
      <c r="E387" s="3" t="str">
        <f t="shared" si="27"/>
        <v>TOK_RESETTING</v>
      </c>
      <c r="F387" s="3" t="str">
        <f t="shared" si="28"/>
        <v>"RESETTING"</v>
      </c>
      <c r="G387" s="3" t="str">
        <f t="shared" si="29"/>
        <v>false</v>
      </c>
    </row>
    <row r="388" spans="1:7" x14ac:dyDescent="0.25">
      <c r="A388" s="3" t="s">
        <v>268</v>
      </c>
      <c r="B388" s="4" t="str">
        <f t="shared" si="30"/>
        <v>507</v>
      </c>
      <c r="C388" s="5" t="str">
        <f t="shared" ref="C388:C451" si="32">IF(B388 = "***", -1, B388)</f>
        <v>507</v>
      </c>
      <c r="D388" s="3" t="s">
        <v>744</v>
      </c>
      <c r="E388" s="3" t="str">
        <f t="shared" si="27"/>
        <v>TOK_RESTART</v>
      </c>
      <c r="F388" s="3" t="str">
        <f t="shared" si="28"/>
        <v>"RESTART"</v>
      </c>
      <c r="G388" s="3" t="str">
        <f t="shared" si="29"/>
        <v>true</v>
      </c>
    </row>
    <row r="389" spans="1:7" x14ac:dyDescent="0.25">
      <c r="A389" s="3" t="s">
        <v>269</v>
      </c>
      <c r="B389" s="4" t="str">
        <f t="shared" si="30"/>
        <v>449</v>
      </c>
      <c r="C389" s="5" t="str">
        <f t="shared" si="32"/>
        <v>449</v>
      </c>
      <c r="D389" s="3" t="s">
        <v>745</v>
      </c>
      <c r="E389" s="3" t="str">
        <f t="shared" si="27"/>
        <v>TOK_RESTRICT</v>
      </c>
      <c r="F389" s="3" t="str">
        <f t="shared" si="28"/>
        <v>"RESTRICT"</v>
      </c>
      <c r="G389" s="3" t="str">
        <f t="shared" si="29"/>
        <v>true</v>
      </c>
    </row>
    <row r="390" spans="1:7" x14ac:dyDescent="0.25">
      <c r="A390" s="3" t="s">
        <v>270</v>
      </c>
      <c r="B390" s="4" t="str">
        <f t="shared" si="30"/>
        <v>393</v>
      </c>
      <c r="C390" s="5" t="str">
        <f t="shared" si="32"/>
        <v>393</v>
      </c>
      <c r="D390" s="3" t="s">
        <v>746</v>
      </c>
      <c r="E390" s="3" t="str">
        <f t="shared" si="27"/>
        <v>TOK_RETAIN</v>
      </c>
      <c r="F390" s="3" t="str">
        <f t="shared" si="28"/>
        <v>"RETAIN"</v>
      </c>
      <c r="G390" s="3" t="str">
        <f t="shared" si="29"/>
        <v>true</v>
      </c>
    </row>
    <row r="391" spans="1:7" x14ac:dyDescent="0.25">
      <c r="A391" s="3" t="s">
        <v>271</v>
      </c>
      <c r="B391" s="4" t="str">
        <f t="shared" si="30"/>
        <v>626</v>
      </c>
      <c r="C391" s="5" t="str">
        <f t="shared" si="32"/>
        <v>626</v>
      </c>
      <c r="D391" s="3" t="s">
        <v>747</v>
      </c>
      <c r="E391" s="3" t="str">
        <f t="shared" si="27"/>
        <v>TOK_RETURN</v>
      </c>
      <c r="F391" s="3" t="str">
        <f t="shared" si="28"/>
        <v>"RETURN"</v>
      </c>
      <c r="G391" s="3" t="str">
        <f t="shared" si="29"/>
        <v>false</v>
      </c>
    </row>
    <row r="392" spans="1:7" x14ac:dyDescent="0.25">
      <c r="A392" s="3" t="s">
        <v>272</v>
      </c>
      <c r="B392" s="4" t="str">
        <f t="shared" si="30"/>
        <v>519</v>
      </c>
      <c r="C392" s="5" t="str">
        <f t="shared" si="32"/>
        <v>519</v>
      </c>
      <c r="D392" s="3" t="s">
        <v>748</v>
      </c>
      <c r="E392" s="3" t="str">
        <f t="shared" si="27"/>
        <v>TOK_RETURNING</v>
      </c>
      <c r="F392" s="3" t="str">
        <f t="shared" si="28"/>
        <v>"RETURNING"</v>
      </c>
      <c r="G392" s="3" t="str">
        <f t="shared" si="29"/>
        <v>true</v>
      </c>
    </row>
    <row r="393" spans="1:7" x14ac:dyDescent="0.25">
      <c r="A393" s="3" t="s">
        <v>273</v>
      </c>
      <c r="B393" s="4" t="str">
        <f t="shared" si="30"/>
        <v>394</v>
      </c>
      <c r="C393" s="5" t="str">
        <f t="shared" si="32"/>
        <v>394</v>
      </c>
      <c r="D393" s="3" t="s">
        <v>749</v>
      </c>
      <c r="E393" s="3" t="str">
        <f t="shared" ref="E393:E414" si="33">TRIM(MID(D393, 1, SEARCH(",",D393) - 1))</f>
        <v>TOK_RETURNING_VALUES</v>
      </c>
      <c r="F393" s="3" t="str">
        <f t="shared" si="28"/>
        <v>"RETURNING_VALUES"</v>
      </c>
      <c r="G393" s="3" t="str">
        <f t="shared" si="29"/>
        <v>false</v>
      </c>
    </row>
    <row r="394" spans="1:7" x14ac:dyDescent="0.25">
      <c r="A394" s="3" t="s">
        <v>274</v>
      </c>
      <c r="B394" s="4" t="str">
        <f t="shared" si="30"/>
        <v>395</v>
      </c>
      <c r="C394" s="5" t="str">
        <f t="shared" si="32"/>
        <v>395</v>
      </c>
      <c r="D394" s="3" t="s">
        <v>750</v>
      </c>
      <c r="E394" s="3" t="str">
        <f t="shared" si="33"/>
        <v>TOK_RETURNS</v>
      </c>
      <c r="F394" s="3" t="str">
        <f t="shared" si="28"/>
        <v>"RETURNS"</v>
      </c>
      <c r="G394" s="3" t="str">
        <f t="shared" si="29"/>
        <v>false</v>
      </c>
    </row>
    <row r="395" spans="1:7" x14ac:dyDescent="0.25">
      <c r="A395" s="3" t="s">
        <v>275</v>
      </c>
      <c r="B395" s="4" t="str">
        <f t="shared" si="30"/>
        <v>575</v>
      </c>
      <c r="C395" s="5" t="str">
        <f t="shared" si="32"/>
        <v>575</v>
      </c>
      <c r="D395" s="3" t="s">
        <v>751</v>
      </c>
      <c r="E395" s="3" t="str">
        <f t="shared" si="33"/>
        <v>TOK_REVERSE</v>
      </c>
      <c r="F395" s="3" t="str">
        <f t="shared" si="28"/>
        <v>"REVERSE"</v>
      </c>
      <c r="G395" s="3" t="str">
        <f t="shared" si="29"/>
        <v>true</v>
      </c>
    </row>
    <row r="396" spans="1:7" x14ac:dyDescent="0.25">
      <c r="A396" s="3" t="s">
        <v>276</v>
      </c>
      <c r="B396" s="4" t="str">
        <f t="shared" si="30"/>
        <v>396</v>
      </c>
      <c r="C396" s="5" t="str">
        <f t="shared" si="32"/>
        <v>396</v>
      </c>
      <c r="D396" s="3" t="s">
        <v>752</v>
      </c>
      <c r="E396" s="3" t="str">
        <f t="shared" si="33"/>
        <v>TOK_REVOKE</v>
      </c>
      <c r="F396" s="3" t="str">
        <f t="shared" si="28"/>
        <v>"REVOKE"</v>
      </c>
      <c r="G396" s="3" t="str">
        <f t="shared" si="29"/>
        <v>false</v>
      </c>
    </row>
    <row r="397" spans="1:7" x14ac:dyDescent="0.25">
      <c r="A397" s="3" t="s">
        <v>277</v>
      </c>
      <c r="B397" s="4" t="str">
        <f t="shared" si="30"/>
        <v>397</v>
      </c>
      <c r="C397" s="5" t="str">
        <f t="shared" si="32"/>
        <v>397</v>
      </c>
      <c r="D397" s="3" t="s">
        <v>753</v>
      </c>
      <c r="E397" s="3" t="str">
        <f t="shared" si="33"/>
        <v>TOK_RIGHT</v>
      </c>
      <c r="F397" s="3" t="str">
        <f t="shared" ref="F397:F417" si="34">TRIM(MID(D397, SEARCH(",",D397) + 1, SEARCH(",",D397,SEARCH(",",D397)+1) - SEARCH(",",D397) - 1))</f>
        <v>"RIGHT"</v>
      </c>
      <c r="G397" s="3" t="str">
        <f t="shared" ref="G397:G417" si="35">TRIM(MID(D397, FIND("#",SUBSTITUTE(D397,",","#",2))+1,99))</f>
        <v>false</v>
      </c>
    </row>
    <row r="398" spans="1:7" x14ac:dyDescent="0.25">
      <c r="A398" s="3" t="s">
        <v>278</v>
      </c>
      <c r="B398" s="4" t="str">
        <f t="shared" si="30"/>
        <v>450</v>
      </c>
      <c r="C398" s="5" t="str">
        <f t="shared" si="32"/>
        <v>450</v>
      </c>
      <c r="D398" s="3" t="s">
        <v>754</v>
      </c>
      <c r="E398" s="3" t="str">
        <f t="shared" si="33"/>
        <v>TOK_ROLE</v>
      </c>
      <c r="F398" s="3" t="str">
        <f t="shared" si="34"/>
        <v>"ROLE"</v>
      </c>
      <c r="G398" s="3" t="str">
        <f t="shared" si="35"/>
        <v>true</v>
      </c>
    </row>
    <row r="399" spans="1:7" x14ac:dyDescent="0.25">
      <c r="A399" s="3" t="s">
        <v>279</v>
      </c>
      <c r="B399" s="4" t="str">
        <f t="shared" si="30"/>
        <v>398</v>
      </c>
      <c r="C399" s="5" t="str">
        <f t="shared" si="32"/>
        <v>398</v>
      </c>
      <c r="D399" s="3" t="s">
        <v>755</v>
      </c>
      <c r="E399" s="3" t="str">
        <f t="shared" si="33"/>
        <v>TOK_ROLLBACK</v>
      </c>
      <c r="F399" s="3" t="str">
        <f t="shared" si="34"/>
        <v>"ROLLBACK"</v>
      </c>
      <c r="G399" s="3" t="str">
        <f t="shared" si="35"/>
        <v>false</v>
      </c>
    </row>
    <row r="400" spans="1:7" x14ac:dyDescent="0.25">
      <c r="A400" s="3" t="s">
        <v>280</v>
      </c>
      <c r="B400" s="4" t="str">
        <f t="shared" si="30"/>
        <v>576</v>
      </c>
      <c r="C400" s="5" t="str">
        <f t="shared" si="32"/>
        <v>576</v>
      </c>
      <c r="D400" s="3" t="s">
        <v>756</v>
      </c>
      <c r="E400" s="3" t="str">
        <f t="shared" si="33"/>
        <v>TOK_ROUND</v>
      </c>
      <c r="F400" s="3" t="str">
        <f t="shared" si="34"/>
        <v>"ROUND"</v>
      </c>
      <c r="G400" s="3" t="str">
        <f t="shared" si="35"/>
        <v>true</v>
      </c>
    </row>
    <row r="401" spans="1:9" x14ac:dyDescent="0.25">
      <c r="B401" s="4">
        <f t="shared" si="30"/>
        <v>-1</v>
      </c>
      <c r="C401" s="5">
        <v>745</v>
      </c>
      <c r="D401" s="3" t="s">
        <v>757</v>
      </c>
      <c r="E401" s="3" t="str">
        <f t="shared" si="33"/>
        <v>TOK_ROW</v>
      </c>
      <c r="F401" s="3" t="str">
        <f t="shared" si="34"/>
        <v>"ROW"</v>
      </c>
      <c r="G401" s="3" t="str">
        <f t="shared" si="35"/>
        <v>false</v>
      </c>
      <c r="I401" t="s">
        <v>374</v>
      </c>
    </row>
    <row r="402" spans="1:9" x14ac:dyDescent="0.25">
      <c r="A402" s="3" t="s">
        <v>281</v>
      </c>
      <c r="B402" s="4" t="str">
        <f t="shared" si="30"/>
        <v>486</v>
      </c>
      <c r="C402" s="5" t="str">
        <f t="shared" si="32"/>
        <v>486</v>
      </c>
      <c r="D402" s="3" t="s">
        <v>758</v>
      </c>
      <c r="E402" s="3" t="str">
        <f t="shared" si="33"/>
        <v>TOK_ROW_COUNT</v>
      </c>
      <c r="F402" s="3" t="str">
        <f t="shared" si="34"/>
        <v>"ROW_COUNT"</v>
      </c>
      <c r="G402" s="3" t="str">
        <f t="shared" si="35"/>
        <v>false</v>
      </c>
    </row>
    <row r="403" spans="1:9" x14ac:dyDescent="0.25">
      <c r="A403" s="3" t="s">
        <v>282</v>
      </c>
      <c r="B403" s="4" t="str">
        <f t="shared" si="30"/>
        <v>636</v>
      </c>
      <c r="C403" s="5" t="str">
        <f t="shared" si="32"/>
        <v>636</v>
      </c>
      <c r="D403" s="3" t="s">
        <v>759</v>
      </c>
      <c r="E403" s="3" t="str">
        <f t="shared" si="33"/>
        <v>TOK_ROW_NUMBER</v>
      </c>
      <c r="F403" s="3" t="str">
        <f t="shared" si="34"/>
        <v>"ROW_NUMBER"</v>
      </c>
      <c r="G403" s="3" t="str">
        <f t="shared" si="35"/>
        <v>true</v>
      </c>
    </row>
    <row r="404" spans="1:9" x14ac:dyDescent="0.25">
      <c r="A404" s="3" t="s">
        <v>283</v>
      </c>
      <c r="B404" s="4" t="str">
        <f t="shared" si="30"/>
        <v>500</v>
      </c>
      <c r="C404" s="5" t="str">
        <f t="shared" si="32"/>
        <v>500</v>
      </c>
      <c r="D404" s="3" t="s">
        <v>760</v>
      </c>
      <c r="E404" s="3" t="str">
        <f t="shared" si="33"/>
        <v>TOK_ROWS</v>
      </c>
      <c r="F404" s="3" t="str">
        <f t="shared" si="34"/>
        <v>"ROWS"</v>
      </c>
      <c r="G404" s="3" t="str">
        <f t="shared" si="35"/>
        <v>false</v>
      </c>
    </row>
    <row r="405" spans="1:9" x14ac:dyDescent="0.25">
      <c r="A405" s="3" t="s">
        <v>284</v>
      </c>
      <c r="B405" s="4" t="str">
        <f t="shared" si="30"/>
        <v>577</v>
      </c>
      <c r="C405" s="5" t="str">
        <f t="shared" si="32"/>
        <v>577</v>
      </c>
      <c r="D405" s="3" t="s">
        <v>761</v>
      </c>
      <c r="E405" s="3" t="str">
        <f t="shared" si="33"/>
        <v>TOK_RPAD</v>
      </c>
      <c r="F405" s="3" t="str">
        <f t="shared" si="34"/>
        <v>"RPAD"</v>
      </c>
      <c r="G405" s="3" t="str">
        <f t="shared" si="35"/>
        <v>true</v>
      </c>
    </row>
    <row r="406" spans="1:9" x14ac:dyDescent="0.25">
      <c r="B406" s="4">
        <f t="shared" si="30"/>
        <v>-1</v>
      </c>
      <c r="C406" s="5">
        <v>746</v>
      </c>
      <c r="D406" s="3" t="s">
        <v>762</v>
      </c>
      <c r="E406" s="3" t="str">
        <f t="shared" si="33"/>
        <v>TOK_RSA_DECRYPT</v>
      </c>
      <c r="F406" s="3" t="str">
        <f t="shared" si="34"/>
        <v>"RSA_DECRYPT"</v>
      </c>
      <c r="G406" s="3" t="str">
        <f t="shared" si="35"/>
        <v>true</v>
      </c>
    </row>
    <row r="407" spans="1:9" x14ac:dyDescent="0.25">
      <c r="B407" s="4">
        <f t="shared" si="30"/>
        <v>-1</v>
      </c>
      <c r="C407" s="5">
        <f t="shared" ref="C407:C412" si="36">C406+1</f>
        <v>747</v>
      </c>
      <c r="D407" s="3" t="s">
        <v>763</v>
      </c>
      <c r="E407" s="3" t="str">
        <f t="shared" si="33"/>
        <v>TOK_RSA_ENCRYPT</v>
      </c>
      <c r="F407" s="3" t="str">
        <f t="shared" si="34"/>
        <v>"RSA_ENCRYPT"</v>
      </c>
      <c r="G407" s="3" t="str">
        <f t="shared" si="35"/>
        <v>true</v>
      </c>
    </row>
    <row r="408" spans="1:9" x14ac:dyDescent="0.25">
      <c r="B408" s="4">
        <f t="shared" si="30"/>
        <v>-1</v>
      </c>
      <c r="C408" s="5">
        <f t="shared" si="36"/>
        <v>748</v>
      </c>
      <c r="D408" s="3" t="s">
        <v>764</v>
      </c>
      <c r="E408" s="3" t="str">
        <f t="shared" si="33"/>
        <v>TOK_RSA_PRIVATE</v>
      </c>
      <c r="F408" s="3" t="str">
        <f t="shared" si="34"/>
        <v>"RSA_PRIVATE"</v>
      </c>
      <c r="G408" s="3" t="str">
        <f t="shared" si="35"/>
        <v>true</v>
      </c>
    </row>
    <row r="409" spans="1:9" x14ac:dyDescent="0.25">
      <c r="B409" s="4">
        <f t="shared" si="30"/>
        <v>-1</v>
      </c>
      <c r="C409" s="5">
        <f t="shared" si="36"/>
        <v>749</v>
      </c>
      <c r="D409" s="3" t="s">
        <v>765</v>
      </c>
      <c r="E409" s="3" t="str">
        <f t="shared" si="33"/>
        <v>TOK_RSA_PUBLIC</v>
      </c>
      <c r="F409" s="3" t="str">
        <f t="shared" si="34"/>
        <v>"RSA_PUBLIC"</v>
      </c>
      <c r="G409" s="3" t="str">
        <f t="shared" si="35"/>
        <v>true</v>
      </c>
    </row>
    <row r="410" spans="1:9" x14ac:dyDescent="0.25">
      <c r="B410" s="4">
        <f t="shared" si="30"/>
        <v>-1</v>
      </c>
      <c r="C410" s="5">
        <f t="shared" si="36"/>
        <v>750</v>
      </c>
      <c r="D410" s="3" t="s">
        <v>766</v>
      </c>
      <c r="E410" s="3" t="str">
        <f t="shared" si="33"/>
        <v>TOK_RSA_SIGN_HASH</v>
      </c>
      <c r="F410" s="3" t="str">
        <f t="shared" si="34"/>
        <v>"RSA_SIGN_HASH"</v>
      </c>
      <c r="G410" s="3" t="str">
        <f t="shared" si="35"/>
        <v>true</v>
      </c>
    </row>
    <row r="411" spans="1:9" x14ac:dyDescent="0.25">
      <c r="B411" s="4">
        <f t="shared" si="30"/>
        <v>-1</v>
      </c>
      <c r="C411" s="5">
        <f t="shared" si="36"/>
        <v>751</v>
      </c>
      <c r="D411" s="3" t="s">
        <v>767</v>
      </c>
      <c r="E411" s="3" t="str">
        <f t="shared" si="33"/>
        <v>TOK_RSA_VERIFY_HASH</v>
      </c>
      <c r="F411" s="3" t="str">
        <f t="shared" si="34"/>
        <v>"RSA_VERIFY_HASH"</v>
      </c>
      <c r="G411" s="3" t="str">
        <f t="shared" si="35"/>
        <v>true</v>
      </c>
    </row>
    <row r="412" spans="1:9" x14ac:dyDescent="0.25">
      <c r="B412" s="4">
        <f t="shared" si="30"/>
        <v>-1</v>
      </c>
      <c r="C412" s="5">
        <f t="shared" si="36"/>
        <v>752</v>
      </c>
      <c r="D412" s="3" t="s">
        <v>768</v>
      </c>
      <c r="E412" s="3" t="str">
        <f t="shared" si="33"/>
        <v>TOK_SALT_LENGTH</v>
      </c>
      <c r="F412" s="3" t="str">
        <f t="shared" si="34"/>
        <v>"SALT_LENGTH"</v>
      </c>
      <c r="G412" s="3" t="str">
        <f t="shared" si="35"/>
        <v>true</v>
      </c>
    </row>
    <row r="413" spans="1:9" x14ac:dyDescent="0.25">
      <c r="A413" s="3" t="s">
        <v>285</v>
      </c>
      <c r="B413" s="4" t="str">
        <f t="shared" si="30"/>
        <v>488</v>
      </c>
      <c r="C413" s="5" t="str">
        <f t="shared" si="32"/>
        <v>488</v>
      </c>
      <c r="D413" s="3" t="s">
        <v>769</v>
      </c>
      <c r="E413" s="3" t="str">
        <f t="shared" si="33"/>
        <v>TOK_SAVEPOINT</v>
      </c>
      <c r="F413" s="3" t="str">
        <f t="shared" si="34"/>
        <v>"SAVEPOINT"</v>
      </c>
      <c r="G413" s="3" t="str">
        <f t="shared" si="35"/>
        <v>false</v>
      </c>
    </row>
    <row r="414" spans="1:9" x14ac:dyDescent="0.25">
      <c r="A414" s="3" t="s">
        <v>286</v>
      </c>
      <c r="B414" s="4" t="str">
        <f t="shared" si="30"/>
        <v>503</v>
      </c>
      <c r="C414" s="5" t="str">
        <f t="shared" si="32"/>
        <v>503</v>
      </c>
      <c r="D414" s="3" t="s">
        <v>770</v>
      </c>
      <c r="E414" s="3" t="str">
        <f t="shared" si="33"/>
        <v>TOK_SCALAR_ARRAY</v>
      </c>
      <c r="F414" s="3" t="str">
        <f t="shared" si="34"/>
        <v>"SCALAR_ARRAY"</v>
      </c>
      <c r="G414" s="3" t="str">
        <f t="shared" si="35"/>
        <v>true</v>
      </c>
    </row>
    <row r="415" spans="1:9" x14ac:dyDescent="0.25">
      <c r="B415" s="4">
        <f t="shared" si="30"/>
        <v>-1</v>
      </c>
      <c r="C415" s="5">
        <v>753</v>
      </c>
      <c r="D415" s="3" t="s">
        <v>910</v>
      </c>
      <c r="E415" s="3" t="str">
        <f>TRIM(MID(D415, 1, SEARCH(",",D415) - 1))</f>
        <v>TOK_SCHEMA</v>
      </c>
      <c r="F415" s="3" t="str">
        <f>TRIM(MID(D415, SEARCH(",",D415) + 1, SEARCH(",",D415,SEARCH(",",D415)+1) - SEARCH(",",D415) - 1))</f>
        <v>"SCHEMA"</v>
      </c>
      <c r="G415" s="3" t="str">
        <f>TRIM(MID(D415, FIND("#",SUBSTITUTE(D415,",","#",2))+1,99))</f>
        <v>false</v>
      </c>
    </row>
    <row r="416" spans="1:9" x14ac:dyDescent="0.25">
      <c r="A416" s="3" t="s">
        <v>287</v>
      </c>
      <c r="B416" s="4" t="str">
        <f t="shared" si="30"/>
        <v>468</v>
      </c>
      <c r="C416" s="5" t="str">
        <f t="shared" si="32"/>
        <v>468</v>
      </c>
      <c r="D416" s="3" t="s">
        <v>980</v>
      </c>
      <c r="E416" s="3" t="str">
        <f>TRIM(MID(D416, 1, SEARCH(",",D416) - 1))</f>
        <v>TOK_SCALEDINT</v>
      </c>
      <c r="F416" s="3" t="str">
        <f>TRIM(MID(D416, SEARCH(",",D416) + 1, SEARCH(",",D416,SEARCH(",",D416)+1) - SEARCH(",",D416) - 1))</f>
        <v>"SCALEDINT"</v>
      </c>
      <c r="G416" s="3" t="str">
        <f>TRIM(MID(D416, FIND("#",SUBSTITUTE(D416,",","#",2))+1,99))</f>
        <v>false</v>
      </c>
    </row>
    <row r="417" spans="1:7" x14ac:dyDescent="0.25">
      <c r="A417" s="3" t="s">
        <v>288</v>
      </c>
      <c r="B417" s="4" t="str">
        <f t="shared" ref="B417:B480" si="37">IF(A417 = "", -1,TRIM(MID(A417, SEARCH(" ",A417) + 1, 99)))</f>
        <v>619</v>
      </c>
      <c r="C417" s="5" t="str">
        <f t="shared" si="32"/>
        <v>619</v>
      </c>
      <c r="D417" s="3" t="s">
        <v>771</v>
      </c>
      <c r="E417" s="3" t="str">
        <f>TRIM(MID(D417, 1, SEARCH(",",D417) - 1))</f>
        <v>TOK_SCROLL</v>
      </c>
      <c r="F417" s="3" t="str">
        <f>TRIM(MID(D417, SEARCH(",",D417) + 1, SEARCH(",",D417,SEARCH(",",D417)+1) - SEARCH(",",D417) - 1))</f>
        <v>"SCROLL"</v>
      </c>
      <c r="G417" s="3" t="str">
        <f>TRIM(MID(D417, FIND("#",SUBSTITUTE(D417,",","#",2))+1,99))</f>
        <v>false</v>
      </c>
    </row>
    <row r="418" spans="1:7" x14ac:dyDescent="0.25">
      <c r="A418" s="3" t="s">
        <v>289</v>
      </c>
      <c r="B418" s="4" t="str">
        <f t="shared" si="37"/>
        <v>459</v>
      </c>
      <c r="C418" s="5" t="str">
        <f t="shared" si="32"/>
        <v>459</v>
      </c>
      <c r="D418" s="3" t="s">
        <v>772</v>
      </c>
      <c r="E418" s="3" t="str">
        <f>TRIM(MID(D418, 1, SEARCH(",",D418) - 1))</f>
        <v>TOK_SECOND</v>
      </c>
      <c r="F418" s="3" t="str">
        <f>TRIM(MID(D418, SEARCH(",",D418) + 1, SEARCH(",",D418,SEARCH(",",D418)+1) - SEARCH(",",D418) - 1))</f>
        <v>"SECOND"</v>
      </c>
      <c r="G418" s="3" t="str">
        <f>TRIM(MID(D418, FIND("#",SUBSTITUTE(D418,",","#",2))+1,99))</f>
        <v>false</v>
      </c>
    </row>
    <row r="419" spans="1:7" x14ac:dyDescent="0.25">
      <c r="B419" s="4">
        <f t="shared" si="37"/>
        <v>-1</v>
      </c>
      <c r="C419" s="5">
        <v>754</v>
      </c>
      <c r="D419" s="3" t="s">
        <v>773</v>
      </c>
      <c r="E419" s="3" t="str">
        <f>TRIM(MID(D419, 1, SEARCH(",",D419) - 1))</f>
        <v>TOK_SECURITY</v>
      </c>
      <c r="F419" s="3" t="str">
        <f>TRIM(MID(D419, SEARCH(",",D419) + 1, SEARCH(",",D419,SEARCH(",",D419)+1) - SEARCH(",",D419) - 1))</f>
        <v>"SECURITY"</v>
      </c>
      <c r="G419" s="3" t="str">
        <f>TRIM(MID(D419, FIND("#",SUBSTITUTE(D419,",","#",2))+1,99))</f>
        <v>true</v>
      </c>
    </row>
    <row r="420" spans="1:7" x14ac:dyDescent="0.25">
      <c r="A420" s="3" t="s">
        <v>290</v>
      </c>
      <c r="B420" s="4" t="str">
        <f t="shared" si="37"/>
        <v>399</v>
      </c>
      <c r="C420" s="5" t="str">
        <f t="shared" si="32"/>
        <v>399</v>
      </c>
      <c r="D420" s="3" t="s">
        <v>774</v>
      </c>
      <c r="E420" s="3" t="str">
        <f>TRIM(MID(D420, 1, SEARCH(",",D420) - 1))</f>
        <v>TOK_SEGMENT</v>
      </c>
      <c r="F420" s="3" t="str">
        <f>TRIM(MID(D420, SEARCH(",",D420) + 1, SEARCH(",",D420,SEARCH(",",D420)+1) - SEARCH(",",D420) - 1))</f>
        <v>"SEGMENT"</v>
      </c>
      <c r="G420" s="3" t="str">
        <f>TRIM(MID(D420, FIND("#",SUBSTITUTE(D420,",","#",2))+1,99))</f>
        <v>true</v>
      </c>
    </row>
    <row r="421" spans="1:7" x14ac:dyDescent="0.25">
      <c r="A421" s="3" t="s">
        <v>291</v>
      </c>
      <c r="B421" s="4" t="str">
        <f t="shared" si="37"/>
        <v>400</v>
      </c>
      <c r="C421" s="5" t="str">
        <f t="shared" si="32"/>
        <v>400</v>
      </c>
      <c r="D421" s="3" t="s">
        <v>775</v>
      </c>
      <c r="E421" s="3" t="str">
        <f>TRIM(MID(D421, 1, SEARCH(",",D421) - 1))</f>
        <v>TOK_SELECT</v>
      </c>
      <c r="F421" s="3" t="str">
        <f>TRIM(MID(D421, SEARCH(",",D421) + 1, SEARCH(",",D421,SEARCH(",",D421)+1) - SEARCH(",",D421) - 1))</f>
        <v>"SELECT"</v>
      </c>
      <c r="G421" s="3" t="str">
        <f>TRIM(MID(D421, FIND("#",SUBSTITUTE(D421,",","#",2))+1,99))</f>
        <v>false</v>
      </c>
    </row>
    <row r="422" spans="1:7" x14ac:dyDescent="0.25">
      <c r="A422" s="3" t="s">
        <v>292</v>
      </c>
      <c r="B422" s="4" t="str">
        <f t="shared" si="37"/>
        <v>578</v>
      </c>
      <c r="C422" s="5" t="str">
        <f t="shared" si="32"/>
        <v>578</v>
      </c>
      <c r="D422" s="3" t="s">
        <v>776</v>
      </c>
      <c r="E422" s="3" t="str">
        <f>TRIM(MID(D422, 1, SEARCH(",",D422) - 1))</f>
        <v>TOK_SENSITIVE</v>
      </c>
      <c r="F422" s="3" t="str">
        <f>TRIM(MID(D422, SEARCH(",",D422) + 1, SEARCH(",",D422,SEARCH(",",D422)+1) - SEARCH(",",D422) - 1))</f>
        <v>"SENSITIVE"</v>
      </c>
      <c r="G422" s="3" t="str">
        <f>TRIM(MID(D422, FIND("#",SUBSTITUTE(D422,",","#",2))+1,99))</f>
        <v>false</v>
      </c>
    </row>
    <row r="423" spans="1:7" x14ac:dyDescent="0.25">
      <c r="A423" s="3" t="s">
        <v>293</v>
      </c>
      <c r="B423" s="4" t="str">
        <f t="shared" si="37"/>
        <v>506</v>
      </c>
      <c r="C423" s="5" t="str">
        <f t="shared" si="32"/>
        <v>506</v>
      </c>
      <c r="D423" s="3" t="s">
        <v>777</v>
      </c>
      <c r="E423" s="3" t="str">
        <f>TRIM(MID(D423, 1, SEARCH(",",D423) - 1))</f>
        <v>TOK_SEQUENCE</v>
      </c>
      <c r="F423" s="3" t="str">
        <f>TRIM(MID(D423, SEARCH(",",D423) + 1, SEARCH(",",D423,SEARCH(",",D423)+1) - SEARCH(",",D423) - 1))</f>
        <v>"SEQUENCE"</v>
      </c>
      <c r="G423" s="3" t="str">
        <f>TRIM(MID(D423, FIND("#",SUBSTITUTE(D423,",","#",2))+1,99))</f>
        <v>true</v>
      </c>
    </row>
    <row r="424" spans="1:7" x14ac:dyDescent="0.25">
      <c r="B424" s="4">
        <f t="shared" si="37"/>
        <v>-1</v>
      </c>
      <c r="C424" s="5">
        <v>755</v>
      </c>
      <c r="D424" s="3" t="s">
        <v>778</v>
      </c>
      <c r="E424" s="3" t="str">
        <f>TRIM(MID(D424, 1, SEARCH(",",D424) - 1))</f>
        <v>TOK_SERVERWIDE</v>
      </c>
      <c r="F424" s="3" t="str">
        <f>TRIM(MID(D424, SEARCH(",",D424) + 1, SEARCH(",",D424,SEARCH(",",D424)+1) - SEARCH(",",D424) - 1))</f>
        <v>"SERVERWIDE"</v>
      </c>
      <c r="G424" s="3" t="str">
        <f>TRIM(MID(D424, FIND("#",SUBSTITUTE(D424,",","#",2))+1,99))</f>
        <v>true</v>
      </c>
    </row>
    <row r="425" spans="1:7" x14ac:dyDescent="0.25">
      <c r="B425" s="4">
        <f t="shared" si="37"/>
        <v>-1</v>
      </c>
      <c r="C425" s="5">
        <v>756</v>
      </c>
      <c r="D425" s="3" t="s">
        <v>779</v>
      </c>
      <c r="E425" s="3" t="str">
        <f>TRIM(MID(D425, 1, SEARCH(",",D425) - 1))</f>
        <v>TOK_SESSION</v>
      </c>
      <c r="F425" s="3" t="str">
        <f>TRIM(MID(D425, SEARCH(",",D425) + 1, SEARCH(",",D425,SEARCH(",",D425)+1) - SEARCH(",",D425) - 1))</f>
        <v>"SESSION"</v>
      </c>
      <c r="G425" s="3" t="str">
        <f>TRIM(MID(D425, FIND("#",SUBSTITUTE(D425,",","#",2))+1,99))</f>
        <v>true</v>
      </c>
    </row>
    <row r="426" spans="1:7" x14ac:dyDescent="0.25">
      <c r="A426" s="3" t="s">
        <v>294</v>
      </c>
      <c r="B426" s="4" t="str">
        <f t="shared" si="37"/>
        <v>401</v>
      </c>
      <c r="C426" s="5" t="str">
        <f t="shared" si="32"/>
        <v>401</v>
      </c>
      <c r="D426" s="3" t="s">
        <v>780</v>
      </c>
      <c r="E426" s="3" t="str">
        <f>TRIM(MID(D426, 1, SEARCH(",",D426) - 1))</f>
        <v>TOK_SET</v>
      </c>
      <c r="F426" s="3" t="str">
        <f>TRIM(MID(D426, SEARCH(",",D426) + 1, SEARCH(",",D426,SEARCH(",",D426)+1) - SEARCH(",",D426) - 1))</f>
        <v>"SET"</v>
      </c>
      <c r="G426" s="3" t="str">
        <f>TRIM(MID(D426, FIND("#",SUBSTITUTE(D426,",","#",2))+1,99))</f>
        <v>false</v>
      </c>
    </row>
    <row r="427" spans="1:7" x14ac:dyDescent="0.25">
      <c r="A427" s="3" t="s">
        <v>295</v>
      </c>
      <c r="B427" s="4" t="str">
        <f t="shared" si="37"/>
        <v>402</v>
      </c>
      <c r="C427" s="5" t="str">
        <f t="shared" si="32"/>
        <v>402</v>
      </c>
      <c r="D427" s="3" t="s">
        <v>781</v>
      </c>
      <c r="E427" s="3" t="str">
        <f>TRIM(MID(D427, 1, SEARCH(",",D427) - 1))</f>
        <v>TOK_SHADOW</v>
      </c>
      <c r="F427" s="3" t="str">
        <f>TRIM(MID(D427, SEARCH(",",D427) + 1, SEARCH(",",D427,SEARCH(",",D427)+1) - SEARCH(",",D427) - 1))</f>
        <v>"SHADOW"</v>
      </c>
      <c r="G427" s="3" t="str">
        <f>TRIM(MID(D427, FIND("#",SUBSTITUTE(D427,",","#",2))+1,99))</f>
        <v>true</v>
      </c>
    </row>
    <row r="428" spans="1:7" x14ac:dyDescent="0.25">
      <c r="A428" s="3" t="s">
        <v>945</v>
      </c>
      <c r="B428" s="4" t="str">
        <f t="shared" si="37"/>
        <v>403</v>
      </c>
      <c r="C428" s="5" t="str">
        <f t="shared" si="32"/>
        <v>403</v>
      </c>
      <c r="D428" s="3" t="s">
        <v>782</v>
      </c>
      <c r="E428" s="3" t="str">
        <f>TRIM(MID(D428, 1, SEARCH(",",D428) - 1))</f>
        <v>TOK_SHARED</v>
      </c>
      <c r="F428" s="3" t="str">
        <f>TRIM(MID(D428, SEARCH(",",D428) + 1, SEARCH(",",D428,SEARCH(",",D428)+1) - SEARCH(",",D428) - 1))</f>
        <v>"SHARED"</v>
      </c>
      <c r="G428" s="3" t="str">
        <f>TRIM(MID(D428, FIND("#",SUBSTITUTE(D428,",","#",2))+1,99))</f>
        <v>true</v>
      </c>
    </row>
    <row r="429" spans="1:7" x14ac:dyDescent="0.25">
      <c r="A429" s="3" t="s">
        <v>296</v>
      </c>
      <c r="B429" s="4" t="str">
        <f t="shared" si="37"/>
        <v>579</v>
      </c>
      <c r="C429" s="5" t="str">
        <f t="shared" si="32"/>
        <v>579</v>
      </c>
      <c r="D429" s="3" t="s">
        <v>783</v>
      </c>
      <c r="E429" s="3" t="str">
        <f>TRIM(MID(D429, 1, SEARCH(",",D429) - 1))</f>
        <v>TOK_SIGN</v>
      </c>
      <c r="F429" s="3" t="str">
        <f>TRIM(MID(D429, SEARCH(",",D429) + 1, SEARCH(",",D429,SEARCH(",",D429)+1) - SEARCH(",",D429) - 1))</f>
        <v>"SIGN"</v>
      </c>
      <c r="G429" s="3" t="str">
        <f>TRIM(MID(D429, FIND("#",SUBSTITUTE(D429,",","#",2))+1,99))</f>
        <v>true</v>
      </c>
    </row>
    <row r="430" spans="1:7" x14ac:dyDescent="0.25">
      <c r="B430" s="4">
        <f t="shared" si="37"/>
        <v>-1</v>
      </c>
      <c r="C430" s="5">
        <v>757</v>
      </c>
      <c r="D430" s="3" t="s">
        <v>784</v>
      </c>
      <c r="E430" s="3" t="str">
        <f>TRIM(MID(D430, 1, SEARCH(",",D430) - 1))</f>
        <v>TOK_SIGNATURE</v>
      </c>
      <c r="F430" s="3" t="str">
        <f>TRIM(MID(D430, SEARCH(",",D430) + 1, SEARCH(",",D430,SEARCH(",",D430)+1) - SEARCH(",",D430) - 1))</f>
        <v>"SIGNATURE"</v>
      </c>
      <c r="G430" s="3" t="str">
        <f>TRIM(MID(D430, FIND("#",SUBSTITUTE(D430,",","#",2))+1,99))</f>
        <v>true</v>
      </c>
    </row>
    <row r="431" spans="1:7" x14ac:dyDescent="0.25">
      <c r="A431" s="3" t="s">
        <v>297</v>
      </c>
      <c r="B431" s="4" t="str">
        <f t="shared" si="37"/>
        <v>598</v>
      </c>
      <c r="C431" s="5" t="str">
        <f t="shared" si="32"/>
        <v>598</v>
      </c>
      <c r="D431" s="3" t="s">
        <v>785</v>
      </c>
      <c r="E431" s="3" t="str">
        <f>TRIM(MID(D431, 1, SEARCH(",",D431) - 1))</f>
        <v>TOK_SIMILAR</v>
      </c>
      <c r="F431" s="3" t="str">
        <f>TRIM(MID(D431, SEARCH(",",D431) + 1, SEARCH(",",D431,SEARCH(",",D431)+1) - SEARCH(",",D431) - 1))</f>
        <v>"SIMILAR"</v>
      </c>
      <c r="G431" s="3" t="str">
        <f>TRIM(MID(D431, FIND("#",SUBSTITUTE(D431,",","#",2))+1,99))</f>
        <v>false</v>
      </c>
    </row>
    <row r="432" spans="1:7" x14ac:dyDescent="0.25">
      <c r="A432" s="3" t="s">
        <v>298</v>
      </c>
      <c r="B432" s="4" t="str">
        <f t="shared" si="37"/>
        <v>580</v>
      </c>
      <c r="C432" s="5" t="str">
        <f t="shared" si="32"/>
        <v>580</v>
      </c>
      <c r="D432" s="3" t="s">
        <v>786</v>
      </c>
      <c r="E432" s="3" t="str">
        <f>TRIM(MID(D432, 1, SEARCH(",",D432) - 1))</f>
        <v>TOK_SIN</v>
      </c>
      <c r="F432" s="3" t="str">
        <f>TRIM(MID(D432, SEARCH(",",D432) + 1, SEARCH(",",D432,SEARCH(",",D432)+1) - SEARCH(",",D432) - 1))</f>
        <v>"SIN"</v>
      </c>
      <c r="G432" s="3" t="str">
        <f>TRIM(MID(D432, FIND("#",SUBSTITUTE(D432,",","#",2))+1,99))</f>
        <v>true</v>
      </c>
    </row>
    <row r="433" spans="1:9" x14ac:dyDescent="0.25">
      <c r="A433" s="3" t="s">
        <v>299</v>
      </c>
      <c r="B433" s="4" t="str">
        <f t="shared" si="37"/>
        <v>404</v>
      </c>
      <c r="C433" s="5" t="str">
        <f t="shared" si="32"/>
        <v>404</v>
      </c>
      <c r="D433" s="3" t="s">
        <v>787</v>
      </c>
      <c r="E433" s="3" t="str">
        <f>TRIM(MID(D433, 1, SEARCH(",",D433) - 1))</f>
        <v>TOK_SINGULAR</v>
      </c>
      <c r="F433" s="3" t="str">
        <f>TRIM(MID(D433, SEARCH(",",D433) + 1, SEARCH(",",D433,SEARCH(",",D433)+1) - SEARCH(",",D433) - 1))</f>
        <v>"SINGULAR"</v>
      </c>
      <c r="G433" s="3" t="str">
        <f>TRIM(MID(D433, FIND("#",SUBSTITUTE(D433,",","#",2))+1,99))</f>
        <v>true</v>
      </c>
    </row>
    <row r="434" spans="1:9" x14ac:dyDescent="0.25">
      <c r="A434" s="3" t="s">
        <v>300</v>
      </c>
      <c r="B434" s="4" t="str">
        <f t="shared" si="37"/>
        <v>581</v>
      </c>
      <c r="C434" s="5" t="str">
        <f t="shared" si="32"/>
        <v>581</v>
      </c>
      <c r="D434" s="3" t="s">
        <v>788</v>
      </c>
      <c r="E434" s="3" t="str">
        <f>TRIM(MID(D434, 1, SEARCH(",",D434) - 1))</f>
        <v>TOK_SINH</v>
      </c>
      <c r="F434" s="3" t="str">
        <f>TRIM(MID(D434, SEARCH(",",D434) + 1, SEARCH(",",D434,SEARCH(",",D434)+1) - SEARCH(",",D434) - 1))</f>
        <v>"SINH"</v>
      </c>
      <c r="G434" s="3" t="str">
        <f>TRIM(MID(D434, FIND("#",SUBSTITUTE(D434,",","#",2))+1,99))</f>
        <v>true</v>
      </c>
    </row>
    <row r="435" spans="1:9" x14ac:dyDescent="0.25">
      <c r="A435" s="3" t="s">
        <v>946</v>
      </c>
      <c r="B435" s="4" t="str">
        <f t="shared" si="37"/>
        <v>405</v>
      </c>
      <c r="C435" s="5" t="str">
        <f t="shared" si="32"/>
        <v>405</v>
      </c>
      <c r="D435" s="3" t="s">
        <v>789</v>
      </c>
      <c r="E435" s="3" t="str">
        <f>TRIM(MID(D435, 1, SEARCH(",",D435) - 1))</f>
        <v>TOK_SIZE</v>
      </c>
      <c r="F435" s="3" t="str">
        <f>TRIM(MID(D435, SEARCH(",",D435) + 1, SEARCH(",",D435,SEARCH(",",D435)+1) - SEARCH(",",D435) - 1))</f>
        <v>"SIZE"</v>
      </c>
      <c r="G435" s="3" t="str">
        <f>TRIM(MID(D435, FIND("#",SUBSTITUTE(D435,",","#",2))+1,99))</f>
        <v>true</v>
      </c>
      <c r="I435" t="s">
        <v>375</v>
      </c>
    </row>
    <row r="436" spans="1:9" x14ac:dyDescent="0.25">
      <c r="A436" s="3" t="s">
        <v>301</v>
      </c>
      <c r="B436" s="4" t="str">
        <f t="shared" si="37"/>
        <v>476</v>
      </c>
      <c r="C436" s="5" t="str">
        <f t="shared" si="32"/>
        <v>476</v>
      </c>
      <c r="D436" s="3" t="s">
        <v>790</v>
      </c>
      <c r="E436" s="3" t="str">
        <f>TRIM(MID(D436, 1, SEARCH(",",D436) - 1))</f>
        <v>TOK_SKIP</v>
      </c>
      <c r="F436" s="3" t="str">
        <f>TRIM(MID(D436, SEARCH(",",D436) + 1, SEARCH(",",D436,SEARCH(",",D436)+1) - SEARCH(",",D436) - 1))</f>
        <v>"SKIP"</v>
      </c>
      <c r="G436" s="3" t="str">
        <f>TRIM(MID(D436, FIND("#",SUBSTITUTE(D436,",","#",2))+1,99))</f>
        <v>true</v>
      </c>
    </row>
    <row r="437" spans="1:9" x14ac:dyDescent="0.25">
      <c r="A437" s="3" t="s">
        <v>302</v>
      </c>
      <c r="B437" s="4" t="str">
        <f t="shared" si="37"/>
        <v>406</v>
      </c>
      <c r="C437" s="5" t="str">
        <f t="shared" si="32"/>
        <v>406</v>
      </c>
      <c r="D437" s="3" t="s">
        <v>791</v>
      </c>
      <c r="E437" s="3" t="str">
        <f>TRIM(MID(D437, 1, SEARCH(",",D437) - 1))</f>
        <v>TOK_SMALLINT</v>
      </c>
      <c r="F437" s="3" t="str">
        <f>TRIM(MID(D437, SEARCH(",",D437) + 1, SEARCH(",",D437,SEARCH(",",D437)+1) - SEARCH(",",D437) - 1))</f>
        <v>"SMALLINT"</v>
      </c>
      <c r="G437" s="3" t="str">
        <f>TRIM(MID(D437, FIND("#",SUBSTITUTE(D437,",","#",2))+1,99))</f>
        <v>false</v>
      </c>
    </row>
    <row r="438" spans="1:9" x14ac:dyDescent="0.25">
      <c r="A438" s="3" t="s">
        <v>303</v>
      </c>
      <c r="B438" s="4" t="str">
        <f t="shared" si="37"/>
        <v>407</v>
      </c>
      <c r="C438" s="5" t="str">
        <f t="shared" si="32"/>
        <v>407</v>
      </c>
      <c r="D438" s="3" t="s">
        <v>792</v>
      </c>
      <c r="E438" s="3" t="str">
        <f>TRIM(MID(D438, 1, SEARCH(",",D438) - 1))</f>
        <v>TOK_SNAPSHOT</v>
      </c>
      <c r="F438" s="3" t="str">
        <f>TRIM(MID(D438, SEARCH(",",D438) + 1, SEARCH(",",D438,SEARCH(",",D438)+1) - SEARCH(",",D438) - 1))</f>
        <v>"SNAPSHOT"</v>
      </c>
      <c r="G438" s="3" t="str">
        <f>TRIM(MID(D438, FIND("#",SUBSTITUTE(D438,",","#",2))+1,99))</f>
        <v>true</v>
      </c>
    </row>
    <row r="439" spans="1:9" x14ac:dyDescent="0.25">
      <c r="A439" s="3" t="s">
        <v>304</v>
      </c>
      <c r="B439" s="4" t="str">
        <f t="shared" si="37"/>
        <v>408</v>
      </c>
      <c r="C439" s="5" t="str">
        <f t="shared" si="32"/>
        <v>408</v>
      </c>
      <c r="D439" s="3" t="s">
        <v>793</v>
      </c>
      <c r="E439" s="3" t="str">
        <f>TRIM(MID(D439, 1, SEARCH(",",D439) - 1))</f>
        <v>TOK_SOME</v>
      </c>
      <c r="F439" s="3" t="str">
        <f>TRIM(MID(D439, SEARCH(",",D439) + 1, SEARCH(",",D439,SEARCH(",",D439)+1) - SEARCH(",",D439) - 1))</f>
        <v>"SOME"</v>
      </c>
      <c r="G439" s="3" t="str">
        <f>TRIM(MID(D439, FIND("#",SUBSTITUTE(D439,",","#",2))+1,99))</f>
        <v>false</v>
      </c>
    </row>
    <row r="440" spans="1:9" x14ac:dyDescent="0.25">
      <c r="A440" s="3" t="s">
        <v>305</v>
      </c>
      <c r="B440" s="4" t="str">
        <f t="shared" si="37"/>
        <v>409</v>
      </c>
      <c r="C440" s="5" t="str">
        <f t="shared" si="32"/>
        <v>409</v>
      </c>
      <c r="D440" s="3" t="s">
        <v>794</v>
      </c>
      <c r="E440" s="3" t="str">
        <f>TRIM(MID(D440, 1, SEARCH(",",D440) - 1))</f>
        <v>TOK_SORT</v>
      </c>
      <c r="F440" s="3" t="str">
        <f>TRIM(MID(D440, SEARCH(",",D440) + 1, SEARCH(",",D440,SEARCH(",",D440)+1) - SEARCH(",",D440) - 1))</f>
        <v>"SORT"</v>
      </c>
      <c r="G440" s="3" t="str">
        <f>TRIM(MID(D440, FIND("#",SUBSTITUTE(D440,",","#",2))+1,99))</f>
        <v>true</v>
      </c>
      <c r="I440" t="s">
        <v>804</v>
      </c>
    </row>
    <row r="441" spans="1:9" x14ac:dyDescent="0.25">
      <c r="A441" s="3" t="s">
        <v>306</v>
      </c>
      <c r="B441" s="4" t="str">
        <f t="shared" si="37"/>
        <v>603</v>
      </c>
      <c r="C441" s="5" t="str">
        <f t="shared" si="32"/>
        <v>603</v>
      </c>
      <c r="D441" s="3" t="s">
        <v>795</v>
      </c>
      <c r="E441" s="3" t="str">
        <f>TRIM(MID(D441, 1, SEARCH(",",D441) - 1))</f>
        <v>TOK_SOURCE</v>
      </c>
      <c r="F441" s="3" t="str">
        <f>TRIM(MID(D441, SEARCH(",",D441) + 1, SEARCH(",",D441,SEARCH(",",D441)+1) - SEARCH(",",D441) - 1))</f>
        <v>"SOURCE"</v>
      </c>
      <c r="G441" s="3" t="str">
        <f>TRIM(MID(D441, FIND("#",SUBSTITUTE(D441,",","#",2))+1,99))</f>
        <v>true</v>
      </c>
    </row>
    <row r="442" spans="1:9" x14ac:dyDescent="0.25">
      <c r="A442" s="3" t="s">
        <v>307</v>
      </c>
      <c r="B442" s="4" t="str">
        <f t="shared" si="37"/>
        <v>582</v>
      </c>
      <c r="C442" s="5" t="str">
        <f t="shared" si="32"/>
        <v>582</v>
      </c>
      <c r="D442" s="3" t="s">
        <v>796</v>
      </c>
      <c r="E442" s="3" t="str">
        <f>TRIM(MID(D442, 1, SEARCH(",",D442) - 1))</f>
        <v>TOK_SPACE</v>
      </c>
      <c r="F442" s="3" t="str">
        <f>TRIM(MID(D442, SEARCH(",",D442) + 1, SEARCH(",",D442,SEARCH(",",D442)+1) - SEARCH(",",D442) - 1))</f>
        <v>"SPACE"</v>
      </c>
      <c r="G442" s="3" t="str">
        <f>TRIM(MID(D442, FIND("#",SUBSTITUTE(D442,",","#",2))+1,99))</f>
        <v>true</v>
      </c>
    </row>
    <row r="443" spans="1:9" x14ac:dyDescent="0.25">
      <c r="B443" s="4">
        <f t="shared" si="37"/>
        <v>-1</v>
      </c>
      <c r="C443" s="5">
        <v>758</v>
      </c>
      <c r="D443" s="3" t="s">
        <v>797</v>
      </c>
      <c r="E443" s="3" t="str">
        <f>TRIM(MID(D443, 1, SEARCH(",",D443) - 1))</f>
        <v>TOK_SQL</v>
      </c>
      <c r="F443" s="3" t="str">
        <f>TRIM(MID(D443, SEARCH(",",D443) + 1, SEARCH(",",D443,SEARCH(",",D443)+1) - SEARCH(",",D443) - 1))</f>
        <v>"SQL"</v>
      </c>
      <c r="G443" s="3" t="str">
        <f>TRIM(MID(D443, FIND("#",SUBSTITUTE(D443,",","#",2))+1,99))</f>
        <v>true</v>
      </c>
    </row>
    <row r="444" spans="1:9" x14ac:dyDescent="0.25">
      <c r="A444" s="3" t="s">
        <v>308</v>
      </c>
      <c r="B444" s="4" t="str">
        <f t="shared" si="37"/>
        <v>410</v>
      </c>
      <c r="C444" s="5" t="str">
        <f t="shared" si="32"/>
        <v>410</v>
      </c>
      <c r="D444" s="3" t="s">
        <v>798</v>
      </c>
      <c r="E444" s="3" t="str">
        <f>TRIM(MID(D444, 1, SEARCH(",",D444) - 1))</f>
        <v>TOK_SQLCODE</v>
      </c>
      <c r="F444" s="3" t="str">
        <f>TRIM(MID(D444, SEARCH(",",D444) + 1, SEARCH(",",D444,SEARCH(",",D444)+1) - SEARCH(",",D444) - 1))</f>
        <v>"SQLCODE"</v>
      </c>
      <c r="G444" s="3" t="str">
        <f>TRIM(MID(D444, FIND("#",SUBSTITUTE(D444,",","#",2))+1,99))</f>
        <v>false</v>
      </c>
    </row>
    <row r="445" spans="1:9" x14ac:dyDescent="0.25">
      <c r="A445" s="3" t="s">
        <v>309</v>
      </c>
      <c r="B445" s="4" t="str">
        <f t="shared" si="37"/>
        <v>637</v>
      </c>
      <c r="C445" s="5" t="str">
        <f t="shared" si="32"/>
        <v>637</v>
      </c>
      <c r="D445" s="3" t="s">
        <v>799</v>
      </c>
      <c r="E445" s="3" t="str">
        <f>TRIM(MID(D445, 1, SEARCH(",",D445) - 1))</f>
        <v>TOK_SQLSTATE</v>
      </c>
      <c r="F445" s="3" t="str">
        <f>TRIM(MID(D445, SEARCH(",",D445) + 1, SEARCH(",",D445,SEARCH(",",D445)+1) - SEARCH(",",D445) - 1))</f>
        <v>"SQLSTATE"</v>
      </c>
      <c r="G445" s="3" t="str">
        <f>TRIM(MID(D445, FIND("#",SUBSTITUTE(D445,",","#",2))+1,99))</f>
        <v>false</v>
      </c>
    </row>
    <row r="446" spans="1:9" x14ac:dyDescent="0.25">
      <c r="A446" s="3" t="s">
        <v>310</v>
      </c>
      <c r="B446" s="4" t="str">
        <f t="shared" si="37"/>
        <v>583</v>
      </c>
      <c r="C446" s="5" t="str">
        <f t="shared" si="32"/>
        <v>583</v>
      </c>
      <c r="D446" s="3" t="s">
        <v>800</v>
      </c>
      <c r="E446" s="3" t="str">
        <f>TRIM(MID(D446, 1, SEARCH(",",D446) - 1))</f>
        <v>TOK_SQRT</v>
      </c>
      <c r="F446" s="3" t="str">
        <f>TRIM(MID(D446, SEARCH(",",D446) + 1, SEARCH(",",D446,SEARCH(",",D446)+1) - SEARCH(",",D446) - 1))</f>
        <v>"SQRT"</v>
      </c>
      <c r="G446" s="3" t="str">
        <f>TRIM(MID(D446, FIND("#",SUBSTITUTE(D446,",","#",2))+1,99))</f>
        <v>true</v>
      </c>
    </row>
    <row r="447" spans="1:9" x14ac:dyDescent="0.25">
      <c r="A447" s="3" t="s">
        <v>311</v>
      </c>
      <c r="B447" s="4" t="str">
        <f t="shared" si="37"/>
        <v>411</v>
      </c>
      <c r="C447" s="5" t="str">
        <f t="shared" si="32"/>
        <v>411</v>
      </c>
      <c r="D447" s="3" t="s">
        <v>801</v>
      </c>
      <c r="E447" s="3" t="str">
        <f>TRIM(MID(D447, 1, SEARCH(",",D447) - 1))</f>
        <v>TOK_STABILITY</v>
      </c>
      <c r="F447" s="3" t="str">
        <f>TRIM(MID(D447, SEARCH(",",D447) + 1, SEARCH(",",D447,SEARCH(",",D447)+1) - SEARCH(",",D447) - 1))</f>
        <v>"STABILITY"</v>
      </c>
      <c r="G447" s="3" t="str">
        <f>TRIM(MID(D447, FIND("#",SUBSTITUTE(D447,",","#",2))+1,99))</f>
        <v>true</v>
      </c>
    </row>
    <row r="448" spans="1:9" x14ac:dyDescent="0.25">
      <c r="A448" s="3" t="s">
        <v>312</v>
      </c>
      <c r="B448" s="4" t="str">
        <f t="shared" si="37"/>
        <v>584</v>
      </c>
      <c r="C448" s="5" t="str">
        <f t="shared" si="32"/>
        <v>584</v>
      </c>
      <c r="D448" s="3" t="s">
        <v>802</v>
      </c>
      <c r="E448" s="3" t="str">
        <f>TRIM(MID(D448, 1, SEARCH(",",D448) - 1))</f>
        <v>TOK_START</v>
      </c>
      <c r="F448" s="3" t="str">
        <f>TRIM(MID(D448, SEARCH(",",D448) + 1, SEARCH(",",D448,SEARCH(",",D448)+1) - SEARCH(",",D448) - 1))</f>
        <v>"START"</v>
      </c>
      <c r="G448" s="3" t="str">
        <f>TRIM(MID(D448, FIND("#",SUBSTITUTE(D448,",","#",2))+1,99))</f>
        <v>false</v>
      </c>
    </row>
    <row r="449" spans="1:7" x14ac:dyDescent="0.25">
      <c r="A449" s="3" t="s">
        <v>313</v>
      </c>
      <c r="B449" s="4" t="str">
        <f t="shared" si="37"/>
        <v>412</v>
      </c>
      <c r="C449" s="5" t="str">
        <f t="shared" si="32"/>
        <v>412</v>
      </c>
      <c r="D449" s="3" t="s">
        <v>803</v>
      </c>
      <c r="E449" s="3" t="str">
        <f>TRIM(MID(D449, 1, SEARCH(",",D449) - 1))</f>
        <v>TOK_STARTING</v>
      </c>
      <c r="F449" s="3" t="str">
        <f>TRIM(MID(D449, SEARCH(",",D449) + 1, SEARCH(",",D449,SEARCH(",",D449)+1) - SEARCH(",",D449) - 1))</f>
        <v>"STARTING"</v>
      </c>
      <c r="G449" s="3" t="str">
        <f>TRIM(MID(D449, FIND("#",SUBSTITUTE(D449,",","#",2))+1,99))</f>
        <v>true</v>
      </c>
    </row>
    <row r="450" spans="1:7" x14ac:dyDescent="0.25">
      <c r="A450" s="3" t="s">
        <v>982</v>
      </c>
      <c r="B450" s="4" t="str">
        <f t="shared" si="37"/>
        <v>412</v>
      </c>
      <c r="C450" s="5" t="str">
        <f t="shared" si="32"/>
        <v>412</v>
      </c>
      <c r="D450" s="3" t="s">
        <v>981</v>
      </c>
      <c r="E450" s="3" t="str">
        <f>TRIM(MID(D450, 1, SEARCH(",",D450) - 1))</f>
        <v>TOK_STARTS</v>
      </c>
      <c r="F450" s="3" t="str">
        <f>TRIM(MID(D450, SEARCH(",",D450) + 1, SEARCH(",",D450,SEARCH(",",D450)+1) - SEARCH(",",D450) - 1))</f>
        <v>"STARTS"</v>
      </c>
      <c r="G450" s="3" t="str">
        <f>TRIM(MID(D450, FIND("#",SUBSTITUTE(D450,",","#",2))+1,99))</f>
        <v>true</v>
      </c>
    </row>
    <row r="451" spans="1:7" x14ac:dyDescent="0.25">
      <c r="A451" s="3" t="s">
        <v>314</v>
      </c>
      <c r="B451" s="4" t="str">
        <f t="shared" si="37"/>
        <v>490</v>
      </c>
      <c r="C451" s="5" t="str">
        <f t="shared" si="32"/>
        <v>490</v>
      </c>
      <c r="D451" s="3" t="s">
        <v>805</v>
      </c>
      <c r="E451" s="3" t="str">
        <f>TRIM(MID(D451, 1, SEARCH(",",D451) - 1))</f>
        <v>TOK_STATEMENT</v>
      </c>
      <c r="F451" s="3" t="str">
        <f>TRIM(MID(D451, SEARCH(",",D451) + 1, SEARCH(",",D451,SEARCH(",",D451)+1) - SEARCH(",",D451) - 1))</f>
        <v>"STATEMENT"</v>
      </c>
      <c r="G451" s="3" t="str">
        <f>TRIM(MID(D451, FIND("#",SUBSTITUTE(D451,",","#",2))+1,99))</f>
        <v>true</v>
      </c>
    </row>
    <row r="452" spans="1:7" x14ac:dyDescent="0.25">
      <c r="A452" s="3" t="s">
        <v>315</v>
      </c>
      <c r="B452" s="4" t="str">
        <f t="shared" si="37"/>
        <v>413</v>
      </c>
      <c r="C452" s="5" t="str">
        <f t="shared" ref="C452:C514" si="38">IF(B452 = "***", -1, B452)</f>
        <v>413</v>
      </c>
      <c r="D452" s="3" t="s">
        <v>806</v>
      </c>
      <c r="E452" s="3" t="str">
        <f>TRIM(MID(D452, 1, SEARCH(",",D452) - 1))</f>
        <v>TOK_STATISTICS</v>
      </c>
      <c r="F452" s="3" t="str">
        <f>TRIM(MID(D452, SEARCH(",",D452) + 1, SEARCH(",",D452,SEARCH(",",D452)+1) - SEARCH(",",D452) - 1))</f>
        <v>"STATISTICS"</v>
      </c>
      <c r="G452" s="3" t="str">
        <f>TRIM(MID(D452, FIND("#",SUBSTITUTE(D452,",","#",2))+1,99))</f>
        <v>true</v>
      </c>
    </row>
    <row r="453" spans="1:7" x14ac:dyDescent="0.25">
      <c r="B453" s="4">
        <f t="shared" si="37"/>
        <v>-1</v>
      </c>
      <c r="C453" s="5">
        <v>759</v>
      </c>
      <c r="D453" s="3" t="s">
        <v>807</v>
      </c>
      <c r="E453" s="3" t="str">
        <f>TRIM(MID(D453, 1, SEARCH(",",D453) - 1))</f>
        <v>TOK_STDDEV_POP</v>
      </c>
      <c r="F453" s="3" t="str">
        <f>TRIM(MID(D453, SEARCH(",",D453) + 1, SEARCH(",",D453,SEARCH(",",D453)+1) - SEARCH(",",D453) - 1))</f>
        <v>"STDDEV_POP"</v>
      </c>
      <c r="G453" s="3" t="str">
        <f>TRIM(MID(D453, FIND("#",SUBSTITUTE(D453,",","#",2))+1,99))</f>
        <v>false</v>
      </c>
    </row>
    <row r="454" spans="1:7" x14ac:dyDescent="0.25">
      <c r="B454" s="4">
        <f t="shared" si="37"/>
        <v>-1</v>
      </c>
      <c r="C454" s="5">
        <v>760</v>
      </c>
      <c r="D454" s="3" t="s">
        <v>808</v>
      </c>
      <c r="E454" s="3" t="str">
        <f>TRIM(MID(D454, 1, SEARCH(",",D454) - 1))</f>
        <v>TOK_STDDEV_SAMP</v>
      </c>
      <c r="F454" s="3" t="str">
        <f>TRIM(MID(D454, SEARCH(",",D454) + 1, SEARCH(",",D454,SEARCH(",",D454)+1) - SEARCH(",",D454) - 1))</f>
        <v>"STDDEV_SAMP"</v>
      </c>
      <c r="G454" s="3" t="str">
        <f>TRIM(MID(D454, FIND("#",SUBSTITUTE(D454,",","#",2))+1,99))</f>
        <v>false</v>
      </c>
    </row>
    <row r="455" spans="1:7" x14ac:dyDescent="0.25">
      <c r="A455" s="3" t="s">
        <v>316</v>
      </c>
      <c r="B455" s="4" t="str">
        <f t="shared" si="37"/>
        <v>443</v>
      </c>
      <c r="C455" s="5" t="str">
        <f t="shared" si="38"/>
        <v>443</v>
      </c>
      <c r="D455" s="3" t="s">
        <v>983</v>
      </c>
      <c r="E455" s="3" t="str">
        <f>TRIM(MID(D455, 1, SEARCH(",",D455) - 1))</f>
        <v>TOK_STRING</v>
      </c>
      <c r="F455" s="3" t="str">
        <f>TRIM(MID(D455, SEARCH(",",D455) + 1, SEARCH(",",D455,SEARCH(",",D455)+1) - SEARCH(",",D455) - 1))</f>
        <v>"STRING"</v>
      </c>
      <c r="G455" s="3" t="str">
        <f>TRIM(MID(D455, FIND("#",SUBSTITUTE(D455,",","#",2))+1,99))</f>
        <v>true</v>
      </c>
    </row>
    <row r="456" spans="1:7" x14ac:dyDescent="0.25">
      <c r="A456" s="3" t="s">
        <v>317</v>
      </c>
      <c r="B456" s="4" t="str">
        <f t="shared" si="37"/>
        <v>414</v>
      </c>
      <c r="C456" s="5" t="str">
        <f t="shared" si="38"/>
        <v>414</v>
      </c>
      <c r="D456" s="3" t="s">
        <v>809</v>
      </c>
      <c r="E456" s="3" t="str">
        <f>TRIM(MID(D456, 1, SEARCH(",",D456) - 1))</f>
        <v>TOK_SUB_TYPE</v>
      </c>
      <c r="F456" s="3" t="str">
        <f>TRIM(MID(D456, SEARCH(",",D456) + 1, SEARCH(",",D456,SEARCH(",",D456)+1) - SEARCH(",",D456) - 1))</f>
        <v>"SUB_TYPE"</v>
      </c>
      <c r="G456" s="3" t="str">
        <f>TRIM(MID(D456, FIND("#",SUBSTITUTE(D456,",","#",2))+1,99))</f>
        <v>true</v>
      </c>
    </row>
    <row r="457" spans="1:7" x14ac:dyDescent="0.25">
      <c r="A457" s="3" t="s">
        <v>318</v>
      </c>
      <c r="B457" s="4" t="str">
        <f t="shared" si="37"/>
        <v>472</v>
      </c>
      <c r="C457" s="5" t="str">
        <f t="shared" si="38"/>
        <v>472</v>
      </c>
      <c r="D457" s="3" t="s">
        <v>879</v>
      </c>
      <c r="E457" s="3" t="str">
        <f>TRIM(MID(D457, 1, SEARCH(",",D457) - 1))</f>
        <v>TOK_SUBSTRING</v>
      </c>
      <c r="F457" s="3" t="str">
        <f>TRIM(MID(D457, SEARCH(",",D457) + 1, SEARCH(",",D457,SEARCH(",",D457)+1) - SEARCH(",",D457) - 1))</f>
        <v>"SUBSTRING"</v>
      </c>
      <c r="G457" s="3" t="str">
        <f>TRIM(MID(D457, FIND("#",SUBSTITUTE(D457,",","#",2))+1,99))</f>
        <v>true</v>
      </c>
    </row>
    <row r="458" spans="1:7" x14ac:dyDescent="0.25">
      <c r="A458" s="3" t="s">
        <v>319</v>
      </c>
      <c r="B458" s="4" t="str">
        <f t="shared" si="37"/>
        <v>416</v>
      </c>
      <c r="C458" s="5" t="str">
        <f t="shared" si="38"/>
        <v>416</v>
      </c>
      <c r="D458" s="3" t="s">
        <v>810</v>
      </c>
      <c r="E458" s="3" t="str">
        <f>TRIM(MID(D458, 1, SEARCH(",",D458) - 1))</f>
        <v>TOK_SUM</v>
      </c>
      <c r="F458" s="3" t="str">
        <f>TRIM(MID(D458, SEARCH(",",D458) + 1, SEARCH(",",D458,SEARCH(",",D458)+1) - SEARCH(",",D458) - 1))</f>
        <v>"SUM"</v>
      </c>
      <c r="G458" s="3" t="str">
        <f>TRIM(MID(D458, FIND("#",SUBSTITUTE(D458,",","#",2))+1,99))</f>
        <v>false</v>
      </c>
    </row>
    <row r="459" spans="1:7" x14ac:dyDescent="0.25">
      <c r="A459" s="3" t="s">
        <v>320</v>
      </c>
      <c r="B459" s="4" t="str">
        <f t="shared" si="37"/>
        <v>415</v>
      </c>
      <c r="C459" s="5" t="str">
        <f t="shared" si="38"/>
        <v>415</v>
      </c>
      <c r="D459" s="3" t="s">
        <v>811</v>
      </c>
      <c r="E459" s="3" t="str">
        <f>TRIM(MID(D459, 1, SEARCH(",",D459) - 1))</f>
        <v>TOK_SUSPEND</v>
      </c>
      <c r="F459" s="3" t="str">
        <f>TRIM(MID(D459, SEARCH(",",D459) + 1, SEARCH(",",D459,SEARCH(",",D459)+1) - SEARCH(",",D459) - 1))</f>
        <v>"SUSPEND"</v>
      </c>
      <c r="G459" s="3" t="str">
        <f>TRIM(MID(D459, FIND("#",SUBSTITUTE(D459,",","#",2))+1,99))</f>
        <v>true</v>
      </c>
    </row>
    <row r="460" spans="1:7" x14ac:dyDescent="0.25">
      <c r="A460" s="3" t="s">
        <v>321</v>
      </c>
      <c r="B460" s="4" t="str">
        <f t="shared" si="37"/>
        <v>441</v>
      </c>
      <c r="C460" s="5" t="str">
        <f t="shared" si="38"/>
        <v>441</v>
      </c>
      <c r="D460" s="3" t="s">
        <v>984</v>
      </c>
      <c r="E460" s="3" t="str">
        <f>TRIM(MID(D460, 1, SEARCH(",",D460) - 1))</f>
        <v>TOK_SYMBOL</v>
      </c>
      <c r="F460" s="3" t="str">
        <f>TRIM(MID(D460, SEARCH(",",D460) + 1, SEARCH(",",D460,SEARCH(",",D460)+1) - SEARCH(",",D460) - 1))</f>
        <v>"SYMBOL"</v>
      </c>
      <c r="G460" s="3" t="str">
        <f>TRIM(MID(D460, FIND("#",SUBSTITUTE(D460,",","#",2))+1,99))</f>
        <v>true</v>
      </c>
    </row>
    <row r="461" spans="1:7" x14ac:dyDescent="0.25">
      <c r="B461" s="4">
        <f t="shared" si="37"/>
        <v>-1</v>
      </c>
      <c r="C461" s="5">
        <v>761</v>
      </c>
      <c r="D461" s="3" t="s">
        <v>812</v>
      </c>
      <c r="E461" s="3" t="str">
        <f>TRIM(MID(D461, 1, SEARCH(",",D461) - 1))</f>
        <v>TOK_SYSTEM</v>
      </c>
      <c r="F461" s="3" t="str">
        <f>TRIM(MID(D461, SEARCH(",",D461) + 1, SEARCH(",",D461,SEARCH(",",D461)+1) - SEARCH(",",D461) - 1))</f>
        <v>"SYSTEM"</v>
      </c>
      <c r="G461" s="3" t="str">
        <f>TRIM(MID(D461, FIND("#",SUBSTITUTE(D461,",","#",2))+1,99))</f>
        <v>true</v>
      </c>
    </row>
    <row r="462" spans="1:7" x14ac:dyDescent="0.25">
      <c r="A462" s="3" t="s">
        <v>322</v>
      </c>
      <c r="B462" s="4" t="str">
        <f t="shared" si="37"/>
        <v>417</v>
      </c>
      <c r="C462" s="5" t="str">
        <f t="shared" si="38"/>
        <v>417</v>
      </c>
      <c r="D462" s="3" t="s">
        <v>813</v>
      </c>
      <c r="E462" s="3" t="str">
        <f t="shared" ref="E462:E525" si="39">TRIM(MID(D462, 1, SEARCH(",",D462) - 1))</f>
        <v>TOK_TABLE</v>
      </c>
      <c r="F462" s="3" t="str">
        <f t="shared" ref="F462:F527" si="40">TRIM(MID(D462, SEARCH(",",D462) + 1, SEARCH(",",D462,SEARCH(",",D462)+1) - SEARCH(",",D462) - 1))</f>
        <v>"TABLE"</v>
      </c>
      <c r="G462" s="3" t="str">
        <f>TRIM(MID(D462, FIND("#",SUBSTITUTE(D462,",","#",2))+1,99))</f>
        <v>false</v>
      </c>
    </row>
    <row r="463" spans="1:7" x14ac:dyDescent="0.25">
      <c r="A463" s="3" t="s">
        <v>323</v>
      </c>
      <c r="B463" s="4" t="str">
        <f t="shared" si="37"/>
        <v>645</v>
      </c>
      <c r="C463" s="5" t="str">
        <f t="shared" si="38"/>
        <v>645</v>
      </c>
      <c r="D463" s="3" t="s">
        <v>814</v>
      </c>
      <c r="E463" s="3" t="str">
        <f t="shared" si="39"/>
        <v>TOK_TAGS</v>
      </c>
      <c r="F463" s="3" t="str">
        <f t="shared" si="40"/>
        <v>"TAGS"</v>
      </c>
      <c r="G463" s="3" t="str">
        <f>TRIM(MID(D463, FIND("#",SUBSTITUTE(D463,",","#",2))+1,99))</f>
        <v>true</v>
      </c>
    </row>
    <row r="464" spans="1:7" x14ac:dyDescent="0.25">
      <c r="A464" s="3" t="s">
        <v>324</v>
      </c>
      <c r="B464" s="4" t="str">
        <f t="shared" si="37"/>
        <v>585</v>
      </c>
      <c r="C464" s="5" t="str">
        <f t="shared" si="38"/>
        <v>585</v>
      </c>
      <c r="D464" s="3" t="s">
        <v>815</v>
      </c>
      <c r="E464" s="3" t="str">
        <f t="shared" si="39"/>
        <v>TOK_TAN</v>
      </c>
      <c r="F464" s="3" t="str">
        <f t="shared" si="40"/>
        <v>"TAN"</v>
      </c>
      <c r="G464" s="3" t="str">
        <f>TRIM(MID(D464, FIND("#",SUBSTITUTE(D464,",","#",2))+1,99))</f>
        <v>true</v>
      </c>
    </row>
    <row r="465" spans="1:7" x14ac:dyDescent="0.25">
      <c r="A465" s="3" t="s">
        <v>325</v>
      </c>
      <c r="B465" s="4" t="str">
        <f t="shared" si="37"/>
        <v>586</v>
      </c>
      <c r="C465" s="5" t="str">
        <f t="shared" si="38"/>
        <v>586</v>
      </c>
      <c r="D465" s="3" t="s">
        <v>816</v>
      </c>
      <c r="E465" s="3" t="str">
        <f t="shared" si="39"/>
        <v>TOK_TANH</v>
      </c>
      <c r="F465" s="3" t="str">
        <f t="shared" si="40"/>
        <v>"TANH"</v>
      </c>
      <c r="G465" s="3" t="str">
        <f>TRIM(MID(D465, FIND("#",SUBSTITUTE(D465,",","#",2))+1,99))</f>
        <v>true</v>
      </c>
    </row>
    <row r="466" spans="1:7" x14ac:dyDescent="0.25">
      <c r="B466" s="4">
        <f t="shared" si="37"/>
        <v>-1</v>
      </c>
      <c r="C466" s="5">
        <v>762</v>
      </c>
      <c r="D466" s="3" t="s">
        <v>817</v>
      </c>
      <c r="E466" s="3" t="str">
        <f t="shared" si="39"/>
        <v>TOK_TARGET</v>
      </c>
      <c r="F466" s="3" t="str">
        <f t="shared" si="40"/>
        <v>"TARGET"</v>
      </c>
      <c r="G466" s="3" t="str">
        <f>TRIM(MID(D466, FIND("#",SUBSTITUTE(D466,",","#",2))+1,99))</f>
        <v>true</v>
      </c>
    </row>
    <row r="467" spans="1:7" x14ac:dyDescent="0.25">
      <c r="A467" s="3" t="s">
        <v>326</v>
      </c>
      <c r="B467" s="4" t="str">
        <f t="shared" si="37"/>
        <v>587</v>
      </c>
      <c r="C467" s="5" t="str">
        <f t="shared" si="38"/>
        <v>587</v>
      </c>
      <c r="D467" s="3" t="s">
        <v>818</v>
      </c>
      <c r="E467" s="3" t="str">
        <f t="shared" si="39"/>
        <v>TOK_TEMPORARY</v>
      </c>
      <c r="F467" s="3" t="str">
        <f t="shared" si="40"/>
        <v>"TEMPORARY"</v>
      </c>
      <c r="G467" s="3" t="str">
        <f>TRIM(MID(D467, FIND("#",SUBSTITUTE(D467,",","#",2))+1,99))</f>
        <v>true</v>
      </c>
    </row>
    <row r="468" spans="1:7" x14ac:dyDescent="0.25">
      <c r="A468" s="3" t="s">
        <v>327</v>
      </c>
      <c r="B468" s="4" t="str">
        <f t="shared" si="37"/>
        <v>418</v>
      </c>
      <c r="C468" s="5" t="str">
        <f t="shared" si="38"/>
        <v>418</v>
      </c>
      <c r="D468" s="3" t="s">
        <v>819</v>
      </c>
      <c r="E468" s="3" t="str">
        <f t="shared" si="39"/>
        <v>TOK_THEN</v>
      </c>
      <c r="F468" s="3" t="str">
        <f t="shared" si="40"/>
        <v>"THEN"</v>
      </c>
      <c r="G468" s="3" t="str">
        <f>TRIM(MID(D468, FIND("#",SUBSTITUTE(D468,",","#",2))+1,99))</f>
        <v>false</v>
      </c>
    </row>
    <row r="469" spans="1:7" x14ac:dyDescent="0.25">
      <c r="B469" s="4">
        <f t="shared" si="37"/>
        <v>-1</v>
      </c>
      <c r="C469" s="5">
        <v>763</v>
      </c>
      <c r="D469" s="3" t="s">
        <v>820</v>
      </c>
      <c r="E469" s="3" t="str">
        <f t="shared" si="39"/>
        <v>TOK_TIES</v>
      </c>
      <c r="F469" s="3" t="str">
        <f t="shared" si="40"/>
        <v>"TIES"</v>
      </c>
      <c r="G469" s="3" t="str">
        <f>TRIM(MID(D469, FIND("#",SUBSTITUTE(D469,",","#",2))+1,99))</f>
        <v>true</v>
      </c>
    </row>
    <row r="470" spans="1:7" x14ac:dyDescent="0.25">
      <c r="A470" s="3" t="s">
        <v>328</v>
      </c>
      <c r="B470" s="4" t="str">
        <f t="shared" si="37"/>
        <v>462</v>
      </c>
      <c r="C470" s="5" t="str">
        <f t="shared" si="38"/>
        <v>462</v>
      </c>
      <c r="D470" s="3" t="s">
        <v>821</v>
      </c>
      <c r="E470" s="3" t="str">
        <f t="shared" si="39"/>
        <v>TOK_TIME</v>
      </c>
      <c r="F470" s="3" t="str">
        <f t="shared" si="40"/>
        <v>"TIME"</v>
      </c>
      <c r="G470" s="3" t="str">
        <f>TRIM(MID(D470, FIND("#",SUBSTITUTE(D470,",","#",2))+1,99))</f>
        <v>false</v>
      </c>
    </row>
    <row r="471" spans="1:7" x14ac:dyDescent="0.25">
      <c r="A471" s="3" t="s">
        <v>329</v>
      </c>
      <c r="B471" s="4" t="str">
        <f t="shared" si="37"/>
        <v>524</v>
      </c>
      <c r="C471" s="5" t="str">
        <f t="shared" si="38"/>
        <v>524</v>
      </c>
      <c r="D471" s="3" t="s">
        <v>822</v>
      </c>
      <c r="E471" s="3" t="str">
        <f t="shared" si="39"/>
        <v>TOK_TIMEOUT</v>
      </c>
      <c r="F471" s="3" t="str">
        <f t="shared" si="40"/>
        <v>"TIMEOUT"</v>
      </c>
      <c r="G471" s="3" t="str">
        <f>TRIM(MID(D471, FIND("#",SUBSTITUTE(D471,",","#",2))+1,99))</f>
        <v>true</v>
      </c>
    </row>
    <row r="472" spans="1:7" x14ac:dyDescent="0.25">
      <c r="A472" s="3" t="s">
        <v>330</v>
      </c>
      <c r="B472" s="4" t="str">
        <f t="shared" si="37"/>
        <v>463</v>
      </c>
      <c r="C472" s="5" t="str">
        <f t="shared" si="38"/>
        <v>463</v>
      </c>
      <c r="D472" s="3" t="s">
        <v>823</v>
      </c>
      <c r="E472" s="3" t="str">
        <f t="shared" si="39"/>
        <v>TOK_TIMESTAMP</v>
      </c>
      <c r="F472" s="3" t="str">
        <f t="shared" si="40"/>
        <v>"TIMESTAMP"</v>
      </c>
      <c r="G472" s="3" t="str">
        <f>TRIM(MID(D472, FIND("#",SUBSTITUTE(D472,",","#",2))+1,99))</f>
        <v>false</v>
      </c>
    </row>
    <row r="473" spans="1:7" x14ac:dyDescent="0.25">
      <c r="B473" s="4">
        <f t="shared" si="37"/>
        <v>-1</v>
      </c>
      <c r="C473" s="5">
        <v>764</v>
      </c>
      <c r="D473" s="3" t="s">
        <v>824</v>
      </c>
      <c r="E473" s="3" t="str">
        <f t="shared" si="39"/>
        <v>TOK_TIMEZONE_HOUR</v>
      </c>
      <c r="F473" s="3" t="str">
        <f t="shared" si="40"/>
        <v>"TIMEZONE_HOUR"</v>
      </c>
      <c r="G473" s="3" t="str">
        <f>TRIM(MID(D473, FIND("#",SUBSTITUTE(D473,",","#",2))+1,99))</f>
        <v>false</v>
      </c>
    </row>
    <row r="474" spans="1:7" x14ac:dyDescent="0.25">
      <c r="B474" s="4">
        <f t="shared" si="37"/>
        <v>-1</v>
      </c>
      <c r="C474" s="5">
        <v>765</v>
      </c>
      <c r="D474" s="3" t="s">
        <v>825</v>
      </c>
      <c r="E474" s="3" t="str">
        <f t="shared" si="39"/>
        <v>TOK_TIMEZONE_MINUTE</v>
      </c>
      <c r="F474" s="3" t="str">
        <f t="shared" si="40"/>
        <v>"TIMEZONE_MINUTE"</v>
      </c>
      <c r="G474" s="3" t="str">
        <f>TRIM(MID(D474, FIND("#",SUBSTITUTE(D474,",","#",2))+1,99))</f>
        <v>false</v>
      </c>
    </row>
    <row r="475" spans="1:7" x14ac:dyDescent="0.25">
      <c r="B475" s="4">
        <f t="shared" si="37"/>
        <v>-1</v>
      </c>
      <c r="C475" s="5">
        <v>766</v>
      </c>
      <c r="D475" s="3" t="s">
        <v>826</v>
      </c>
      <c r="E475" s="3" t="str">
        <f t="shared" si="39"/>
        <v>TOK_TIMEZONE_NAME</v>
      </c>
      <c r="F475" s="3" t="str">
        <f t="shared" si="40"/>
        <v>"TIMEZONE_NAME"</v>
      </c>
      <c r="G475" s="3" t="str">
        <f>TRIM(MID(D475, FIND("#",SUBSTITUTE(D475,",","#",2))+1,99))</f>
        <v>true</v>
      </c>
    </row>
    <row r="476" spans="1:7" x14ac:dyDescent="0.25">
      <c r="A476" s="3" t="s">
        <v>331</v>
      </c>
      <c r="B476" s="4" t="str">
        <f t="shared" si="37"/>
        <v>419</v>
      </c>
      <c r="C476" s="5" t="str">
        <f t="shared" si="38"/>
        <v>419</v>
      </c>
      <c r="D476" s="3" t="s">
        <v>827</v>
      </c>
      <c r="E476" s="3" t="str">
        <f t="shared" si="39"/>
        <v>TOK_TO</v>
      </c>
      <c r="F476" s="3" t="str">
        <f t="shared" si="40"/>
        <v>"TO"</v>
      </c>
      <c r="G476" s="3" t="str">
        <f>TRIM(MID(D476, FIND("#",SUBSTITUTE(D476,",","#",2))+1,99))</f>
        <v>false</v>
      </c>
    </row>
    <row r="477" spans="1:7" x14ac:dyDescent="0.25">
      <c r="B477" s="4">
        <f t="shared" si="37"/>
        <v>-1</v>
      </c>
      <c r="C477" s="5">
        <v>767</v>
      </c>
      <c r="D477" s="3" t="s">
        <v>828</v>
      </c>
      <c r="E477" s="3" t="str">
        <f t="shared" si="39"/>
        <v>TOK_TOTALORDER</v>
      </c>
      <c r="F477" s="3" t="str">
        <f t="shared" si="40"/>
        <v>"TOTALORDER"</v>
      </c>
      <c r="G477" s="3" t="str">
        <f>TRIM(MID(D477, FIND("#",SUBSTITUTE(D477,",","#",2))+1,99))</f>
        <v>true</v>
      </c>
    </row>
    <row r="478" spans="1:7" x14ac:dyDescent="0.25">
      <c r="A478" s="3" t="s">
        <v>332</v>
      </c>
      <c r="B478" s="4" t="str">
        <f t="shared" si="37"/>
        <v>517</v>
      </c>
      <c r="C478" s="5" t="str">
        <f t="shared" si="38"/>
        <v>517</v>
      </c>
      <c r="D478" s="3" t="s">
        <v>829</v>
      </c>
      <c r="E478" s="3" t="str">
        <f t="shared" si="39"/>
        <v>TOK_TRAILING</v>
      </c>
      <c r="F478" s="3" t="str">
        <f t="shared" si="40"/>
        <v>"TRAILING"</v>
      </c>
      <c r="G478" s="3" t="str">
        <f>TRIM(MID(D478, FIND("#",SUBSTITUTE(D478,",","#",2))+1,99))</f>
        <v>false</v>
      </c>
    </row>
    <row r="479" spans="1:7" x14ac:dyDescent="0.25">
      <c r="A479" s="3" t="s">
        <v>333</v>
      </c>
      <c r="B479" s="4" t="str">
        <f t="shared" si="37"/>
        <v>420</v>
      </c>
      <c r="C479" s="5" t="str">
        <f t="shared" si="38"/>
        <v>420</v>
      </c>
      <c r="D479" s="3" t="s">
        <v>830</v>
      </c>
      <c r="E479" s="3" t="str">
        <f t="shared" si="39"/>
        <v>TOK_TRANSACTION</v>
      </c>
      <c r="F479" s="3" t="str">
        <f t="shared" si="40"/>
        <v>"TRANSACTION"</v>
      </c>
      <c r="G479" s="3" t="str">
        <f>TRIM(MID(D479, FIND("#",SUBSTITUTE(D479,",","#",2))+1,99))</f>
        <v>true</v>
      </c>
    </row>
    <row r="480" spans="1:7" x14ac:dyDescent="0.25">
      <c r="B480" s="4">
        <f t="shared" si="37"/>
        <v>-1</v>
      </c>
      <c r="C480" s="5">
        <v>768</v>
      </c>
      <c r="D480" s="3" t="s">
        <v>831</v>
      </c>
      <c r="E480" s="3" t="str">
        <f t="shared" si="39"/>
        <v>TOK_TRAPS</v>
      </c>
      <c r="F480" s="3" t="str">
        <f t="shared" si="40"/>
        <v>"TRAPS"</v>
      </c>
      <c r="G480" s="3" t="str">
        <f>TRIM(MID(D480, FIND("#",SUBSTITUTE(D480,",","#",2))+1,99))</f>
        <v>true</v>
      </c>
    </row>
    <row r="481" spans="1:7" x14ac:dyDescent="0.25">
      <c r="A481" s="3" t="s">
        <v>334</v>
      </c>
      <c r="B481" s="4" t="str">
        <f t="shared" ref="B481:B530" si="41">IF(A481 = "", -1,TRIM(MID(A481, SEARCH(" ",A481) + 1, 99)))</f>
        <v>421</v>
      </c>
      <c r="C481" s="5" t="str">
        <f t="shared" si="38"/>
        <v>421</v>
      </c>
      <c r="D481" s="3" t="s">
        <v>832</v>
      </c>
      <c r="E481" s="3" t="str">
        <f t="shared" si="39"/>
        <v>TOK_TRIGGER</v>
      </c>
      <c r="F481" s="3" t="str">
        <f t="shared" si="40"/>
        <v>"TRIGGER"</v>
      </c>
      <c r="G481" s="3" t="str">
        <f>TRIM(MID(D481, FIND("#",SUBSTITUTE(D481,",","#",2))+1,99))</f>
        <v>false</v>
      </c>
    </row>
    <row r="482" spans="1:7" x14ac:dyDescent="0.25">
      <c r="A482" s="3" t="s">
        <v>335</v>
      </c>
      <c r="B482" s="4" t="str">
        <f t="shared" si="41"/>
        <v>518</v>
      </c>
      <c r="C482" s="5" t="str">
        <f t="shared" si="38"/>
        <v>518</v>
      </c>
      <c r="D482" s="3" t="s">
        <v>833</v>
      </c>
      <c r="E482" s="3" t="str">
        <f t="shared" si="39"/>
        <v>TOK_TRIM</v>
      </c>
      <c r="F482" s="3" t="str">
        <f t="shared" si="40"/>
        <v>"TRIM"</v>
      </c>
      <c r="G482" s="3" t="str">
        <f>TRIM(MID(D482, FIND("#",SUBSTITUTE(D482,",","#",2))+1,99))</f>
        <v>false</v>
      </c>
    </row>
    <row r="483" spans="1:7" x14ac:dyDescent="0.25">
      <c r="A483" s="3" t="s">
        <v>947</v>
      </c>
      <c r="B483" s="4" t="str">
        <f t="shared" si="41"/>
        <v>640</v>
      </c>
      <c r="C483" s="5" t="str">
        <f t="shared" si="38"/>
        <v>640</v>
      </c>
      <c r="D483" s="3" t="s">
        <v>834</v>
      </c>
      <c r="E483" s="3" t="str">
        <f t="shared" si="39"/>
        <v>TOK_TRUE</v>
      </c>
      <c r="F483" s="3" t="str">
        <f t="shared" si="40"/>
        <v>"TRUE"</v>
      </c>
      <c r="G483" s="3" t="str">
        <f>TRIM(MID(D483, FIND("#",SUBSTITUTE(D483,",","#",2))+1,99))</f>
        <v>false</v>
      </c>
    </row>
    <row r="484" spans="1:7" x14ac:dyDescent="0.25">
      <c r="A484" s="3" t="s">
        <v>336</v>
      </c>
      <c r="B484" s="4" t="str">
        <f t="shared" si="41"/>
        <v>588</v>
      </c>
      <c r="C484" s="5" t="str">
        <f t="shared" si="38"/>
        <v>588</v>
      </c>
      <c r="D484" s="3" t="s">
        <v>835</v>
      </c>
      <c r="E484" s="3" t="str">
        <f t="shared" si="39"/>
        <v>TOK_TRUNC</v>
      </c>
      <c r="F484" s="3" t="str">
        <f t="shared" si="40"/>
        <v>"TRUNC"</v>
      </c>
      <c r="G484" s="3" t="str">
        <f>TRIM(MID(D484, FIND("#",SUBSTITUTE(D484,",","#",2))+1,99))</f>
        <v>true</v>
      </c>
    </row>
    <row r="485" spans="1:7" x14ac:dyDescent="0.25">
      <c r="B485" s="4">
        <f t="shared" si="41"/>
        <v>-1</v>
      </c>
      <c r="C485" s="5">
        <v>769</v>
      </c>
      <c r="D485" s="3" t="s">
        <v>836</v>
      </c>
      <c r="E485" s="3" t="str">
        <f t="shared" si="39"/>
        <v>TOK_TRUSTED</v>
      </c>
      <c r="F485" s="3" t="str">
        <f t="shared" si="40"/>
        <v>"TRUSTED"</v>
      </c>
      <c r="G485" s="3" t="str">
        <f>TRIM(MID(D485, FIND("#",SUBSTITUTE(D485,",","#",2))+1,99))</f>
        <v>true</v>
      </c>
    </row>
    <row r="486" spans="1:7" x14ac:dyDescent="0.25">
      <c r="A486" s="3" t="s">
        <v>337</v>
      </c>
      <c r="B486" s="4" t="str">
        <f t="shared" si="41"/>
        <v>604</v>
      </c>
      <c r="C486" s="5" t="str">
        <f t="shared" si="38"/>
        <v>604</v>
      </c>
      <c r="D486" s="3" t="s">
        <v>837</v>
      </c>
      <c r="E486" s="3" t="str">
        <f t="shared" si="39"/>
        <v>TOK_TWO_PHASE</v>
      </c>
      <c r="F486" s="3" t="str">
        <f t="shared" si="40"/>
        <v>"TWO_PHASE"</v>
      </c>
      <c r="G486" s="3" t="str">
        <f>TRIM(MID(D486, FIND("#",SUBSTITUTE(D486,",","#",2))+1,99))</f>
        <v>true</v>
      </c>
    </row>
    <row r="487" spans="1:7" x14ac:dyDescent="0.25">
      <c r="A487" s="3" t="s">
        <v>948</v>
      </c>
      <c r="B487" s="4" t="str">
        <f t="shared" si="41"/>
        <v>452</v>
      </c>
      <c r="C487" s="5" t="str">
        <f t="shared" si="38"/>
        <v>452</v>
      </c>
      <c r="D487" s="3" t="s">
        <v>838</v>
      </c>
      <c r="E487" s="3" t="str">
        <f t="shared" si="39"/>
        <v>TOK_TYPE</v>
      </c>
      <c r="F487" s="3" t="str">
        <f t="shared" si="40"/>
        <v>"TYPE"</v>
      </c>
      <c r="G487" s="3" t="str">
        <f>TRIM(MID(D487, FIND("#",SUBSTITUTE(D487,",","#",2))+1,99))</f>
        <v>true</v>
      </c>
    </row>
    <row r="488" spans="1:7" x14ac:dyDescent="0.25">
      <c r="A488" s="3" t="s">
        <v>338</v>
      </c>
      <c r="B488" s="4" t="str">
        <f t="shared" si="41"/>
        <v>646</v>
      </c>
      <c r="C488" s="5" t="str">
        <f t="shared" si="38"/>
        <v>646</v>
      </c>
      <c r="D488" s="3" t="s">
        <v>985</v>
      </c>
      <c r="E488" s="3" t="str">
        <f t="shared" si="39"/>
        <v>TOK_UMINUS</v>
      </c>
      <c r="F488" s="3" t="str">
        <f t="shared" si="40"/>
        <v>"UMINUS"</v>
      </c>
      <c r="G488" s="3" t="str">
        <f>TRIM(MID(D488, FIND("#",SUBSTITUTE(D488,",","#",2))+1,99))</f>
        <v>false</v>
      </c>
    </row>
    <row r="489" spans="1:7" x14ac:dyDescent="0.25">
      <c r="B489" s="4">
        <f t="shared" si="41"/>
        <v>-1</v>
      </c>
      <c r="C489" s="5">
        <v>770</v>
      </c>
      <c r="D489" s="3" t="s">
        <v>839</v>
      </c>
      <c r="E489" s="3" t="str">
        <f t="shared" si="39"/>
        <v>TOK_UNBOUNDED</v>
      </c>
      <c r="F489" s="3" t="str">
        <f t="shared" si="40"/>
        <v>"UNBOUNDED"</v>
      </c>
      <c r="G489" s="3" t="str">
        <f>TRIM(MID(D489, FIND("#",SUBSTITUTE(D489,",","#",2))+1,99))</f>
        <v>false</v>
      </c>
    </row>
    <row r="490" spans="1:7" x14ac:dyDescent="0.25">
      <c r="A490" s="3" t="s">
        <v>339</v>
      </c>
      <c r="B490" s="4" t="str">
        <f t="shared" si="41"/>
        <v>422</v>
      </c>
      <c r="C490" s="5" t="str">
        <f t="shared" si="38"/>
        <v>422</v>
      </c>
      <c r="D490" s="3" t="s">
        <v>840</v>
      </c>
      <c r="E490" s="3" t="str">
        <f t="shared" si="39"/>
        <v>TOK_UNCOMMITTED</v>
      </c>
      <c r="F490" s="3" t="str">
        <f t="shared" si="40"/>
        <v>"UNCOMMITTED"</v>
      </c>
      <c r="G490" s="3" t="str">
        <f>TRIM(MID(D490, FIND("#",SUBSTITUTE(D490,",","#",2))+1,99))</f>
        <v>true</v>
      </c>
    </row>
    <row r="491" spans="1:7" x14ac:dyDescent="0.25">
      <c r="A491" s="3" t="s">
        <v>340</v>
      </c>
      <c r="B491" s="4" t="str">
        <f t="shared" si="41"/>
        <v>522</v>
      </c>
      <c r="C491" s="5" t="str">
        <f t="shared" si="38"/>
        <v>522</v>
      </c>
      <c r="D491" s="3" t="s">
        <v>841</v>
      </c>
      <c r="E491" s="3" t="str">
        <f t="shared" si="39"/>
        <v>TOK_UNDO</v>
      </c>
      <c r="F491" s="3" t="str">
        <f t="shared" si="40"/>
        <v>"UNDO"</v>
      </c>
      <c r="G491" s="3" t="str">
        <f>TRIM(MID(D491, FIND("#",SUBSTITUTE(D491,",","#",2))+1,99))</f>
        <v>true</v>
      </c>
    </row>
    <row r="492" spans="1:7" x14ac:dyDescent="0.25">
      <c r="B492" s="4">
        <f t="shared" si="41"/>
        <v>-1</v>
      </c>
      <c r="C492" s="5">
        <v>771</v>
      </c>
      <c r="D492" s="3" t="s">
        <v>842</v>
      </c>
      <c r="E492" s="3" t="str">
        <f t="shared" si="39"/>
        <v>TOK_UNICODE_CHAR</v>
      </c>
      <c r="F492" s="3" t="str">
        <f t="shared" si="40"/>
        <v>"UNICODE_CHAR"</v>
      </c>
      <c r="G492" s="3" t="str">
        <f>TRIM(MID(D492, FIND("#",SUBSTITUTE(D492,",","#",2))+1,99))</f>
        <v>true</v>
      </c>
    </row>
    <row r="493" spans="1:7" x14ac:dyDescent="0.25">
      <c r="B493" s="4">
        <f t="shared" si="41"/>
        <v>-1</v>
      </c>
      <c r="C493" s="5">
        <v>772</v>
      </c>
      <c r="D493" s="3" t="s">
        <v>843</v>
      </c>
      <c r="E493" s="3" t="str">
        <f t="shared" si="39"/>
        <v>TOK_UNICODE_VAL</v>
      </c>
      <c r="F493" s="3" t="str">
        <f t="shared" si="40"/>
        <v>"UNICODE_VAL"</v>
      </c>
      <c r="G493" s="3" t="str">
        <f>TRIM(MID(D493, FIND("#",SUBSTITUTE(D493,",","#",2))+1,99))</f>
        <v>true</v>
      </c>
    </row>
    <row r="494" spans="1:7" x14ac:dyDescent="0.25">
      <c r="A494" s="3" t="s">
        <v>341</v>
      </c>
      <c r="B494" s="4" t="str">
        <f t="shared" si="41"/>
        <v>423</v>
      </c>
      <c r="C494" s="5" t="str">
        <f t="shared" si="38"/>
        <v>423</v>
      </c>
      <c r="D494" s="3" t="s">
        <v>844</v>
      </c>
      <c r="E494" s="3" t="str">
        <f t="shared" si="39"/>
        <v>TOK_UNION</v>
      </c>
      <c r="F494" s="3" t="str">
        <f t="shared" si="40"/>
        <v>"UNION"</v>
      </c>
      <c r="G494" s="3" t="str">
        <f>TRIM(MID(D494, FIND("#",SUBSTITUTE(D494,",","#",2))+1,99))</f>
        <v>false</v>
      </c>
    </row>
    <row r="495" spans="1:7" x14ac:dyDescent="0.25">
      <c r="A495" s="3" t="s">
        <v>342</v>
      </c>
      <c r="B495" s="4" t="str">
        <f t="shared" si="41"/>
        <v>424</v>
      </c>
      <c r="C495" s="5" t="str">
        <f t="shared" si="38"/>
        <v>424</v>
      </c>
      <c r="D495" s="3" t="s">
        <v>845</v>
      </c>
      <c r="E495" s="3" t="str">
        <f t="shared" si="39"/>
        <v>TOK_UNIQUE</v>
      </c>
      <c r="F495" s="3" t="str">
        <f t="shared" si="40"/>
        <v>"UNIQUE"</v>
      </c>
      <c r="G495" s="3" t="str">
        <f>TRIM(MID(D495, FIND("#",SUBSTITUTE(D495,",","#",2))+1,99))</f>
        <v>false</v>
      </c>
    </row>
    <row r="496" spans="1:7" x14ac:dyDescent="0.25">
      <c r="A496" s="3" t="s">
        <v>343</v>
      </c>
      <c r="B496" s="4" t="str">
        <f t="shared" si="41"/>
        <v>641</v>
      </c>
      <c r="C496" s="5" t="str">
        <f t="shared" si="38"/>
        <v>641</v>
      </c>
      <c r="D496" s="3" t="s">
        <v>846</v>
      </c>
      <c r="E496" s="3" t="str">
        <f t="shared" si="39"/>
        <v>TOK_UNKNOWN</v>
      </c>
      <c r="F496" s="3" t="str">
        <f t="shared" si="40"/>
        <v>"UNKNOWN"</v>
      </c>
      <c r="G496" s="3" t="str">
        <f>TRIM(MID(D496, FIND("#",SUBSTITUTE(D496,",","#",2))+1,99))</f>
        <v>false</v>
      </c>
    </row>
    <row r="497" spans="1:12" x14ac:dyDescent="0.25">
      <c r="A497" s="3" t="s">
        <v>344</v>
      </c>
      <c r="B497" s="4" t="str">
        <f t="shared" si="41"/>
        <v>425</v>
      </c>
      <c r="C497" s="5" t="str">
        <f t="shared" si="38"/>
        <v>425</v>
      </c>
      <c r="D497" s="3" t="s">
        <v>847</v>
      </c>
      <c r="E497" s="3" t="str">
        <f t="shared" si="39"/>
        <v>TOK_UPDATE</v>
      </c>
      <c r="F497" s="3" t="str">
        <f t="shared" si="40"/>
        <v>"UPDATE"</v>
      </c>
      <c r="G497" s="3" t="str">
        <f>TRIM(MID(D497, FIND("#",SUBSTITUTE(D497,",","#",2))+1,99))</f>
        <v>false</v>
      </c>
    </row>
    <row r="498" spans="1:12" x14ac:dyDescent="0.25">
      <c r="A498" s="3" t="s">
        <v>345</v>
      </c>
      <c r="B498" s="4" t="str">
        <f t="shared" si="41"/>
        <v>493</v>
      </c>
      <c r="C498" s="5" t="str">
        <f t="shared" si="38"/>
        <v>493</v>
      </c>
      <c r="D498" s="3" t="s">
        <v>848</v>
      </c>
      <c r="E498" s="3" t="str">
        <f t="shared" si="39"/>
        <v>TOK_UPDATING</v>
      </c>
      <c r="F498" s="3" t="str">
        <f t="shared" si="40"/>
        <v>"UPDATING"</v>
      </c>
      <c r="G498" s="3" t="str">
        <f>TRIM(MID(D498, FIND("#",SUBSTITUTE(D498,",","#",2))+1,99))</f>
        <v>false</v>
      </c>
    </row>
    <row r="499" spans="1:12" x14ac:dyDescent="0.25">
      <c r="A499" s="3" t="s">
        <v>346</v>
      </c>
      <c r="B499" s="4" t="str">
        <f t="shared" si="41"/>
        <v>647</v>
      </c>
      <c r="C499" s="5" t="str">
        <f t="shared" si="38"/>
        <v>647</v>
      </c>
      <c r="D499" s="3" t="s">
        <v>986</v>
      </c>
      <c r="E499" s="3" t="str">
        <f t="shared" si="39"/>
        <v>TOK_UPLUS</v>
      </c>
      <c r="F499" s="3" t="str">
        <f t="shared" si="40"/>
        <v>"UPLUS"</v>
      </c>
      <c r="G499" s="3" t="str">
        <f>TRIM(MID(D499, FIND("#",SUBSTITUTE(D499,",","#",2))+1,99))</f>
        <v>false</v>
      </c>
    </row>
    <row r="500" spans="1:12" x14ac:dyDescent="0.25">
      <c r="A500" s="3" t="s">
        <v>949</v>
      </c>
      <c r="B500" s="4" t="str">
        <f t="shared" si="41"/>
        <v>346</v>
      </c>
      <c r="C500" s="5" t="str">
        <f t="shared" si="38"/>
        <v>346</v>
      </c>
      <c r="D500" s="3" t="s">
        <v>849</v>
      </c>
      <c r="E500" s="3" t="str">
        <f t="shared" si="39"/>
        <v>TOK_UPPER</v>
      </c>
      <c r="F500" s="3" t="str">
        <f t="shared" si="40"/>
        <v>"UPPER"</v>
      </c>
      <c r="G500" s="3" t="str">
        <f>TRIM(MID(D500, FIND("#",SUBSTITUTE(D500,",","#",2))+1,99))</f>
        <v>false</v>
      </c>
    </row>
    <row r="501" spans="1:12" x14ac:dyDescent="0.25">
      <c r="A501" s="3" t="s">
        <v>347</v>
      </c>
      <c r="B501" s="4" t="str">
        <f t="shared" si="41"/>
        <v>642</v>
      </c>
      <c r="C501" s="5" t="str">
        <f t="shared" si="38"/>
        <v>642</v>
      </c>
      <c r="D501" s="3" t="s">
        <v>850</v>
      </c>
      <c r="E501" s="3" t="str">
        <f t="shared" si="39"/>
        <v>TOK_USAGE</v>
      </c>
      <c r="F501" s="3" t="str">
        <f t="shared" si="40"/>
        <v>"USAGE"</v>
      </c>
      <c r="G501" s="3" t="str">
        <f>TRIM(MID(D501, FIND("#",SUBSTITUTE(D501,",","#",2))+1,99))</f>
        <v>true</v>
      </c>
    </row>
    <row r="502" spans="1:12" x14ac:dyDescent="0.25">
      <c r="A502" s="3" t="s">
        <v>348</v>
      </c>
      <c r="B502" s="4" t="str">
        <f t="shared" si="41"/>
        <v>426</v>
      </c>
      <c r="C502" s="5" t="str">
        <f t="shared" si="38"/>
        <v>426</v>
      </c>
      <c r="D502" s="3" t="s">
        <v>851</v>
      </c>
      <c r="E502" s="3" t="str">
        <f t="shared" si="39"/>
        <v>TOK_USER</v>
      </c>
      <c r="F502" s="3" t="str">
        <f t="shared" si="40"/>
        <v>"USER"</v>
      </c>
      <c r="G502" s="3" t="str">
        <f>TRIM(MID(D502, FIND("#",SUBSTITUTE(D502,",","#",2))+1,99))</f>
        <v>false</v>
      </c>
    </row>
    <row r="503" spans="1:12" x14ac:dyDescent="0.25">
      <c r="A503" s="3" t="s">
        <v>349</v>
      </c>
      <c r="B503" s="4" t="str">
        <f t="shared" si="41"/>
        <v>483</v>
      </c>
      <c r="C503" s="5" t="str">
        <f t="shared" si="38"/>
        <v>483</v>
      </c>
      <c r="D503" s="3" t="s">
        <v>852</v>
      </c>
      <c r="E503" s="3" t="str">
        <f t="shared" si="39"/>
        <v>TOK_USING</v>
      </c>
      <c r="F503" s="3" t="str">
        <f t="shared" si="40"/>
        <v>"USING"</v>
      </c>
      <c r="G503" s="3" t="str">
        <f>TRIM(MID(D503, FIND("#",SUBSTITUTE(D503,",","#",2))+1,99))</f>
        <v>false</v>
      </c>
    </row>
    <row r="504" spans="1:12" x14ac:dyDescent="0.25">
      <c r="A504" s="3" t="s">
        <v>350</v>
      </c>
      <c r="B504" s="4" t="str">
        <f t="shared" si="41"/>
        <v>599</v>
      </c>
      <c r="C504" s="5" t="str">
        <f t="shared" si="38"/>
        <v>599</v>
      </c>
      <c r="D504" s="3" t="s">
        <v>853</v>
      </c>
      <c r="E504" s="3" t="str">
        <f t="shared" si="39"/>
        <v>TOK_UUID_TO_CHAR</v>
      </c>
      <c r="F504" s="3" t="str">
        <f t="shared" si="40"/>
        <v>"UUID_TO_CHAR"</v>
      </c>
      <c r="G504" s="3" t="str">
        <f>TRIM(MID(D504, FIND("#",SUBSTITUTE(D504,",","#",2))+1,99))</f>
        <v>true</v>
      </c>
    </row>
    <row r="505" spans="1:12" x14ac:dyDescent="0.25">
      <c r="A505" s="3" t="s">
        <v>950</v>
      </c>
      <c r="B505" s="4" t="str">
        <f t="shared" si="41"/>
        <v>347</v>
      </c>
      <c r="C505" s="5" t="str">
        <f t="shared" si="38"/>
        <v>347</v>
      </c>
      <c r="D505" s="3" t="s">
        <v>854</v>
      </c>
      <c r="E505" s="3" t="str">
        <f t="shared" si="39"/>
        <v>TOK_VALUE</v>
      </c>
      <c r="F505" s="3" t="str">
        <f t="shared" si="40"/>
        <v>"VALUE"</v>
      </c>
      <c r="G505" s="3" t="str">
        <f>TRIM(MID(D505, FIND("#",SUBSTITUTE(D505,",","#",2))+1,99))</f>
        <v>false</v>
      </c>
    </row>
    <row r="506" spans="1:12" x14ac:dyDescent="0.25">
      <c r="A506" s="3" t="s">
        <v>351</v>
      </c>
      <c r="B506" s="4" t="str">
        <f t="shared" si="41"/>
        <v>427</v>
      </c>
      <c r="C506" s="5" t="str">
        <f t="shared" si="38"/>
        <v>427</v>
      </c>
      <c r="D506" s="3" t="s">
        <v>855</v>
      </c>
      <c r="E506" s="3" t="str">
        <f t="shared" si="39"/>
        <v>TOK_VALUES</v>
      </c>
      <c r="F506" s="3" t="str">
        <f t="shared" si="40"/>
        <v>"VALUES"</v>
      </c>
      <c r="G506" s="3" t="str">
        <f>TRIM(MID(D506, FIND("#",SUBSTITUTE(D506,",","#",2))+1,99))</f>
        <v>false</v>
      </c>
    </row>
    <row r="507" spans="1:12" x14ac:dyDescent="0.25">
      <c r="B507" s="4">
        <f t="shared" si="41"/>
        <v>-1</v>
      </c>
      <c r="C507" s="5">
        <v>773</v>
      </c>
      <c r="D507" s="3" t="s">
        <v>856</v>
      </c>
      <c r="E507" s="3" t="str">
        <f t="shared" si="39"/>
        <v>TOK_VAR_POP</v>
      </c>
      <c r="F507" s="3" t="str">
        <f t="shared" si="40"/>
        <v>"VAR_POP"</v>
      </c>
      <c r="G507" s="3" t="str">
        <f>TRIM(MID(D507, FIND("#",SUBSTITUTE(D507,",","#",2))+1,99))</f>
        <v>false</v>
      </c>
    </row>
    <row r="508" spans="1:12" x14ac:dyDescent="0.25">
      <c r="B508" s="4">
        <f t="shared" si="41"/>
        <v>-1</v>
      </c>
      <c r="C508" s="5">
        <v>774</v>
      </c>
      <c r="D508" s="3" t="s">
        <v>857</v>
      </c>
      <c r="E508" s="3" t="str">
        <f t="shared" si="39"/>
        <v>TOK_VAR_SAMP</v>
      </c>
      <c r="F508" s="3" t="str">
        <f t="shared" si="40"/>
        <v>"VAR_SAMP"</v>
      </c>
      <c r="G508" s="3" t="str">
        <f>TRIM(MID(D508, FIND("#",SUBSTITUTE(D508,",","#",2))+1,99))</f>
        <v>false</v>
      </c>
    </row>
    <row r="509" spans="1:12" x14ac:dyDescent="0.25">
      <c r="B509" s="4">
        <f t="shared" si="41"/>
        <v>-1</v>
      </c>
      <c r="C509" s="5">
        <v>775</v>
      </c>
      <c r="D509" s="3" t="s">
        <v>858</v>
      </c>
      <c r="E509" s="3" t="str">
        <f t="shared" si="39"/>
        <v>TOK_VARBINARY</v>
      </c>
      <c r="F509" s="3" t="str">
        <f t="shared" si="40"/>
        <v>"VARBINARY"</v>
      </c>
      <c r="G509" s="3" t="str">
        <f>TRIM(MID(D509, FIND("#",SUBSTITUTE(D509,",","#",2))+1,99))</f>
        <v>false</v>
      </c>
      <c r="I509" t="s">
        <v>376</v>
      </c>
    </row>
    <row r="510" spans="1:12" x14ac:dyDescent="0.25">
      <c r="A510" s="3" t="s">
        <v>352</v>
      </c>
      <c r="B510" s="4" t="str">
        <f t="shared" si="41"/>
        <v>428</v>
      </c>
      <c r="C510" s="5" t="str">
        <f t="shared" si="38"/>
        <v>428</v>
      </c>
      <c r="D510" s="3" t="s">
        <v>859</v>
      </c>
      <c r="E510" s="3" t="str">
        <f t="shared" si="39"/>
        <v>TOK_VARCHAR</v>
      </c>
      <c r="F510" s="3" t="str">
        <f t="shared" si="40"/>
        <v>"VARCHAR"</v>
      </c>
      <c r="G510" s="3" t="str">
        <f>TRIM(MID(D510, FIND("#",SUBSTITUTE(D510,",","#",2))+1,99))</f>
        <v>false</v>
      </c>
      <c r="L510" t="s">
        <v>369</v>
      </c>
    </row>
    <row r="511" spans="1:12" x14ac:dyDescent="0.25">
      <c r="A511" s="3" t="s">
        <v>353</v>
      </c>
      <c r="B511" s="4" t="str">
        <f t="shared" si="41"/>
        <v>429</v>
      </c>
      <c r="C511" s="5" t="str">
        <f t="shared" si="38"/>
        <v>429</v>
      </c>
      <c r="D511" s="3" t="s">
        <v>860</v>
      </c>
      <c r="E511" s="3" t="str">
        <f t="shared" si="39"/>
        <v>TOK_VARIABLE</v>
      </c>
      <c r="F511" s="3" t="str">
        <f t="shared" si="40"/>
        <v>"VARIABLE"</v>
      </c>
      <c r="G511" s="3" t="str">
        <f>TRIM(MID(D511, FIND("#",SUBSTITUTE(D511,",","#",2))+1,99))</f>
        <v>false</v>
      </c>
      <c r="K511" t="s">
        <v>377</v>
      </c>
    </row>
    <row r="512" spans="1:12" x14ac:dyDescent="0.25">
      <c r="A512" s="3" t="s">
        <v>354</v>
      </c>
      <c r="B512" s="4" t="str">
        <f t="shared" si="41"/>
        <v>430</v>
      </c>
      <c r="C512" s="5" t="str">
        <f t="shared" si="38"/>
        <v>430</v>
      </c>
      <c r="D512" s="3" t="s">
        <v>861</v>
      </c>
      <c r="E512" s="3" t="str">
        <f t="shared" si="39"/>
        <v>TOK_VARYING</v>
      </c>
      <c r="F512" s="3" t="str">
        <f t="shared" si="40"/>
        <v>"VARYING"</v>
      </c>
      <c r="G512" s="3" t="str">
        <f>TRIM(MID(D512, FIND("#",SUBSTITUTE(D512,",","#",2))+1,99))</f>
        <v>false</v>
      </c>
    </row>
    <row r="513" spans="1:12" x14ac:dyDescent="0.25">
      <c r="A513" s="3" t="s">
        <v>355</v>
      </c>
      <c r="B513" s="4" t="str">
        <f t="shared" si="41"/>
        <v>431</v>
      </c>
      <c r="C513" s="5" t="str">
        <f t="shared" si="38"/>
        <v>431</v>
      </c>
      <c r="D513" s="3" t="s">
        <v>862</v>
      </c>
      <c r="E513" s="3" t="str">
        <f t="shared" si="39"/>
        <v>TOK_VERSION</v>
      </c>
      <c r="F513" s="3" t="str">
        <f t="shared" si="40"/>
        <v>"RECORD_VERSION"</v>
      </c>
      <c r="G513" s="3" t="str">
        <f>TRIM(MID(D513, FIND("#",SUBSTITUTE(D513,",","#",2))+1,99))</f>
        <v>false</v>
      </c>
      <c r="I513" t="s">
        <v>376</v>
      </c>
    </row>
    <row r="514" spans="1:12" x14ac:dyDescent="0.25">
      <c r="A514" s="3" t="s">
        <v>356</v>
      </c>
      <c r="B514" s="4" t="str">
        <f t="shared" si="41"/>
        <v>432</v>
      </c>
      <c r="C514" s="5" t="str">
        <f t="shared" si="38"/>
        <v>432</v>
      </c>
      <c r="D514" s="3" t="s">
        <v>863</v>
      </c>
      <c r="E514" s="3" t="str">
        <f t="shared" si="39"/>
        <v>TOK_VIEW</v>
      </c>
      <c r="F514" s="3" t="str">
        <f t="shared" si="40"/>
        <v>"VIEW"</v>
      </c>
      <c r="G514" s="3" t="str">
        <f>TRIM(MID(D514, FIND("#",SUBSTITUTE(D514,",","#",2))+1,99))</f>
        <v>false</v>
      </c>
      <c r="L514" t="s">
        <v>369</v>
      </c>
    </row>
    <row r="515" spans="1:12" x14ac:dyDescent="0.25">
      <c r="B515" s="4">
        <f t="shared" si="41"/>
        <v>-1</v>
      </c>
      <c r="C515" s="5">
        <v>776</v>
      </c>
      <c r="D515" s="3" t="s">
        <v>378</v>
      </c>
      <c r="E515" s="3" t="str">
        <f t="shared" si="39"/>
        <v>TOK_VOID</v>
      </c>
      <c r="F515" s="3" t="str">
        <f t="shared" si="40"/>
        <v>NULL</v>
      </c>
      <c r="G515" s="2" t="s">
        <v>881</v>
      </c>
      <c r="K515" t="s">
        <v>377</v>
      </c>
    </row>
    <row r="516" spans="1:12" x14ac:dyDescent="0.25">
      <c r="A516" s="3" t="s">
        <v>357</v>
      </c>
      <c r="B516" s="4" t="str">
        <f t="shared" si="41"/>
        <v>433</v>
      </c>
      <c r="C516" s="5" t="str">
        <f t="shared" ref="C516:C529" si="42">IF(B516 = "***", -1, B516)</f>
        <v>433</v>
      </c>
      <c r="D516" s="3" t="s">
        <v>864</v>
      </c>
      <c r="E516" s="3" t="str">
        <f t="shared" si="39"/>
        <v>TOK_WAIT</v>
      </c>
      <c r="F516" s="3" t="str">
        <f t="shared" si="40"/>
        <v>"WAIT"</v>
      </c>
      <c r="G516" s="3" t="str">
        <f>TRIM(MID(D516, FIND("#",SUBSTITUTE(D516,",","#",2))+1,99))</f>
        <v>true</v>
      </c>
    </row>
    <row r="517" spans="1:12" x14ac:dyDescent="0.25">
      <c r="A517" s="3" t="s">
        <v>358</v>
      </c>
      <c r="B517" s="4" t="str">
        <f t="shared" si="41"/>
        <v>589</v>
      </c>
      <c r="C517" s="5" t="str">
        <f t="shared" si="42"/>
        <v>589</v>
      </c>
      <c r="D517" s="3" t="s">
        <v>865</v>
      </c>
      <c r="E517" s="3" t="str">
        <f t="shared" si="39"/>
        <v>TOK_WEEK</v>
      </c>
      <c r="F517" s="3" t="str">
        <f t="shared" si="40"/>
        <v>"WEEK"</v>
      </c>
      <c r="G517" s="3" t="str">
        <f>TRIM(MID(D517, FIND("#",SUBSTITUTE(D517,",","#",2))+1,99))</f>
        <v>true</v>
      </c>
    </row>
    <row r="518" spans="1:12" x14ac:dyDescent="0.25">
      <c r="A518" s="3" t="s">
        <v>359</v>
      </c>
      <c r="B518" s="4" t="str">
        <f t="shared" si="41"/>
        <v>460</v>
      </c>
      <c r="C518" s="5" t="str">
        <f t="shared" si="42"/>
        <v>460</v>
      </c>
      <c r="D518" s="3" t="s">
        <v>866</v>
      </c>
      <c r="E518" s="3" t="str">
        <f t="shared" si="39"/>
        <v>TOK_WEEKDAY</v>
      </c>
      <c r="F518" s="3" t="str">
        <f t="shared" si="40"/>
        <v>"WEEKDAY"</v>
      </c>
      <c r="G518" s="3" t="str">
        <f>TRIM(MID(D518, FIND("#",SUBSTITUTE(D518,",","#",2))+1,99))</f>
        <v>true</v>
      </c>
    </row>
    <row r="519" spans="1:12" x14ac:dyDescent="0.25">
      <c r="A519" s="3" t="s">
        <v>360</v>
      </c>
      <c r="B519" s="4" t="str">
        <f t="shared" si="41"/>
        <v>434</v>
      </c>
      <c r="C519" s="5" t="str">
        <f t="shared" si="42"/>
        <v>434</v>
      </c>
      <c r="D519" s="3" t="s">
        <v>867</v>
      </c>
      <c r="E519" s="3" t="str">
        <f t="shared" si="39"/>
        <v>TOK_WHEN</v>
      </c>
      <c r="F519" s="3" t="str">
        <f t="shared" si="40"/>
        <v>"WHEN"</v>
      </c>
      <c r="G519" s="3" t="str">
        <f>TRIM(MID(D519, FIND("#",SUBSTITUTE(D519,",","#",2))+1,99))</f>
        <v>false</v>
      </c>
    </row>
    <row r="520" spans="1:12" x14ac:dyDescent="0.25">
      <c r="A520" s="3" t="s">
        <v>361</v>
      </c>
      <c r="B520" s="4" t="str">
        <f t="shared" si="41"/>
        <v>435</v>
      </c>
      <c r="C520" s="5" t="str">
        <f t="shared" si="42"/>
        <v>435</v>
      </c>
      <c r="D520" s="3" t="s">
        <v>868</v>
      </c>
      <c r="E520" s="3" t="str">
        <f t="shared" si="39"/>
        <v>TOK_WHERE</v>
      </c>
      <c r="F520" s="3" t="str">
        <f t="shared" si="40"/>
        <v>"WHERE"</v>
      </c>
      <c r="G520" s="3" t="str">
        <f>TRIM(MID(D520, FIND("#",SUBSTITUTE(D520,",","#",2))+1,99))</f>
        <v>false</v>
      </c>
    </row>
    <row r="521" spans="1:12" x14ac:dyDescent="0.25">
      <c r="A521" s="3" t="s">
        <v>362</v>
      </c>
      <c r="B521" s="4" t="str">
        <f t="shared" si="41"/>
        <v>436</v>
      </c>
      <c r="C521" s="5" t="str">
        <f t="shared" si="42"/>
        <v>436</v>
      </c>
      <c r="D521" s="3" t="s">
        <v>869</v>
      </c>
      <c r="E521" s="3" t="str">
        <f t="shared" si="39"/>
        <v>TOK_WHILE</v>
      </c>
      <c r="F521" s="3" t="str">
        <f t="shared" si="40"/>
        <v>"WHILE"</v>
      </c>
      <c r="G521" s="3" t="str">
        <f>TRIM(MID(D521, FIND("#",SUBSTITUTE(D521,",","#",2))+1,99))</f>
        <v>false</v>
      </c>
    </row>
    <row r="522" spans="1:12" x14ac:dyDescent="0.25">
      <c r="B522" s="4">
        <f t="shared" si="41"/>
        <v>-1</v>
      </c>
      <c r="C522" s="5">
        <v>777</v>
      </c>
      <c r="D522" s="3" t="s">
        <v>870</v>
      </c>
      <c r="E522" s="3" t="str">
        <f t="shared" si="39"/>
        <v>TOK_WINDOW</v>
      </c>
      <c r="F522" s="3" t="str">
        <f t="shared" si="40"/>
        <v>"WINDOW"</v>
      </c>
      <c r="G522" s="3" t="str">
        <f>TRIM(MID(D522, FIND("#",SUBSTITUTE(D522,",","#",2))+1,99))</f>
        <v>false</v>
      </c>
    </row>
    <row r="523" spans="1:12" x14ac:dyDescent="0.25">
      <c r="A523" s="3" t="s">
        <v>363</v>
      </c>
      <c r="B523" s="4" t="str">
        <f t="shared" si="41"/>
        <v>437</v>
      </c>
      <c r="C523" s="5" t="str">
        <f t="shared" si="42"/>
        <v>437</v>
      </c>
      <c r="D523" s="3" t="s">
        <v>871</v>
      </c>
      <c r="E523" s="3" t="str">
        <f t="shared" si="39"/>
        <v>TOK_WITH</v>
      </c>
      <c r="F523" s="3" t="str">
        <f t="shared" si="40"/>
        <v>"WITH"</v>
      </c>
      <c r="G523" s="3" t="str">
        <f>TRIM(MID(D523, FIND("#",SUBSTITUTE(D523,",","#",2))+1,99))</f>
        <v>false</v>
      </c>
    </row>
    <row r="524" spans="1:12" x14ac:dyDescent="0.25">
      <c r="B524" s="4">
        <f t="shared" si="41"/>
        <v>-1</v>
      </c>
      <c r="C524" s="5">
        <v>778</v>
      </c>
      <c r="D524" s="3" t="s">
        <v>872</v>
      </c>
      <c r="E524" s="3" t="str">
        <f t="shared" si="39"/>
        <v>TOK_WITHOUT</v>
      </c>
      <c r="F524" s="3" t="str">
        <f t="shared" si="40"/>
        <v>"WITHOUT"</v>
      </c>
      <c r="G524" s="3" t="str">
        <f>TRIM(MID(D524, FIND("#",SUBSTITUTE(D524,",","#",2))+1,99))</f>
        <v>false</v>
      </c>
    </row>
    <row r="525" spans="1:12" x14ac:dyDescent="0.25">
      <c r="A525" s="3" t="s">
        <v>364</v>
      </c>
      <c r="B525" s="4" t="str">
        <f t="shared" si="41"/>
        <v>438</v>
      </c>
      <c r="C525" s="5" t="str">
        <f t="shared" si="42"/>
        <v>438</v>
      </c>
      <c r="D525" s="3" t="s">
        <v>873</v>
      </c>
      <c r="E525" s="3" t="str">
        <f t="shared" si="39"/>
        <v>TOK_WORK</v>
      </c>
      <c r="F525" s="3" t="str">
        <f t="shared" si="40"/>
        <v>"WORK"</v>
      </c>
      <c r="G525" s="3" t="str">
        <f>TRIM(MID(D525, FIND("#",SUBSTITUTE(D525,",","#",2))+1,99))</f>
        <v>true</v>
      </c>
    </row>
    <row r="526" spans="1:12" x14ac:dyDescent="0.25">
      <c r="A526" s="3" t="s">
        <v>365</v>
      </c>
      <c r="B526" s="4" t="str">
        <f t="shared" si="41"/>
        <v>439</v>
      </c>
      <c r="C526" s="5" t="str">
        <f t="shared" si="42"/>
        <v>439</v>
      </c>
      <c r="D526" s="3" t="s">
        <v>874</v>
      </c>
      <c r="E526" s="3" t="str">
        <f t="shared" ref="E526:E530" si="43">TRIM(MID(D526, 1, SEARCH(",",D526) - 1))</f>
        <v>TOK_WRITE</v>
      </c>
      <c r="F526" s="3" t="str">
        <f t="shared" si="40"/>
        <v>"WRITE"</v>
      </c>
      <c r="G526" s="3" t="str">
        <f>TRIM(MID(D526, FIND("#",SUBSTITUTE(D526,",","#",2))+1,99))</f>
        <v>true</v>
      </c>
    </row>
    <row r="527" spans="1:12" x14ac:dyDescent="0.25">
      <c r="A527" s="3" t="s">
        <v>366</v>
      </c>
      <c r="B527" s="4" t="str">
        <f t="shared" si="41"/>
        <v>454</v>
      </c>
      <c r="C527" s="5" t="str">
        <f t="shared" si="42"/>
        <v>454</v>
      </c>
      <c r="D527" s="3" t="s">
        <v>875</v>
      </c>
      <c r="E527" s="3" t="str">
        <f t="shared" si="43"/>
        <v>TOK_YEAR</v>
      </c>
      <c r="F527" s="3" t="str">
        <f t="shared" si="40"/>
        <v>"YEAR"</v>
      </c>
      <c r="G527" s="3" t="str">
        <f>TRIM(MID(D527, FIND("#",SUBSTITUTE(D527,",","#",2))+1,99))</f>
        <v>false</v>
      </c>
    </row>
    <row r="528" spans="1:12" x14ac:dyDescent="0.25">
      <c r="A528" s="3" t="s">
        <v>367</v>
      </c>
      <c r="B528" s="4" t="str">
        <f t="shared" si="41"/>
        <v>461</v>
      </c>
      <c r="C528" s="5" t="str">
        <f t="shared" si="42"/>
        <v>461</v>
      </c>
      <c r="D528" s="3" t="s">
        <v>876</v>
      </c>
      <c r="E528" s="3" t="str">
        <f t="shared" si="43"/>
        <v>TOK_YEARDAY</v>
      </c>
      <c r="F528" s="3" t="str">
        <f t="shared" ref="F528:F530" si="44">TRIM(MID(D528, SEARCH(",",D528) + 1, SEARCH(",",D528,SEARCH(",",D528)+1) - SEARCH(",",D528) - 1))</f>
        <v>"YEARDAY"</v>
      </c>
      <c r="G528" s="3" t="str">
        <f t="shared" ref="G528:G530" si="45">TRIM(MID(D528, FIND("#",SUBSTITUTE(D528,",","#",2))+1,99))</f>
        <v>true</v>
      </c>
    </row>
    <row r="529" spans="1:7" x14ac:dyDescent="0.25">
      <c r="A529" s="3" t="s">
        <v>368</v>
      </c>
      <c r="B529" s="4" t="str">
        <f t="shared" si="41"/>
        <v>256</v>
      </c>
      <c r="C529" s="5" t="str">
        <f t="shared" si="42"/>
        <v>256</v>
      </c>
      <c r="D529" s="3" t="s">
        <v>987</v>
      </c>
      <c r="E529" s="3" t="str">
        <f t="shared" si="43"/>
        <v>TOK_YYERRCODE</v>
      </c>
      <c r="F529" s="3" t="str">
        <f t="shared" si="44"/>
        <v>"YYERRCODE"</v>
      </c>
      <c r="G529" s="3" t="str">
        <f t="shared" si="45"/>
        <v>true</v>
      </c>
    </row>
    <row r="530" spans="1:7" x14ac:dyDescent="0.25">
      <c r="B530" s="4">
        <f t="shared" si="41"/>
        <v>-1</v>
      </c>
      <c r="C530" s="5">
        <v>779</v>
      </c>
      <c r="D530" s="3" t="s">
        <v>877</v>
      </c>
      <c r="E530" s="3" t="str">
        <f t="shared" si="43"/>
        <v>TOK_ZONE</v>
      </c>
      <c r="F530" s="3" t="str">
        <f t="shared" si="44"/>
        <v>"ZONE"</v>
      </c>
      <c r="G530" s="3" t="str">
        <f t="shared" si="45"/>
        <v>true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C398-BB33-477E-A673-9639EB67669F}">
  <dimension ref="A2:B431"/>
  <sheetViews>
    <sheetView topLeftCell="A393" workbookViewId="0">
      <selection activeCell="E423" sqref="E423"/>
    </sheetView>
  </sheetViews>
  <sheetFormatPr defaultRowHeight="15" x14ac:dyDescent="0.25"/>
  <cols>
    <col min="1" max="1" width="25.5703125" bestFit="1" customWidth="1"/>
    <col min="2" max="2" width="24" customWidth="1"/>
    <col min="3" max="3" width="21.28515625" customWidth="1"/>
  </cols>
  <sheetData>
    <row r="2" spans="1:2" x14ac:dyDescent="0.25">
      <c r="A2" s="1" t="s">
        <v>2884</v>
      </c>
      <c r="B2" t="s">
        <v>3291</v>
      </c>
    </row>
    <row r="3" spans="1:2" x14ac:dyDescent="0.25">
      <c r="A3" s="1" t="s">
        <v>2885</v>
      </c>
      <c r="B3" t="s">
        <v>3291</v>
      </c>
    </row>
    <row r="4" spans="1:2" x14ac:dyDescent="0.25">
      <c r="A4" s="1" t="s">
        <v>3083</v>
      </c>
      <c r="B4" t="s">
        <v>3291</v>
      </c>
    </row>
    <row r="5" spans="1:2" x14ac:dyDescent="0.25">
      <c r="A5" s="1" t="s">
        <v>2886</v>
      </c>
      <c r="B5" t="s">
        <v>3291</v>
      </c>
    </row>
    <row r="6" spans="1:2" x14ac:dyDescent="0.25">
      <c r="A6" s="1" t="s">
        <v>2887</v>
      </c>
      <c r="B6" t="s">
        <v>3291</v>
      </c>
    </row>
    <row r="7" spans="1:2" x14ac:dyDescent="0.25">
      <c r="A7" s="1" t="s">
        <v>2889</v>
      </c>
      <c r="B7" t="s">
        <v>3291</v>
      </c>
    </row>
    <row r="8" spans="1:2" x14ac:dyDescent="0.25">
      <c r="A8" s="1" t="s">
        <v>2888</v>
      </c>
      <c r="B8" t="s">
        <v>3291</v>
      </c>
    </row>
    <row r="9" spans="1:2" x14ac:dyDescent="0.25">
      <c r="A9" s="1" t="s">
        <v>2890</v>
      </c>
      <c r="B9" t="s">
        <v>3291</v>
      </c>
    </row>
    <row r="10" spans="1:2" x14ac:dyDescent="0.25">
      <c r="A10" s="1" t="s">
        <v>3084</v>
      </c>
      <c r="B10" t="s">
        <v>3291</v>
      </c>
    </row>
    <row r="11" spans="1:2" x14ac:dyDescent="0.25">
      <c r="A11" s="1" t="s">
        <v>3085</v>
      </c>
      <c r="B11" t="s">
        <v>3291</v>
      </c>
    </row>
    <row r="12" spans="1:2" x14ac:dyDescent="0.25">
      <c r="A12" s="1" t="s">
        <v>3086</v>
      </c>
      <c r="B12" t="s">
        <v>3291</v>
      </c>
    </row>
    <row r="13" spans="1:2" x14ac:dyDescent="0.25">
      <c r="A13" s="1" t="s">
        <v>3087</v>
      </c>
      <c r="B13" t="s">
        <v>3291</v>
      </c>
    </row>
    <row r="14" spans="1:2" x14ac:dyDescent="0.25">
      <c r="A14" s="1" t="s">
        <v>3088</v>
      </c>
      <c r="B14" t="s">
        <v>3291</v>
      </c>
    </row>
    <row r="15" spans="1:2" x14ac:dyDescent="0.25">
      <c r="A15" s="1" t="s">
        <v>3089</v>
      </c>
      <c r="B15" t="s">
        <v>3291</v>
      </c>
    </row>
    <row r="16" spans="1:2" x14ac:dyDescent="0.25">
      <c r="A16" s="1" t="s">
        <v>2891</v>
      </c>
      <c r="B16" t="s">
        <v>3291</v>
      </c>
    </row>
    <row r="17" spans="1:2" x14ac:dyDescent="0.25">
      <c r="A17" s="1" t="s">
        <v>3090</v>
      </c>
      <c r="B17" t="s">
        <v>3291</v>
      </c>
    </row>
    <row r="18" spans="1:2" x14ac:dyDescent="0.25">
      <c r="A18" s="1" t="s">
        <v>2892</v>
      </c>
      <c r="B18" t="s">
        <v>3291</v>
      </c>
    </row>
    <row r="19" spans="1:2" x14ac:dyDescent="0.25">
      <c r="A19" s="1" t="s">
        <v>2893</v>
      </c>
      <c r="B19" t="s">
        <v>3291</v>
      </c>
    </row>
    <row r="20" spans="1:2" x14ac:dyDescent="0.25">
      <c r="A20" s="1" t="s">
        <v>3091</v>
      </c>
      <c r="B20" t="s">
        <v>3291</v>
      </c>
    </row>
    <row r="21" spans="1:2" x14ac:dyDescent="0.25">
      <c r="A21" s="1" t="s">
        <v>2894</v>
      </c>
      <c r="B21" t="s">
        <v>3291</v>
      </c>
    </row>
    <row r="22" spans="1:2" x14ac:dyDescent="0.25">
      <c r="A22" s="1" t="s">
        <v>3092</v>
      </c>
      <c r="B22" t="s">
        <v>3291</v>
      </c>
    </row>
    <row r="23" spans="1:2" x14ac:dyDescent="0.25">
      <c r="A23" s="1" t="s">
        <v>3093</v>
      </c>
      <c r="B23" t="s">
        <v>3291</v>
      </c>
    </row>
    <row r="24" spans="1:2" x14ac:dyDescent="0.25">
      <c r="A24" s="1" t="s">
        <v>2895</v>
      </c>
      <c r="B24" t="s">
        <v>3291</v>
      </c>
    </row>
    <row r="25" spans="1:2" x14ac:dyDescent="0.25">
      <c r="A25" s="1" t="s">
        <v>3094</v>
      </c>
      <c r="B25" t="s">
        <v>3291</v>
      </c>
    </row>
    <row r="26" spans="1:2" x14ac:dyDescent="0.25">
      <c r="A26" s="1" t="s">
        <v>3095</v>
      </c>
      <c r="B26" t="s">
        <v>3291</v>
      </c>
    </row>
    <row r="27" spans="1:2" x14ac:dyDescent="0.25">
      <c r="A27" s="1" t="s">
        <v>3096</v>
      </c>
      <c r="B27" t="s">
        <v>3291</v>
      </c>
    </row>
    <row r="28" spans="1:2" x14ac:dyDescent="0.25">
      <c r="A28" s="1" t="s">
        <v>2896</v>
      </c>
      <c r="B28" t="s">
        <v>3291</v>
      </c>
    </row>
    <row r="29" spans="1:2" x14ac:dyDescent="0.25">
      <c r="A29" s="1" t="s">
        <v>3097</v>
      </c>
      <c r="B29" t="s">
        <v>3291</v>
      </c>
    </row>
    <row r="30" spans="1:2" x14ac:dyDescent="0.25">
      <c r="A30" s="1" t="s">
        <v>2897</v>
      </c>
      <c r="B30" t="s">
        <v>3291</v>
      </c>
    </row>
    <row r="31" spans="1:2" x14ac:dyDescent="0.25">
      <c r="A31" s="1" t="s">
        <v>2898</v>
      </c>
      <c r="B31" t="s">
        <v>3291</v>
      </c>
    </row>
    <row r="32" spans="1:2" x14ac:dyDescent="0.25">
      <c r="A32" s="1" t="s">
        <v>2899</v>
      </c>
      <c r="B32" t="s">
        <v>3291</v>
      </c>
    </row>
    <row r="33" spans="1:2" x14ac:dyDescent="0.25">
      <c r="A33" s="1" t="s">
        <v>2900</v>
      </c>
      <c r="B33" t="s">
        <v>3291</v>
      </c>
    </row>
    <row r="34" spans="1:2" x14ac:dyDescent="0.25">
      <c r="A34" s="1" t="s">
        <v>3098</v>
      </c>
      <c r="B34" t="s">
        <v>3291</v>
      </c>
    </row>
    <row r="35" spans="1:2" x14ac:dyDescent="0.25">
      <c r="A35" s="1" t="s">
        <v>3099</v>
      </c>
      <c r="B35" t="s">
        <v>3291</v>
      </c>
    </row>
    <row r="36" spans="1:2" x14ac:dyDescent="0.25">
      <c r="A36" s="1" t="s">
        <v>3100</v>
      </c>
      <c r="B36" t="s">
        <v>3291</v>
      </c>
    </row>
    <row r="37" spans="1:2" x14ac:dyDescent="0.25">
      <c r="A37" s="1" t="s">
        <v>3101</v>
      </c>
      <c r="B37" t="s">
        <v>3291</v>
      </c>
    </row>
    <row r="38" spans="1:2" x14ac:dyDescent="0.25">
      <c r="A38" s="1" t="s">
        <v>3102</v>
      </c>
      <c r="B38" t="s">
        <v>3291</v>
      </c>
    </row>
    <row r="39" spans="1:2" x14ac:dyDescent="0.25">
      <c r="A39" s="1" t="s">
        <v>3103</v>
      </c>
      <c r="B39" t="s">
        <v>3291</v>
      </c>
    </row>
    <row r="40" spans="1:2" x14ac:dyDescent="0.25">
      <c r="A40" s="1" t="s">
        <v>2901</v>
      </c>
      <c r="B40" t="s">
        <v>3291</v>
      </c>
    </row>
    <row r="41" spans="1:2" x14ac:dyDescent="0.25">
      <c r="A41" s="1" t="s">
        <v>2902</v>
      </c>
      <c r="B41" t="s">
        <v>3291</v>
      </c>
    </row>
    <row r="42" spans="1:2" x14ac:dyDescent="0.25">
      <c r="A42" s="1" t="s">
        <v>3104</v>
      </c>
      <c r="B42" t="s">
        <v>3291</v>
      </c>
    </row>
    <row r="43" spans="1:2" x14ac:dyDescent="0.25">
      <c r="A43" s="1" t="s">
        <v>2903</v>
      </c>
      <c r="B43" t="s">
        <v>3291</v>
      </c>
    </row>
    <row r="44" spans="1:2" x14ac:dyDescent="0.25">
      <c r="A44" s="1" t="s">
        <v>2903</v>
      </c>
      <c r="B44" t="s">
        <v>3291</v>
      </c>
    </row>
    <row r="45" spans="1:2" x14ac:dyDescent="0.25">
      <c r="A45" s="1" t="s">
        <v>2904</v>
      </c>
      <c r="B45" t="s">
        <v>3291</v>
      </c>
    </row>
    <row r="46" spans="1:2" x14ac:dyDescent="0.25">
      <c r="A46" s="1" t="s">
        <v>3105</v>
      </c>
      <c r="B46" t="s">
        <v>3291</v>
      </c>
    </row>
    <row r="47" spans="1:2" x14ac:dyDescent="0.25">
      <c r="A47" s="1" t="s">
        <v>2905</v>
      </c>
      <c r="B47" t="s">
        <v>3291</v>
      </c>
    </row>
    <row r="48" spans="1:2" x14ac:dyDescent="0.25">
      <c r="A48" s="1" t="s">
        <v>2906</v>
      </c>
      <c r="B48" t="s">
        <v>3291</v>
      </c>
    </row>
    <row r="49" spans="1:2" x14ac:dyDescent="0.25">
      <c r="A49" s="1" t="s">
        <v>3106</v>
      </c>
      <c r="B49" t="s">
        <v>3291</v>
      </c>
    </row>
    <row r="50" spans="1:2" x14ac:dyDescent="0.25">
      <c r="A50" s="1" t="s">
        <v>2907</v>
      </c>
      <c r="B50" t="s">
        <v>3291</v>
      </c>
    </row>
    <row r="51" spans="1:2" x14ac:dyDescent="0.25">
      <c r="A51" s="1" t="s">
        <v>2908</v>
      </c>
      <c r="B51" t="s">
        <v>3291</v>
      </c>
    </row>
    <row r="52" spans="1:2" x14ac:dyDescent="0.25">
      <c r="A52" s="1" t="s">
        <v>3107</v>
      </c>
      <c r="B52" t="s">
        <v>3291</v>
      </c>
    </row>
    <row r="53" spans="1:2" x14ac:dyDescent="0.25">
      <c r="A53" s="1" t="s">
        <v>2909</v>
      </c>
      <c r="B53" t="s">
        <v>3291</v>
      </c>
    </row>
    <row r="54" spans="1:2" x14ac:dyDescent="0.25">
      <c r="A54" s="1" t="s">
        <v>3108</v>
      </c>
      <c r="B54" t="s">
        <v>3291</v>
      </c>
    </row>
    <row r="55" spans="1:2" x14ac:dyDescent="0.25">
      <c r="A55" s="1" t="s">
        <v>3109</v>
      </c>
      <c r="B55" t="s">
        <v>3291</v>
      </c>
    </row>
    <row r="56" spans="1:2" x14ac:dyDescent="0.25">
      <c r="A56" s="1" t="s">
        <v>2910</v>
      </c>
      <c r="B56" t="s">
        <v>3291</v>
      </c>
    </row>
    <row r="57" spans="1:2" x14ac:dyDescent="0.25">
      <c r="A57" s="1" t="s">
        <v>2911</v>
      </c>
      <c r="B57" t="s">
        <v>3291</v>
      </c>
    </row>
    <row r="58" spans="1:2" x14ac:dyDescent="0.25">
      <c r="A58" s="1" t="s">
        <v>2912</v>
      </c>
      <c r="B58" t="s">
        <v>3291</v>
      </c>
    </row>
    <row r="59" spans="1:2" x14ac:dyDescent="0.25">
      <c r="A59" s="1" t="s">
        <v>3110</v>
      </c>
      <c r="B59" t="s">
        <v>3291</v>
      </c>
    </row>
    <row r="60" spans="1:2" x14ac:dyDescent="0.25">
      <c r="A60" s="1" t="s">
        <v>3111</v>
      </c>
      <c r="B60" t="s">
        <v>3291</v>
      </c>
    </row>
    <row r="61" spans="1:2" x14ac:dyDescent="0.25">
      <c r="A61" s="1" t="s">
        <v>2913</v>
      </c>
      <c r="B61" t="s">
        <v>3291</v>
      </c>
    </row>
    <row r="62" spans="1:2" x14ac:dyDescent="0.25">
      <c r="A62" s="1" t="s">
        <v>3112</v>
      </c>
      <c r="B62" t="s">
        <v>3291</v>
      </c>
    </row>
    <row r="63" spans="1:2" x14ac:dyDescent="0.25">
      <c r="A63" s="1" t="s">
        <v>3113</v>
      </c>
      <c r="B63" t="s">
        <v>3291</v>
      </c>
    </row>
    <row r="64" spans="1:2" x14ac:dyDescent="0.25">
      <c r="A64" s="1" t="s">
        <v>2914</v>
      </c>
      <c r="B64" t="s">
        <v>3291</v>
      </c>
    </row>
    <row r="65" spans="1:2" x14ac:dyDescent="0.25">
      <c r="A65" s="1" t="s">
        <v>2915</v>
      </c>
      <c r="B65" t="s">
        <v>3291</v>
      </c>
    </row>
    <row r="66" spans="1:2" x14ac:dyDescent="0.25">
      <c r="A66" s="1" t="s">
        <v>2916</v>
      </c>
      <c r="B66" t="s">
        <v>3291</v>
      </c>
    </row>
    <row r="67" spans="1:2" x14ac:dyDescent="0.25">
      <c r="A67" s="1" t="s">
        <v>2917</v>
      </c>
      <c r="B67" t="s">
        <v>3291</v>
      </c>
    </row>
    <row r="68" spans="1:2" x14ac:dyDescent="0.25">
      <c r="A68" s="1" t="s">
        <v>2918</v>
      </c>
      <c r="B68" t="s">
        <v>3291</v>
      </c>
    </row>
    <row r="69" spans="1:2" x14ac:dyDescent="0.25">
      <c r="A69" s="1" t="s">
        <v>2919</v>
      </c>
      <c r="B69" t="s">
        <v>3291</v>
      </c>
    </row>
    <row r="70" spans="1:2" x14ac:dyDescent="0.25">
      <c r="A70" s="1" t="s">
        <v>2920</v>
      </c>
      <c r="B70" t="s">
        <v>3291</v>
      </c>
    </row>
    <row r="71" spans="1:2" x14ac:dyDescent="0.25">
      <c r="A71" s="1" t="s">
        <v>3114</v>
      </c>
      <c r="B71" t="s">
        <v>3291</v>
      </c>
    </row>
    <row r="72" spans="1:2" x14ac:dyDescent="0.25">
      <c r="A72" s="1" t="s">
        <v>3115</v>
      </c>
      <c r="B72" t="s">
        <v>3291</v>
      </c>
    </row>
    <row r="73" spans="1:2" x14ac:dyDescent="0.25">
      <c r="A73" s="1" t="s">
        <v>2921</v>
      </c>
      <c r="B73" t="s">
        <v>3291</v>
      </c>
    </row>
    <row r="74" spans="1:2" x14ac:dyDescent="0.25">
      <c r="A74" s="1" t="s">
        <v>3116</v>
      </c>
      <c r="B74" t="s">
        <v>3291</v>
      </c>
    </row>
    <row r="75" spans="1:2" x14ac:dyDescent="0.25">
      <c r="A75" s="1" t="s">
        <v>3117</v>
      </c>
      <c r="B75" t="s">
        <v>3291</v>
      </c>
    </row>
    <row r="76" spans="1:2" x14ac:dyDescent="0.25">
      <c r="A76" s="1" t="s">
        <v>3118</v>
      </c>
      <c r="B76" t="s">
        <v>3291</v>
      </c>
    </row>
    <row r="77" spans="1:2" x14ac:dyDescent="0.25">
      <c r="A77" s="1" t="s">
        <v>2922</v>
      </c>
      <c r="B77" t="s">
        <v>3291</v>
      </c>
    </row>
    <row r="78" spans="1:2" x14ac:dyDescent="0.25">
      <c r="A78" s="1" t="s">
        <v>2923</v>
      </c>
      <c r="B78" t="s">
        <v>3291</v>
      </c>
    </row>
    <row r="79" spans="1:2" x14ac:dyDescent="0.25">
      <c r="A79" s="1" t="s">
        <v>3119</v>
      </c>
      <c r="B79" t="s">
        <v>3291</v>
      </c>
    </row>
    <row r="80" spans="1:2" x14ac:dyDescent="0.25">
      <c r="A80" s="1" t="s">
        <v>2924</v>
      </c>
      <c r="B80" t="s">
        <v>3291</v>
      </c>
    </row>
    <row r="81" spans="1:2" x14ac:dyDescent="0.25">
      <c r="A81" s="1" t="s">
        <v>2925</v>
      </c>
      <c r="B81" t="s">
        <v>3291</v>
      </c>
    </row>
    <row r="82" spans="1:2" x14ac:dyDescent="0.25">
      <c r="A82" s="1" t="s">
        <v>2925</v>
      </c>
      <c r="B82" t="s">
        <v>3291</v>
      </c>
    </row>
    <row r="83" spans="1:2" x14ac:dyDescent="0.25">
      <c r="A83" s="1" t="s">
        <v>3120</v>
      </c>
      <c r="B83" t="s">
        <v>3291</v>
      </c>
    </row>
    <row r="84" spans="1:2" x14ac:dyDescent="0.25">
      <c r="A84" s="1" t="s">
        <v>2928</v>
      </c>
      <c r="B84" t="s">
        <v>3291</v>
      </c>
    </row>
    <row r="85" spans="1:2" x14ac:dyDescent="0.25">
      <c r="A85" s="1" t="s">
        <v>2929</v>
      </c>
      <c r="B85" t="s">
        <v>3291</v>
      </c>
    </row>
    <row r="86" spans="1:2" x14ac:dyDescent="0.25">
      <c r="A86" s="1" t="s">
        <v>2930</v>
      </c>
      <c r="B86" t="s">
        <v>3291</v>
      </c>
    </row>
    <row r="87" spans="1:2" x14ac:dyDescent="0.25">
      <c r="A87" s="1" t="s">
        <v>2931</v>
      </c>
      <c r="B87" t="s">
        <v>3291</v>
      </c>
    </row>
    <row r="88" spans="1:2" x14ac:dyDescent="0.25">
      <c r="A88" s="1" t="s">
        <v>2927</v>
      </c>
      <c r="B88" t="s">
        <v>3291</v>
      </c>
    </row>
    <row r="89" spans="1:2" x14ac:dyDescent="0.25">
      <c r="A89" s="1" t="s">
        <v>2932</v>
      </c>
      <c r="B89" t="s">
        <v>3291</v>
      </c>
    </row>
    <row r="90" spans="1:2" x14ac:dyDescent="0.25">
      <c r="A90" s="1" t="s">
        <v>3122</v>
      </c>
      <c r="B90" t="s">
        <v>3291</v>
      </c>
    </row>
    <row r="91" spans="1:2" x14ac:dyDescent="0.25">
      <c r="A91" s="1" t="s">
        <v>3123</v>
      </c>
      <c r="B91" t="s">
        <v>3291</v>
      </c>
    </row>
    <row r="92" spans="1:2" x14ac:dyDescent="0.25">
      <c r="A92" s="1" t="s">
        <v>3124</v>
      </c>
      <c r="B92" t="s">
        <v>3291</v>
      </c>
    </row>
    <row r="93" spans="1:2" x14ac:dyDescent="0.25">
      <c r="A93" s="1" t="s">
        <v>3125</v>
      </c>
      <c r="B93" t="s">
        <v>3291</v>
      </c>
    </row>
    <row r="94" spans="1:2" x14ac:dyDescent="0.25">
      <c r="A94" s="1" t="s">
        <v>2933</v>
      </c>
      <c r="B94" t="s">
        <v>3291</v>
      </c>
    </row>
    <row r="95" spans="1:2" x14ac:dyDescent="0.25">
      <c r="A95" s="1" t="s">
        <v>2934</v>
      </c>
      <c r="B95" t="s">
        <v>3291</v>
      </c>
    </row>
    <row r="96" spans="1:2" x14ac:dyDescent="0.25">
      <c r="A96" s="1" t="s">
        <v>2935</v>
      </c>
      <c r="B96" t="s">
        <v>3291</v>
      </c>
    </row>
    <row r="97" spans="1:2" x14ac:dyDescent="0.25">
      <c r="A97" s="1" t="s">
        <v>2936</v>
      </c>
      <c r="B97" t="s">
        <v>3291</v>
      </c>
    </row>
    <row r="98" spans="1:2" x14ac:dyDescent="0.25">
      <c r="A98" s="1" t="s">
        <v>3126</v>
      </c>
      <c r="B98" t="s">
        <v>3291</v>
      </c>
    </row>
    <row r="99" spans="1:2" x14ac:dyDescent="0.25">
      <c r="A99" s="1" t="s">
        <v>3127</v>
      </c>
      <c r="B99" t="s">
        <v>3291</v>
      </c>
    </row>
    <row r="100" spans="1:2" x14ac:dyDescent="0.25">
      <c r="A100" s="1" t="s">
        <v>3128</v>
      </c>
      <c r="B100" t="s">
        <v>3291</v>
      </c>
    </row>
    <row r="101" spans="1:2" x14ac:dyDescent="0.25">
      <c r="A101" s="1" t="s">
        <v>2937</v>
      </c>
      <c r="B101" t="s">
        <v>3291</v>
      </c>
    </row>
    <row r="102" spans="1:2" x14ac:dyDescent="0.25">
      <c r="A102" s="1" t="s">
        <v>2938</v>
      </c>
      <c r="B102" t="s">
        <v>3291</v>
      </c>
    </row>
    <row r="103" spans="1:2" x14ac:dyDescent="0.25">
      <c r="A103" s="1" t="s">
        <v>2938</v>
      </c>
      <c r="B103" t="s">
        <v>3291</v>
      </c>
    </row>
    <row r="104" spans="1:2" x14ac:dyDescent="0.25">
      <c r="A104" s="1" t="s">
        <v>2939</v>
      </c>
      <c r="B104" t="s">
        <v>3291</v>
      </c>
    </row>
    <row r="105" spans="1:2" x14ac:dyDescent="0.25">
      <c r="A105" s="1" t="s">
        <v>3129</v>
      </c>
      <c r="B105" t="s">
        <v>3291</v>
      </c>
    </row>
    <row r="106" spans="1:2" x14ac:dyDescent="0.25">
      <c r="A106" s="1" t="s">
        <v>3130</v>
      </c>
      <c r="B106" t="s">
        <v>3291</v>
      </c>
    </row>
    <row r="107" spans="1:2" x14ac:dyDescent="0.25">
      <c r="A107" s="1" t="s">
        <v>2940</v>
      </c>
      <c r="B107" t="s">
        <v>3291</v>
      </c>
    </row>
    <row r="108" spans="1:2" x14ac:dyDescent="0.25">
      <c r="A108" s="1" t="s">
        <v>2941</v>
      </c>
      <c r="B108" t="s">
        <v>3291</v>
      </c>
    </row>
    <row r="109" spans="1:2" x14ac:dyDescent="0.25">
      <c r="A109" s="1" t="s">
        <v>3131</v>
      </c>
      <c r="B109" t="s">
        <v>3291</v>
      </c>
    </row>
    <row r="110" spans="1:2" x14ac:dyDescent="0.25">
      <c r="A110" s="1" t="s">
        <v>3132</v>
      </c>
      <c r="B110" t="s">
        <v>3291</v>
      </c>
    </row>
    <row r="111" spans="1:2" x14ac:dyDescent="0.25">
      <c r="A111" s="1" t="s">
        <v>3133</v>
      </c>
      <c r="B111" t="s">
        <v>3291</v>
      </c>
    </row>
    <row r="112" spans="1:2" x14ac:dyDescent="0.25">
      <c r="A112" s="1" t="s">
        <v>3134</v>
      </c>
      <c r="B112" t="s">
        <v>3291</v>
      </c>
    </row>
    <row r="113" spans="1:2" x14ac:dyDescent="0.25">
      <c r="A113" s="1" t="s">
        <v>3135</v>
      </c>
      <c r="B113" t="s">
        <v>3291</v>
      </c>
    </row>
    <row r="114" spans="1:2" x14ac:dyDescent="0.25">
      <c r="A114" s="1" t="s">
        <v>3136</v>
      </c>
      <c r="B114" t="s">
        <v>3291</v>
      </c>
    </row>
    <row r="115" spans="1:2" x14ac:dyDescent="0.25">
      <c r="A115" s="1" t="s">
        <v>3137</v>
      </c>
      <c r="B115" t="s">
        <v>3291</v>
      </c>
    </row>
    <row r="116" spans="1:2" x14ac:dyDescent="0.25">
      <c r="A116" s="1" t="s">
        <v>3138</v>
      </c>
      <c r="B116" t="s">
        <v>3291</v>
      </c>
    </row>
    <row r="117" spans="1:2" x14ac:dyDescent="0.25">
      <c r="A117" s="1" t="s">
        <v>3139</v>
      </c>
      <c r="B117" t="s">
        <v>3291</v>
      </c>
    </row>
    <row r="118" spans="1:2" x14ac:dyDescent="0.25">
      <c r="A118" s="1" t="s">
        <v>3140</v>
      </c>
      <c r="B118" t="s">
        <v>3291</v>
      </c>
    </row>
    <row r="119" spans="1:2" x14ac:dyDescent="0.25">
      <c r="A119" s="1" t="s">
        <v>2942</v>
      </c>
      <c r="B119" t="s">
        <v>3291</v>
      </c>
    </row>
    <row r="120" spans="1:2" x14ac:dyDescent="0.25">
      <c r="A120" s="1" t="s">
        <v>3142</v>
      </c>
      <c r="B120" t="s">
        <v>3291</v>
      </c>
    </row>
    <row r="121" spans="1:2" x14ac:dyDescent="0.25">
      <c r="A121" s="1" t="s">
        <v>2943</v>
      </c>
      <c r="B121" t="s">
        <v>3291</v>
      </c>
    </row>
    <row r="122" spans="1:2" x14ac:dyDescent="0.25">
      <c r="A122" s="1" t="s">
        <v>2944</v>
      </c>
      <c r="B122" t="s">
        <v>3291</v>
      </c>
    </row>
    <row r="123" spans="1:2" x14ac:dyDescent="0.25">
      <c r="A123" s="1" t="s">
        <v>3141</v>
      </c>
      <c r="B123" t="s">
        <v>3291</v>
      </c>
    </row>
    <row r="124" spans="1:2" x14ac:dyDescent="0.25">
      <c r="A124" s="1" t="s">
        <v>3143</v>
      </c>
      <c r="B124" t="s">
        <v>3291</v>
      </c>
    </row>
    <row r="125" spans="1:2" x14ac:dyDescent="0.25">
      <c r="A125" s="1" t="s">
        <v>2945</v>
      </c>
      <c r="B125" t="s">
        <v>3291</v>
      </c>
    </row>
    <row r="126" spans="1:2" x14ac:dyDescent="0.25">
      <c r="A126" s="1" t="s">
        <v>2945</v>
      </c>
      <c r="B126" t="s">
        <v>3291</v>
      </c>
    </row>
    <row r="127" spans="1:2" x14ac:dyDescent="0.25">
      <c r="A127" s="1" t="s">
        <v>3144</v>
      </c>
      <c r="B127" t="s">
        <v>3291</v>
      </c>
    </row>
    <row r="128" spans="1:2" x14ac:dyDescent="0.25">
      <c r="A128" s="1" t="s">
        <v>2946</v>
      </c>
      <c r="B128" t="s">
        <v>3291</v>
      </c>
    </row>
    <row r="129" spans="1:2" x14ac:dyDescent="0.25">
      <c r="A129" s="1" t="s">
        <v>3145</v>
      </c>
      <c r="B129" t="s">
        <v>3291</v>
      </c>
    </row>
    <row r="130" spans="1:2" x14ac:dyDescent="0.25">
      <c r="A130" s="1" t="s">
        <v>2947</v>
      </c>
      <c r="B130" t="s">
        <v>3291</v>
      </c>
    </row>
    <row r="131" spans="1:2" x14ac:dyDescent="0.25">
      <c r="A131" s="1" t="s">
        <v>2948</v>
      </c>
      <c r="B131" t="s">
        <v>3291</v>
      </c>
    </row>
    <row r="132" spans="1:2" x14ac:dyDescent="0.25">
      <c r="A132" s="1" t="s">
        <v>3146</v>
      </c>
      <c r="B132" t="s">
        <v>3291</v>
      </c>
    </row>
    <row r="133" spans="1:2" x14ac:dyDescent="0.25">
      <c r="A133" s="1" t="s">
        <v>2949</v>
      </c>
      <c r="B133" t="s">
        <v>3291</v>
      </c>
    </row>
    <row r="134" spans="1:2" x14ac:dyDescent="0.25">
      <c r="A134" s="1" t="s">
        <v>3147</v>
      </c>
      <c r="B134" t="s">
        <v>3291</v>
      </c>
    </row>
    <row r="135" spans="1:2" x14ac:dyDescent="0.25">
      <c r="A135" s="1" t="s">
        <v>2950</v>
      </c>
      <c r="B135" t="s">
        <v>3291</v>
      </c>
    </row>
    <row r="136" spans="1:2" x14ac:dyDescent="0.25">
      <c r="A136" s="1" t="s">
        <v>3148</v>
      </c>
      <c r="B136" t="s">
        <v>3291</v>
      </c>
    </row>
    <row r="137" spans="1:2" x14ac:dyDescent="0.25">
      <c r="A137" s="1" t="s">
        <v>2951</v>
      </c>
      <c r="B137" t="s">
        <v>3291</v>
      </c>
    </row>
    <row r="138" spans="1:2" x14ac:dyDescent="0.25">
      <c r="A138" s="1" t="s">
        <v>3149</v>
      </c>
      <c r="B138" t="s">
        <v>3291</v>
      </c>
    </row>
    <row r="139" spans="1:2" x14ac:dyDescent="0.25">
      <c r="A139" s="1" t="s">
        <v>3150</v>
      </c>
      <c r="B139" t="s">
        <v>3291</v>
      </c>
    </row>
    <row r="140" spans="1:2" x14ac:dyDescent="0.25">
      <c r="A140" s="1" t="s">
        <v>3151</v>
      </c>
      <c r="B140" t="s">
        <v>3291</v>
      </c>
    </row>
    <row r="141" spans="1:2" x14ac:dyDescent="0.25">
      <c r="A141" s="1" t="s">
        <v>2952</v>
      </c>
      <c r="B141" t="s">
        <v>3291</v>
      </c>
    </row>
    <row r="142" spans="1:2" x14ac:dyDescent="0.25">
      <c r="A142" s="1" t="s">
        <v>3152</v>
      </c>
      <c r="B142" t="s">
        <v>3291</v>
      </c>
    </row>
    <row r="143" spans="1:2" x14ac:dyDescent="0.25">
      <c r="A143" s="1" t="s">
        <v>2953</v>
      </c>
      <c r="B143" t="s">
        <v>3291</v>
      </c>
    </row>
    <row r="144" spans="1:2" x14ac:dyDescent="0.25">
      <c r="A144" s="1" t="s">
        <v>3153</v>
      </c>
      <c r="B144" t="s">
        <v>3291</v>
      </c>
    </row>
    <row r="145" spans="1:2" x14ac:dyDescent="0.25">
      <c r="A145" s="1" t="s">
        <v>3154</v>
      </c>
      <c r="B145" t="s">
        <v>3291</v>
      </c>
    </row>
    <row r="146" spans="1:2" x14ac:dyDescent="0.25">
      <c r="A146" s="1" t="s">
        <v>2954</v>
      </c>
      <c r="B146" t="s">
        <v>3291</v>
      </c>
    </row>
    <row r="147" spans="1:2" x14ac:dyDescent="0.25">
      <c r="A147" s="1" t="s">
        <v>2955</v>
      </c>
      <c r="B147" t="s">
        <v>3291</v>
      </c>
    </row>
    <row r="148" spans="1:2" x14ac:dyDescent="0.25">
      <c r="A148" s="1" t="s">
        <v>3155</v>
      </c>
      <c r="B148" t="s">
        <v>3291</v>
      </c>
    </row>
    <row r="149" spans="1:2" x14ac:dyDescent="0.25">
      <c r="A149" s="1" t="s">
        <v>2956</v>
      </c>
      <c r="B149" t="s">
        <v>3291</v>
      </c>
    </row>
    <row r="150" spans="1:2" x14ac:dyDescent="0.25">
      <c r="A150" s="1" t="s">
        <v>2957</v>
      </c>
      <c r="B150" t="s">
        <v>3291</v>
      </c>
    </row>
    <row r="151" spans="1:2" x14ac:dyDescent="0.25">
      <c r="A151" s="1" t="s">
        <v>3156</v>
      </c>
      <c r="B151" t="s">
        <v>3291</v>
      </c>
    </row>
    <row r="152" spans="1:2" x14ac:dyDescent="0.25">
      <c r="A152" s="1" t="s">
        <v>2959</v>
      </c>
      <c r="B152" t="s">
        <v>3291</v>
      </c>
    </row>
    <row r="153" spans="1:2" x14ac:dyDescent="0.25">
      <c r="A153" s="1" t="s">
        <v>3157</v>
      </c>
      <c r="B153" t="s">
        <v>3291</v>
      </c>
    </row>
    <row r="154" spans="1:2" x14ac:dyDescent="0.25">
      <c r="A154" s="1" t="s">
        <v>2958</v>
      </c>
      <c r="B154" t="s">
        <v>3291</v>
      </c>
    </row>
    <row r="155" spans="1:2" x14ac:dyDescent="0.25">
      <c r="A155" s="1" t="s">
        <v>3158</v>
      </c>
      <c r="B155" t="s">
        <v>3291</v>
      </c>
    </row>
    <row r="156" spans="1:2" x14ac:dyDescent="0.25">
      <c r="A156" s="1" t="s">
        <v>2960</v>
      </c>
      <c r="B156" t="s">
        <v>3291</v>
      </c>
    </row>
    <row r="157" spans="1:2" x14ac:dyDescent="0.25">
      <c r="A157" s="1" t="s">
        <v>3159</v>
      </c>
      <c r="B157" t="s">
        <v>3291</v>
      </c>
    </row>
    <row r="158" spans="1:2" x14ac:dyDescent="0.25">
      <c r="A158" s="1" t="s">
        <v>2961</v>
      </c>
      <c r="B158" t="s">
        <v>3291</v>
      </c>
    </row>
    <row r="159" spans="1:2" x14ac:dyDescent="0.25">
      <c r="A159" s="1" t="s">
        <v>3160</v>
      </c>
      <c r="B159" t="s">
        <v>3291</v>
      </c>
    </row>
    <row r="160" spans="1:2" x14ac:dyDescent="0.25">
      <c r="A160" s="1" t="s">
        <v>3161</v>
      </c>
      <c r="B160" t="s">
        <v>3291</v>
      </c>
    </row>
    <row r="161" spans="1:2" x14ac:dyDescent="0.25">
      <c r="A161" s="1" t="s">
        <v>3162</v>
      </c>
      <c r="B161" t="s">
        <v>3291</v>
      </c>
    </row>
    <row r="162" spans="1:2" x14ac:dyDescent="0.25">
      <c r="A162" s="1" t="s">
        <v>2962</v>
      </c>
      <c r="B162" t="s">
        <v>3291</v>
      </c>
    </row>
    <row r="163" spans="1:2" x14ac:dyDescent="0.25">
      <c r="A163" s="1" t="s">
        <v>2962</v>
      </c>
      <c r="B163" t="s">
        <v>3291</v>
      </c>
    </row>
    <row r="164" spans="1:2" x14ac:dyDescent="0.25">
      <c r="A164" s="1" t="s">
        <v>2963</v>
      </c>
      <c r="B164" t="s">
        <v>3291</v>
      </c>
    </row>
    <row r="165" spans="1:2" x14ac:dyDescent="0.25">
      <c r="A165" s="1" t="s">
        <v>3163</v>
      </c>
      <c r="B165" t="s">
        <v>3291</v>
      </c>
    </row>
    <row r="166" spans="1:2" x14ac:dyDescent="0.25">
      <c r="A166" s="1" t="s">
        <v>2964</v>
      </c>
      <c r="B166" t="s">
        <v>3291</v>
      </c>
    </row>
    <row r="167" spans="1:2" x14ac:dyDescent="0.25">
      <c r="A167" s="1" t="s">
        <v>2964</v>
      </c>
      <c r="B167" t="s">
        <v>3291</v>
      </c>
    </row>
    <row r="168" spans="1:2" x14ac:dyDescent="0.25">
      <c r="A168" s="1" t="s">
        <v>3164</v>
      </c>
      <c r="B168" t="s">
        <v>3291</v>
      </c>
    </row>
    <row r="169" spans="1:2" x14ac:dyDescent="0.25">
      <c r="A169" s="1" t="s">
        <v>2965</v>
      </c>
      <c r="B169" t="s">
        <v>3291</v>
      </c>
    </row>
    <row r="170" spans="1:2" x14ac:dyDescent="0.25">
      <c r="A170" s="1" t="s">
        <v>2966</v>
      </c>
      <c r="B170" t="s">
        <v>3291</v>
      </c>
    </row>
    <row r="171" spans="1:2" x14ac:dyDescent="0.25">
      <c r="A171" s="1" t="s">
        <v>3165</v>
      </c>
      <c r="B171" t="s">
        <v>3291</v>
      </c>
    </row>
    <row r="172" spans="1:2" x14ac:dyDescent="0.25">
      <c r="A172" s="1" t="s">
        <v>3166</v>
      </c>
      <c r="B172" t="s">
        <v>3291</v>
      </c>
    </row>
    <row r="173" spans="1:2" x14ac:dyDescent="0.25">
      <c r="A173" s="1" t="s">
        <v>3167</v>
      </c>
      <c r="B173" t="s">
        <v>3291</v>
      </c>
    </row>
    <row r="174" spans="1:2" x14ac:dyDescent="0.25">
      <c r="A174" s="1" t="s">
        <v>3168</v>
      </c>
      <c r="B174" t="s">
        <v>3291</v>
      </c>
    </row>
    <row r="175" spans="1:2" x14ac:dyDescent="0.25">
      <c r="A175" s="1" t="s">
        <v>3169</v>
      </c>
      <c r="B175" t="s">
        <v>3291</v>
      </c>
    </row>
    <row r="176" spans="1:2" x14ac:dyDescent="0.25">
      <c r="A176" s="1" t="s">
        <v>2967</v>
      </c>
      <c r="B176" t="s">
        <v>3291</v>
      </c>
    </row>
    <row r="177" spans="1:2" x14ac:dyDescent="0.25">
      <c r="A177" s="1" t="s">
        <v>2967</v>
      </c>
      <c r="B177" t="s">
        <v>3291</v>
      </c>
    </row>
    <row r="178" spans="1:2" x14ac:dyDescent="0.25">
      <c r="A178" s="1" t="s">
        <v>2968</v>
      </c>
      <c r="B178" t="s">
        <v>3291</v>
      </c>
    </row>
    <row r="179" spans="1:2" x14ac:dyDescent="0.25">
      <c r="A179" s="1" t="s">
        <v>3170</v>
      </c>
      <c r="B179" t="s">
        <v>3291</v>
      </c>
    </row>
    <row r="180" spans="1:2" x14ac:dyDescent="0.25">
      <c r="A180" s="1" t="s">
        <v>3171</v>
      </c>
      <c r="B180" t="s">
        <v>3291</v>
      </c>
    </row>
    <row r="181" spans="1:2" x14ac:dyDescent="0.25">
      <c r="A181" s="1" t="s">
        <v>2969</v>
      </c>
      <c r="B181" t="s">
        <v>3291</v>
      </c>
    </row>
    <row r="182" spans="1:2" x14ac:dyDescent="0.25">
      <c r="A182" s="1" t="s">
        <v>2969</v>
      </c>
      <c r="B182" t="s">
        <v>3291</v>
      </c>
    </row>
    <row r="183" spans="1:2" x14ac:dyDescent="0.25">
      <c r="A183" s="1" t="s">
        <v>3172</v>
      </c>
      <c r="B183" t="s">
        <v>3291</v>
      </c>
    </row>
    <row r="184" spans="1:2" x14ac:dyDescent="0.25">
      <c r="A184" s="1" t="s">
        <v>3173</v>
      </c>
      <c r="B184" t="s">
        <v>3291</v>
      </c>
    </row>
    <row r="185" spans="1:2" x14ac:dyDescent="0.25">
      <c r="A185" s="1" t="s">
        <v>3174</v>
      </c>
      <c r="B185" t="s">
        <v>3291</v>
      </c>
    </row>
    <row r="186" spans="1:2" x14ac:dyDescent="0.25">
      <c r="A186" s="1" t="s">
        <v>2970</v>
      </c>
      <c r="B186" t="s">
        <v>3291</v>
      </c>
    </row>
    <row r="187" spans="1:2" x14ac:dyDescent="0.25">
      <c r="A187" s="1" t="s">
        <v>2971</v>
      </c>
      <c r="B187" t="s">
        <v>3291</v>
      </c>
    </row>
    <row r="188" spans="1:2" x14ac:dyDescent="0.25">
      <c r="A188" s="1" t="s">
        <v>3175</v>
      </c>
      <c r="B188" t="s">
        <v>3291</v>
      </c>
    </row>
    <row r="189" spans="1:2" x14ac:dyDescent="0.25">
      <c r="A189" s="1" t="s">
        <v>3176</v>
      </c>
      <c r="B189" t="s">
        <v>3291</v>
      </c>
    </row>
    <row r="190" spans="1:2" x14ac:dyDescent="0.25">
      <c r="A190" s="1" t="s">
        <v>3177</v>
      </c>
      <c r="B190" t="s">
        <v>3291</v>
      </c>
    </row>
    <row r="191" spans="1:2" x14ac:dyDescent="0.25">
      <c r="A191" s="1" t="s">
        <v>3178</v>
      </c>
      <c r="B191" t="s">
        <v>3291</v>
      </c>
    </row>
    <row r="192" spans="1:2" x14ac:dyDescent="0.25">
      <c r="A192" s="1" t="s">
        <v>3179</v>
      </c>
      <c r="B192" t="s">
        <v>3291</v>
      </c>
    </row>
    <row r="193" spans="1:2" x14ac:dyDescent="0.25">
      <c r="A193" s="1" t="s">
        <v>2972</v>
      </c>
      <c r="B193" t="s">
        <v>3291</v>
      </c>
    </row>
    <row r="194" spans="1:2" x14ac:dyDescent="0.25">
      <c r="A194" s="1" t="s">
        <v>2973</v>
      </c>
      <c r="B194" t="s">
        <v>3291</v>
      </c>
    </row>
    <row r="195" spans="1:2" x14ac:dyDescent="0.25">
      <c r="A195" s="1" t="s">
        <v>2974</v>
      </c>
      <c r="B195" t="s">
        <v>3291</v>
      </c>
    </row>
    <row r="196" spans="1:2" x14ac:dyDescent="0.25">
      <c r="A196" s="1" t="s">
        <v>3180</v>
      </c>
      <c r="B196" t="s">
        <v>3291</v>
      </c>
    </row>
    <row r="197" spans="1:2" x14ac:dyDescent="0.25">
      <c r="A197" s="1" t="s">
        <v>2975</v>
      </c>
      <c r="B197" t="s">
        <v>3291</v>
      </c>
    </row>
    <row r="198" spans="1:2" x14ac:dyDescent="0.25">
      <c r="A198" s="1" t="s">
        <v>3181</v>
      </c>
      <c r="B198" t="s">
        <v>3291</v>
      </c>
    </row>
    <row r="199" spans="1:2" x14ac:dyDescent="0.25">
      <c r="A199" s="1" t="s">
        <v>2976</v>
      </c>
      <c r="B199" t="s">
        <v>3291</v>
      </c>
    </row>
    <row r="200" spans="1:2" x14ac:dyDescent="0.25">
      <c r="A200" s="1" t="s">
        <v>2976</v>
      </c>
      <c r="B200" t="s">
        <v>3291</v>
      </c>
    </row>
    <row r="201" spans="1:2" x14ac:dyDescent="0.25">
      <c r="A201" s="1" t="s">
        <v>2977</v>
      </c>
      <c r="B201" t="s">
        <v>3291</v>
      </c>
    </row>
    <row r="202" spans="1:2" x14ac:dyDescent="0.25">
      <c r="A202" s="1" t="s">
        <v>3182</v>
      </c>
      <c r="B202" t="s">
        <v>3291</v>
      </c>
    </row>
    <row r="203" spans="1:2" x14ac:dyDescent="0.25">
      <c r="A203" s="1" t="s">
        <v>3183</v>
      </c>
      <c r="B203" t="s">
        <v>3291</v>
      </c>
    </row>
    <row r="204" spans="1:2" x14ac:dyDescent="0.25">
      <c r="A204" s="1" t="s">
        <v>3184</v>
      </c>
      <c r="B204" t="s">
        <v>3291</v>
      </c>
    </row>
    <row r="205" spans="1:2" x14ac:dyDescent="0.25">
      <c r="A205" s="1" t="s">
        <v>2978</v>
      </c>
      <c r="B205" t="s">
        <v>3291</v>
      </c>
    </row>
    <row r="206" spans="1:2" x14ac:dyDescent="0.25">
      <c r="A206" s="1" t="s">
        <v>3185</v>
      </c>
      <c r="B206" t="s">
        <v>3291</v>
      </c>
    </row>
    <row r="207" spans="1:2" x14ac:dyDescent="0.25">
      <c r="A207" s="1" t="s">
        <v>2979</v>
      </c>
      <c r="B207" t="s">
        <v>3291</v>
      </c>
    </row>
    <row r="208" spans="1:2" x14ac:dyDescent="0.25">
      <c r="A208" s="1" t="s">
        <v>2980</v>
      </c>
      <c r="B208" t="s">
        <v>3291</v>
      </c>
    </row>
    <row r="209" spans="1:2" x14ac:dyDescent="0.25">
      <c r="A209" s="1" t="s">
        <v>2980</v>
      </c>
      <c r="B209" t="s">
        <v>3291</v>
      </c>
    </row>
    <row r="210" spans="1:2" x14ac:dyDescent="0.25">
      <c r="A210" s="1" t="s">
        <v>2981</v>
      </c>
      <c r="B210" t="s">
        <v>3291</v>
      </c>
    </row>
    <row r="211" spans="1:2" x14ac:dyDescent="0.25">
      <c r="A211" s="1" t="s">
        <v>2981</v>
      </c>
      <c r="B211" t="s">
        <v>3291</v>
      </c>
    </row>
    <row r="212" spans="1:2" x14ac:dyDescent="0.25">
      <c r="A212" s="1" t="s">
        <v>2982</v>
      </c>
      <c r="B212" t="s">
        <v>3291</v>
      </c>
    </row>
    <row r="213" spans="1:2" x14ac:dyDescent="0.25">
      <c r="A213" s="1" t="s">
        <v>3186</v>
      </c>
      <c r="B213" t="s">
        <v>3291</v>
      </c>
    </row>
    <row r="214" spans="1:2" x14ac:dyDescent="0.25">
      <c r="A214" s="1" t="s">
        <v>2983</v>
      </c>
      <c r="B214" t="s">
        <v>3291</v>
      </c>
    </row>
    <row r="215" spans="1:2" x14ac:dyDescent="0.25">
      <c r="A215" s="1" t="s">
        <v>2985</v>
      </c>
      <c r="B215" t="s">
        <v>3291</v>
      </c>
    </row>
    <row r="216" spans="1:2" x14ac:dyDescent="0.25">
      <c r="A216" s="1" t="s">
        <v>2984</v>
      </c>
      <c r="B216" t="s">
        <v>3291</v>
      </c>
    </row>
    <row r="217" spans="1:2" x14ac:dyDescent="0.25">
      <c r="A217" s="1" t="s">
        <v>3187</v>
      </c>
      <c r="B217" t="s">
        <v>3291</v>
      </c>
    </row>
    <row r="218" spans="1:2" x14ac:dyDescent="0.25">
      <c r="A218" s="1" t="s">
        <v>3188</v>
      </c>
      <c r="B218" t="s">
        <v>3291</v>
      </c>
    </row>
    <row r="219" spans="1:2" x14ac:dyDescent="0.25">
      <c r="A219" s="1" t="s">
        <v>3189</v>
      </c>
      <c r="B219" t="s">
        <v>3291</v>
      </c>
    </row>
    <row r="220" spans="1:2" x14ac:dyDescent="0.25">
      <c r="A220" s="1" t="s">
        <v>3190</v>
      </c>
      <c r="B220" t="s">
        <v>3291</v>
      </c>
    </row>
    <row r="221" spans="1:2" x14ac:dyDescent="0.25">
      <c r="A221" s="1" t="s">
        <v>3191</v>
      </c>
      <c r="B221" t="s">
        <v>3291</v>
      </c>
    </row>
    <row r="222" spans="1:2" x14ac:dyDescent="0.25">
      <c r="A222" s="1" t="s">
        <v>2986</v>
      </c>
      <c r="B222" t="s">
        <v>3291</v>
      </c>
    </row>
    <row r="223" spans="1:2" x14ac:dyDescent="0.25">
      <c r="A223" s="1" t="s">
        <v>2987</v>
      </c>
      <c r="B223" t="s">
        <v>3291</v>
      </c>
    </row>
    <row r="224" spans="1:2" x14ac:dyDescent="0.25">
      <c r="A224" s="1" t="s">
        <v>2988</v>
      </c>
      <c r="B224" t="s">
        <v>3291</v>
      </c>
    </row>
    <row r="225" spans="1:2" x14ac:dyDescent="0.25">
      <c r="A225" s="1" t="s">
        <v>2989</v>
      </c>
      <c r="B225" t="s">
        <v>3291</v>
      </c>
    </row>
    <row r="226" spans="1:2" x14ac:dyDescent="0.25">
      <c r="A226" s="1" t="s">
        <v>2990</v>
      </c>
      <c r="B226" t="s">
        <v>3291</v>
      </c>
    </row>
    <row r="227" spans="1:2" x14ac:dyDescent="0.25">
      <c r="A227" s="1" t="s">
        <v>2991</v>
      </c>
      <c r="B227" t="s">
        <v>3291</v>
      </c>
    </row>
    <row r="228" spans="1:2" x14ac:dyDescent="0.25">
      <c r="A228" s="1" t="s">
        <v>2992</v>
      </c>
      <c r="B228" t="s">
        <v>3291</v>
      </c>
    </row>
    <row r="229" spans="1:2" x14ac:dyDescent="0.25">
      <c r="A229" s="1" t="s">
        <v>3192</v>
      </c>
      <c r="B229" t="s">
        <v>3291</v>
      </c>
    </row>
    <row r="230" spans="1:2" x14ac:dyDescent="0.25">
      <c r="A230" s="1" t="s">
        <v>2993</v>
      </c>
      <c r="B230" t="s">
        <v>3291</v>
      </c>
    </row>
    <row r="231" spans="1:2" x14ac:dyDescent="0.25">
      <c r="A231" s="1" t="s">
        <v>2993</v>
      </c>
      <c r="B231" t="s">
        <v>3291</v>
      </c>
    </row>
    <row r="232" spans="1:2" x14ac:dyDescent="0.25">
      <c r="A232" s="1" t="s">
        <v>2994</v>
      </c>
      <c r="B232" t="s">
        <v>3291</v>
      </c>
    </row>
    <row r="233" spans="1:2" x14ac:dyDescent="0.25">
      <c r="A233" s="1" t="s">
        <v>2995</v>
      </c>
      <c r="B233" t="s">
        <v>3291</v>
      </c>
    </row>
    <row r="234" spans="1:2" x14ac:dyDescent="0.25">
      <c r="A234" s="1" t="s">
        <v>3193</v>
      </c>
      <c r="B234" t="s">
        <v>3291</v>
      </c>
    </row>
    <row r="235" spans="1:2" x14ac:dyDescent="0.25">
      <c r="A235" s="1" t="s">
        <v>3194</v>
      </c>
      <c r="B235" t="s">
        <v>3291</v>
      </c>
    </row>
    <row r="236" spans="1:2" x14ac:dyDescent="0.25">
      <c r="A236" s="1" t="s">
        <v>3195</v>
      </c>
      <c r="B236" t="s">
        <v>3291</v>
      </c>
    </row>
    <row r="237" spans="1:2" x14ac:dyDescent="0.25">
      <c r="A237" s="1" t="s">
        <v>2996</v>
      </c>
      <c r="B237" t="s">
        <v>3291</v>
      </c>
    </row>
    <row r="238" spans="1:2" x14ac:dyDescent="0.25">
      <c r="A238" s="1" t="s">
        <v>2997</v>
      </c>
      <c r="B238" t="s">
        <v>3291</v>
      </c>
    </row>
    <row r="239" spans="1:2" x14ac:dyDescent="0.25">
      <c r="A239" s="1" t="s">
        <v>3196</v>
      </c>
      <c r="B239" t="s">
        <v>3291</v>
      </c>
    </row>
    <row r="240" spans="1:2" x14ac:dyDescent="0.25">
      <c r="A240" s="1" t="s">
        <v>2998</v>
      </c>
      <c r="B240" t="s">
        <v>3291</v>
      </c>
    </row>
    <row r="241" spans="1:2" x14ac:dyDescent="0.25">
      <c r="A241" s="1" t="s">
        <v>2999</v>
      </c>
      <c r="B241" t="s">
        <v>3291</v>
      </c>
    </row>
    <row r="242" spans="1:2" x14ac:dyDescent="0.25">
      <c r="A242" s="1" t="s">
        <v>3197</v>
      </c>
      <c r="B242" t="s">
        <v>3291</v>
      </c>
    </row>
    <row r="243" spans="1:2" x14ac:dyDescent="0.25">
      <c r="A243" s="1" t="s">
        <v>3198</v>
      </c>
      <c r="B243" t="s">
        <v>3291</v>
      </c>
    </row>
    <row r="244" spans="1:2" x14ac:dyDescent="0.25">
      <c r="A244" s="1" t="s">
        <v>3000</v>
      </c>
      <c r="B244" t="s">
        <v>3291</v>
      </c>
    </row>
    <row r="245" spans="1:2" x14ac:dyDescent="0.25">
      <c r="A245" s="1" t="s">
        <v>3000</v>
      </c>
      <c r="B245" t="s">
        <v>3291</v>
      </c>
    </row>
    <row r="246" spans="1:2" x14ac:dyDescent="0.25">
      <c r="A246" s="1" t="s">
        <v>3001</v>
      </c>
      <c r="B246" t="s">
        <v>3291</v>
      </c>
    </row>
    <row r="247" spans="1:2" x14ac:dyDescent="0.25">
      <c r="A247" s="1" t="s">
        <v>3002</v>
      </c>
      <c r="B247" t="s">
        <v>3291</v>
      </c>
    </row>
    <row r="248" spans="1:2" x14ac:dyDescent="0.25">
      <c r="A248" s="1" t="s">
        <v>3199</v>
      </c>
      <c r="B248" t="s">
        <v>3291</v>
      </c>
    </row>
    <row r="249" spans="1:2" x14ac:dyDescent="0.25">
      <c r="A249" s="1" t="s">
        <v>3003</v>
      </c>
      <c r="B249" t="s">
        <v>3291</v>
      </c>
    </row>
    <row r="250" spans="1:2" x14ac:dyDescent="0.25">
      <c r="A250" s="1" t="s">
        <v>3201</v>
      </c>
      <c r="B250" t="s">
        <v>3291</v>
      </c>
    </row>
    <row r="251" spans="1:2" x14ac:dyDescent="0.25">
      <c r="A251" s="1" t="s">
        <v>3200</v>
      </c>
      <c r="B251" t="s">
        <v>3291</v>
      </c>
    </row>
    <row r="252" spans="1:2" x14ac:dyDescent="0.25">
      <c r="A252" s="1" t="s">
        <v>3004</v>
      </c>
      <c r="B252" t="s">
        <v>3291</v>
      </c>
    </row>
    <row r="253" spans="1:2" x14ac:dyDescent="0.25">
      <c r="A253" s="1" t="s">
        <v>2407</v>
      </c>
      <c r="B253" t="s">
        <v>3291</v>
      </c>
    </row>
    <row r="254" spans="1:2" x14ac:dyDescent="0.25">
      <c r="A254" s="1" t="s">
        <v>3005</v>
      </c>
      <c r="B254" t="s">
        <v>3291</v>
      </c>
    </row>
    <row r="255" spans="1:2" x14ac:dyDescent="0.25">
      <c r="A255" s="1" t="s">
        <v>3202</v>
      </c>
      <c r="B255" t="s">
        <v>3291</v>
      </c>
    </row>
    <row r="256" spans="1:2" x14ac:dyDescent="0.25">
      <c r="A256" s="1" t="s">
        <v>3006</v>
      </c>
      <c r="B256" t="s">
        <v>3291</v>
      </c>
    </row>
    <row r="257" spans="1:2" x14ac:dyDescent="0.25">
      <c r="A257" s="1" t="s">
        <v>3007</v>
      </c>
      <c r="B257" t="s">
        <v>3291</v>
      </c>
    </row>
    <row r="258" spans="1:2" x14ac:dyDescent="0.25">
      <c r="A258" s="1" t="s">
        <v>3008</v>
      </c>
      <c r="B258" t="s">
        <v>3291</v>
      </c>
    </row>
    <row r="259" spans="1:2" x14ac:dyDescent="0.25">
      <c r="A259" s="1" t="s">
        <v>3203</v>
      </c>
      <c r="B259" t="s">
        <v>3291</v>
      </c>
    </row>
    <row r="260" spans="1:2" x14ac:dyDescent="0.25">
      <c r="A260" s="1" t="s">
        <v>3204</v>
      </c>
      <c r="B260" t="s">
        <v>3291</v>
      </c>
    </row>
    <row r="261" spans="1:2" x14ac:dyDescent="0.25">
      <c r="A261" s="1" t="s">
        <v>3205</v>
      </c>
      <c r="B261" t="s">
        <v>3291</v>
      </c>
    </row>
    <row r="262" spans="1:2" x14ac:dyDescent="0.25">
      <c r="A262" s="1" t="s">
        <v>3206</v>
      </c>
      <c r="B262" t="s">
        <v>3291</v>
      </c>
    </row>
    <row r="263" spans="1:2" x14ac:dyDescent="0.25">
      <c r="A263" s="1" t="s">
        <v>3207</v>
      </c>
      <c r="B263" t="s">
        <v>3291</v>
      </c>
    </row>
    <row r="264" spans="1:2" x14ac:dyDescent="0.25">
      <c r="A264" s="1" t="s">
        <v>3009</v>
      </c>
      <c r="B264" t="s">
        <v>3291</v>
      </c>
    </row>
    <row r="265" spans="1:2" x14ac:dyDescent="0.25">
      <c r="A265" s="1" t="s">
        <v>3208</v>
      </c>
      <c r="B265" t="s">
        <v>3291</v>
      </c>
    </row>
    <row r="266" spans="1:2" x14ac:dyDescent="0.25">
      <c r="A266" s="1" t="s">
        <v>3209</v>
      </c>
      <c r="B266" t="s">
        <v>3291</v>
      </c>
    </row>
    <row r="267" spans="1:2" x14ac:dyDescent="0.25">
      <c r="A267" s="1" t="s">
        <v>3210</v>
      </c>
      <c r="B267" t="s">
        <v>3291</v>
      </c>
    </row>
    <row r="268" spans="1:2" x14ac:dyDescent="0.25">
      <c r="A268" s="1" t="s">
        <v>3211</v>
      </c>
      <c r="B268" t="s">
        <v>3291</v>
      </c>
    </row>
    <row r="269" spans="1:2" x14ac:dyDescent="0.25">
      <c r="A269" s="1" t="s">
        <v>3010</v>
      </c>
      <c r="B269" t="s">
        <v>3291</v>
      </c>
    </row>
    <row r="270" spans="1:2" x14ac:dyDescent="0.25">
      <c r="A270" s="1" t="s">
        <v>3011</v>
      </c>
      <c r="B270" t="s">
        <v>3291</v>
      </c>
    </row>
    <row r="271" spans="1:2" x14ac:dyDescent="0.25">
      <c r="A271" s="1" t="s">
        <v>3012</v>
      </c>
      <c r="B271" t="s">
        <v>3291</v>
      </c>
    </row>
    <row r="272" spans="1:2" x14ac:dyDescent="0.25">
      <c r="A272" s="1" t="s">
        <v>3013</v>
      </c>
      <c r="B272" t="s">
        <v>3291</v>
      </c>
    </row>
    <row r="273" spans="1:2" x14ac:dyDescent="0.25">
      <c r="A273" s="1" t="s">
        <v>3014</v>
      </c>
      <c r="B273" t="s">
        <v>3291</v>
      </c>
    </row>
    <row r="274" spans="1:2" x14ac:dyDescent="0.25">
      <c r="A274" s="1" t="s">
        <v>3015</v>
      </c>
      <c r="B274" t="s">
        <v>3291</v>
      </c>
    </row>
    <row r="275" spans="1:2" x14ac:dyDescent="0.25">
      <c r="A275" s="1" t="s">
        <v>3016</v>
      </c>
      <c r="B275" t="s">
        <v>3291</v>
      </c>
    </row>
    <row r="276" spans="1:2" x14ac:dyDescent="0.25">
      <c r="A276" s="1" t="s">
        <v>3212</v>
      </c>
      <c r="B276" t="s">
        <v>3291</v>
      </c>
    </row>
    <row r="277" spans="1:2" x14ac:dyDescent="0.25">
      <c r="A277" s="1" t="s">
        <v>3213</v>
      </c>
      <c r="B277" t="s">
        <v>3291</v>
      </c>
    </row>
    <row r="278" spans="1:2" x14ac:dyDescent="0.25">
      <c r="A278" s="1" t="s">
        <v>3214</v>
      </c>
      <c r="B278" t="s">
        <v>3291</v>
      </c>
    </row>
    <row r="279" spans="1:2" x14ac:dyDescent="0.25">
      <c r="A279" s="1" t="s">
        <v>3215</v>
      </c>
      <c r="B279" t="s">
        <v>3291</v>
      </c>
    </row>
    <row r="280" spans="1:2" x14ac:dyDescent="0.25">
      <c r="A280" s="1" t="s">
        <v>3216</v>
      </c>
      <c r="B280" t="s">
        <v>3291</v>
      </c>
    </row>
    <row r="281" spans="1:2" x14ac:dyDescent="0.25">
      <c r="A281" s="1" t="s">
        <v>3017</v>
      </c>
      <c r="B281" t="s">
        <v>3291</v>
      </c>
    </row>
    <row r="282" spans="1:2" x14ac:dyDescent="0.25">
      <c r="A282" s="1" t="s">
        <v>3018</v>
      </c>
      <c r="B282" t="s">
        <v>3291</v>
      </c>
    </row>
    <row r="283" spans="1:2" x14ac:dyDescent="0.25">
      <c r="A283" s="1" t="s">
        <v>3019</v>
      </c>
      <c r="B283" t="s">
        <v>3291</v>
      </c>
    </row>
    <row r="284" spans="1:2" x14ac:dyDescent="0.25">
      <c r="A284" s="1" t="s">
        <v>3020</v>
      </c>
      <c r="B284" t="s">
        <v>3291</v>
      </c>
    </row>
    <row r="285" spans="1:2" x14ac:dyDescent="0.25">
      <c r="A285" s="1" t="s">
        <v>3217</v>
      </c>
      <c r="B285" t="s">
        <v>3291</v>
      </c>
    </row>
    <row r="286" spans="1:2" x14ac:dyDescent="0.25">
      <c r="A286" s="1" t="s">
        <v>3218</v>
      </c>
      <c r="B286" t="s">
        <v>3291</v>
      </c>
    </row>
    <row r="287" spans="1:2" x14ac:dyDescent="0.25">
      <c r="A287" s="1" t="s">
        <v>3219</v>
      </c>
      <c r="B287" t="s">
        <v>3291</v>
      </c>
    </row>
    <row r="288" spans="1:2" x14ac:dyDescent="0.25">
      <c r="A288" s="1" t="s">
        <v>3220</v>
      </c>
      <c r="B288" t="s">
        <v>3291</v>
      </c>
    </row>
    <row r="289" spans="1:2" x14ac:dyDescent="0.25">
      <c r="A289" s="1" t="s">
        <v>3021</v>
      </c>
      <c r="B289" t="s">
        <v>3291</v>
      </c>
    </row>
    <row r="290" spans="1:2" x14ac:dyDescent="0.25">
      <c r="A290" s="1" t="s">
        <v>3221</v>
      </c>
      <c r="B290" t="s">
        <v>3291</v>
      </c>
    </row>
    <row r="291" spans="1:2" x14ac:dyDescent="0.25">
      <c r="A291" s="1" t="s">
        <v>3022</v>
      </c>
      <c r="B291" t="s">
        <v>3291</v>
      </c>
    </row>
    <row r="292" spans="1:2" x14ac:dyDescent="0.25">
      <c r="A292" s="1" t="s">
        <v>3022</v>
      </c>
      <c r="B292" t="s">
        <v>3291</v>
      </c>
    </row>
    <row r="293" spans="1:2" x14ac:dyDescent="0.25">
      <c r="A293" s="1" t="s">
        <v>3023</v>
      </c>
      <c r="B293" t="s">
        <v>3291</v>
      </c>
    </row>
    <row r="294" spans="1:2" x14ac:dyDescent="0.25">
      <c r="A294" s="1" t="s">
        <v>3023</v>
      </c>
      <c r="B294" t="s">
        <v>3291</v>
      </c>
    </row>
    <row r="295" spans="1:2" x14ac:dyDescent="0.25">
      <c r="A295" s="1" t="s">
        <v>3222</v>
      </c>
      <c r="B295" t="s">
        <v>3291</v>
      </c>
    </row>
    <row r="296" spans="1:2" x14ac:dyDescent="0.25">
      <c r="A296" s="1" t="s">
        <v>3223</v>
      </c>
      <c r="B296" t="s">
        <v>3291</v>
      </c>
    </row>
    <row r="297" spans="1:2" x14ac:dyDescent="0.25">
      <c r="A297" s="1" t="s">
        <v>3224</v>
      </c>
      <c r="B297" t="s">
        <v>3291</v>
      </c>
    </row>
    <row r="298" spans="1:2" x14ac:dyDescent="0.25">
      <c r="A298" s="1" t="s">
        <v>3024</v>
      </c>
      <c r="B298" t="s">
        <v>3291</v>
      </c>
    </row>
    <row r="299" spans="1:2" x14ac:dyDescent="0.25">
      <c r="A299" s="1" t="s">
        <v>3225</v>
      </c>
      <c r="B299" t="s">
        <v>3291</v>
      </c>
    </row>
    <row r="300" spans="1:2" x14ac:dyDescent="0.25">
      <c r="A300" s="1" t="s">
        <v>3025</v>
      </c>
      <c r="B300" t="s">
        <v>3291</v>
      </c>
    </row>
    <row r="301" spans="1:2" x14ac:dyDescent="0.25">
      <c r="A301" s="1" t="s">
        <v>3025</v>
      </c>
      <c r="B301" t="s">
        <v>3291</v>
      </c>
    </row>
    <row r="302" spans="1:2" x14ac:dyDescent="0.25">
      <c r="A302" s="1" t="s">
        <v>3226</v>
      </c>
      <c r="B302" t="s">
        <v>3291</v>
      </c>
    </row>
    <row r="303" spans="1:2" x14ac:dyDescent="0.25">
      <c r="A303" s="1" t="s">
        <v>3026</v>
      </c>
      <c r="B303" t="s">
        <v>3291</v>
      </c>
    </row>
    <row r="304" spans="1:2" x14ac:dyDescent="0.25">
      <c r="A304" s="1" t="s">
        <v>3027</v>
      </c>
      <c r="B304" t="s">
        <v>3291</v>
      </c>
    </row>
    <row r="305" spans="1:2" x14ac:dyDescent="0.25">
      <c r="A305" s="1" t="s">
        <v>3028</v>
      </c>
      <c r="B305" t="s">
        <v>3291</v>
      </c>
    </row>
    <row r="306" spans="1:2" x14ac:dyDescent="0.25">
      <c r="A306" s="1" t="s">
        <v>3029</v>
      </c>
      <c r="B306" t="s">
        <v>3291</v>
      </c>
    </row>
    <row r="307" spans="1:2" x14ac:dyDescent="0.25">
      <c r="A307" s="1" t="s">
        <v>2926</v>
      </c>
      <c r="B307" t="s">
        <v>3291</v>
      </c>
    </row>
    <row r="308" spans="1:2" x14ac:dyDescent="0.25">
      <c r="A308" s="1" t="s">
        <v>2926</v>
      </c>
      <c r="B308" t="s">
        <v>3291</v>
      </c>
    </row>
    <row r="309" spans="1:2" x14ac:dyDescent="0.25">
      <c r="A309" s="1" t="s">
        <v>3121</v>
      </c>
      <c r="B309" t="s">
        <v>3291</v>
      </c>
    </row>
    <row r="310" spans="1:2" x14ac:dyDescent="0.25">
      <c r="A310" s="1" t="s">
        <v>3030</v>
      </c>
      <c r="B310" t="s">
        <v>3291</v>
      </c>
    </row>
    <row r="311" spans="1:2" x14ac:dyDescent="0.25">
      <c r="A311" s="1" t="s">
        <v>3031</v>
      </c>
      <c r="B311" t="s">
        <v>3291</v>
      </c>
    </row>
    <row r="312" spans="1:2" x14ac:dyDescent="0.25">
      <c r="A312" s="1" t="s">
        <v>3227</v>
      </c>
      <c r="B312" t="s">
        <v>3291</v>
      </c>
    </row>
    <row r="313" spans="1:2" x14ac:dyDescent="0.25">
      <c r="A313" s="1" t="s">
        <v>3228</v>
      </c>
      <c r="B313" t="s">
        <v>3291</v>
      </c>
    </row>
    <row r="314" spans="1:2" x14ac:dyDescent="0.25">
      <c r="A314" s="1" t="s">
        <v>3229</v>
      </c>
      <c r="B314" t="s">
        <v>3291</v>
      </c>
    </row>
    <row r="315" spans="1:2" x14ac:dyDescent="0.25">
      <c r="A315" s="1" t="s">
        <v>3230</v>
      </c>
      <c r="B315" t="s">
        <v>3291</v>
      </c>
    </row>
    <row r="316" spans="1:2" x14ac:dyDescent="0.25">
      <c r="A316" s="1" t="s">
        <v>3032</v>
      </c>
      <c r="B316" t="s">
        <v>3291</v>
      </c>
    </row>
    <row r="317" spans="1:2" x14ac:dyDescent="0.25">
      <c r="A317" s="1" t="s">
        <v>3231</v>
      </c>
      <c r="B317" t="s">
        <v>3291</v>
      </c>
    </row>
    <row r="318" spans="1:2" x14ac:dyDescent="0.25">
      <c r="A318" s="1" t="s">
        <v>3033</v>
      </c>
      <c r="B318" t="s">
        <v>3291</v>
      </c>
    </row>
    <row r="319" spans="1:2" x14ac:dyDescent="0.25">
      <c r="A319" s="1" t="s">
        <v>3034</v>
      </c>
      <c r="B319" t="s">
        <v>3291</v>
      </c>
    </row>
    <row r="320" spans="1:2" x14ac:dyDescent="0.25">
      <c r="A320" s="1" t="s">
        <v>3232</v>
      </c>
      <c r="B320" t="s">
        <v>3291</v>
      </c>
    </row>
    <row r="321" spans="1:2" x14ac:dyDescent="0.25">
      <c r="A321" s="1" t="s">
        <v>3035</v>
      </c>
      <c r="B321" t="s">
        <v>3291</v>
      </c>
    </row>
    <row r="322" spans="1:2" x14ac:dyDescent="0.25">
      <c r="A322" s="1" t="s">
        <v>3233</v>
      </c>
      <c r="B322" t="s">
        <v>3291</v>
      </c>
    </row>
    <row r="323" spans="1:2" x14ac:dyDescent="0.25">
      <c r="A323" s="1" t="s">
        <v>3234</v>
      </c>
      <c r="B323" t="s">
        <v>3291</v>
      </c>
    </row>
    <row r="324" spans="1:2" x14ac:dyDescent="0.25">
      <c r="A324" s="1" t="s">
        <v>3235</v>
      </c>
      <c r="B324" t="s">
        <v>3291</v>
      </c>
    </row>
    <row r="325" spans="1:2" x14ac:dyDescent="0.25">
      <c r="A325" s="1" t="s">
        <v>3036</v>
      </c>
      <c r="B325" t="s">
        <v>3291</v>
      </c>
    </row>
    <row r="326" spans="1:2" x14ac:dyDescent="0.25">
      <c r="A326" s="1" t="s">
        <v>3037</v>
      </c>
      <c r="B326" t="s">
        <v>3291</v>
      </c>
    </row>
    <row r="327" spans="1:2" x14ac:dyDescent="0.25">
      <c r="A327" s="1" t="s">
        <v>3236</v>
      </c>
      <c r="B327" t="s">
        <v>3291</v>
      </c>
    </row>
    <row r="328" spans="1:2" x14ac:dyDescent="0.25">
      <c r="A328" s="1" t="s">
        <v>3237</v>
      </c>
      <c r="B328" t="s">
        <v>3291</v>
      </c>
    </row>
    <row r="329" spans="1:2" x14ac:dyDescent="0.25">
      <c r="A329" s="1" t="s">
        <v>3238</v>
      </c>
      <c r="B329" t="s">
        <v>3291</v>
      </c>
    </row>
    <row r="330" spans="1:2" x14ac:dyDescent="0.25">
      <c r="A330" s="1" t="s">
        <v>3242</v>
      </c>
      <c r="B330" t="s">
        <v>3291</v>
      </c>
    </row>
    <row r="331" spans="1:2" x14ac:dyDescent="0.25">
      <c r="A331" s="1" t="s">
        <v>3243</v>
      </c>
      <c r="B331" t="s">
        <v>3291</v>
      </c>
    </row>
    <row r="332" spans="1:2" x14ac:dyDescent="0.25">
      <c r="A332" s="1" t="s">
        <v>3244</v>
      </c>
      <c r="B332" t="s">
        <v>3291</v>
      </c>
    </row>
    <row r="333" spans="1:2" x14ac:dyDescent="0.25">
      <c r="A333" s="1" t="s">
        <v>3245</v>
      </c>
      <c r="B333" t="s">
        <v>3291</v>
      </c>
    </row>
    <row r="334" spans="1:2" x14ac:dyDescent="0.25">
      <c r="A334" s="1" t="s">
        <v>3246</v>
      </c>
      <c r="B334" t="s">
        <v>3291</v>
      </c>
    </row>
    <row r="335" spans="1:2" x14ac:dyDescent="0.25">
      <c r="A335" s="1" t="s">
        <v>3247</v>
      </c>
      <c r="B335" t="s">
        <v>3291</v>
      </c>
    </row>
    <row r="336" spans="1:2" x14ac:dyDescent="0.25">
      <c r="A336" s="1" t="s">
        <v>3248</v>
      </c>
      <c r="B336" t="s">
        <v>3291</v>
      </c>
    </row>
    <row r="337" spans="1:2" x14ac:dyDescent="0.25">
      <c r="A337" s="1" t="s">
        <v>3249</v>
      </c>
      <c r="B337" t="s">
        <v>3291</v>
      </c>
    </row>
    <row r="338" spans="1:2" x14ac:dyDescent="0.25">
      <c r="A338" s="1" t="s">
        <v>3250</v>
      </c>
      <c r="B338" t="s">
        <v>3291</v>
      </c>
    </row>
    <row r="339" spans="1:2" x14ac:dyDescent="0.25">
      <c r="A339" s="1" t="s">
        <v>3251</v>
      </c>
      <c r="B339" t="s">
        <v>3291</v>
      </c>
    </row>
    <row r="340" spans="1:2" x14ac:dyDescent="0.25">
      <c r="A340" s="1" t="s">
        <v>3252</v>
      </c>
      <c r="B340" t="s">
        <v>3291</v>
      </c>
    </row>
    <row r="341" spans="1:2" x14ac:dyDescent="0.25">
      <c r="A341" s="1" t="s">
        <v>3253</v>
      </c>
      <c r="B341" t="s">
        <v>3291</v>
      </c>
    </row>
    <row r="342" spans="1:2" x14ac:dyDescent="0.25">
      <c r="A342" s="1" t="s">
        <v>3239</v>
      </c>
      <c r="B342" t="s">
        <v>3291</v>
      </c>
    </row>
    <row r="343" spans="1:2" x14ac:dyDescent="0.25">
      <c r="A343" s="1" t="s">
        <v>3240</v>
      </c>
      <c r="B343" t="s">
        <v>3291</v>
      </c>
    </row>
    <row r="344" spans="1:2" x14ac:dyDescent="0.25">
      <c r="A344" s="1" t="s">
        <v>3241</v>
      </c>
      <c r="B344" t="s">
        <v>3291</v>
      </c>
    </row>
    <row r="345" spans="1:2" x14ac:dyDescent="0.25">
      <c r="A345" s="1" t="s">
        <v>3038</v>
      </c>
      <c r="B345" t="s">
        <v>3291</v>
      </c>
    </row>
    <row r="346" spans="1:2" x14ac:dyDescent="0.25">
      <c r="A346" s="1" t="s">
        <v>3254</v>
      </c>
      <c r="B346" t="s">
        <v>3291</v>
      </c>
    </row>
    <row r="347" spans="1:2" x14ac:dyDescent="0.25">
      <c r="A347" s="1" t="s">
        <v>3255</v>
      </c>
      <c r="B347" t="s">
        <v>3291</v>
      </c>
    </row>
    <row r="348" spans="1:2" x14ac:dyDescent="0.25">
      <c r="A348" s="1" t="s">
        <v>3039</v>
      </c>
      <c r="B348" t="s">
        <v>3291</v>
      </c>
    </row>
    <row r="349" spans="1:2" x14ac:dyDescent="0.25">
      <c r="A349" s="1" t="s">
        <v>3040</v>
      </c>
      <c r="B349" t="s">
        <v>3291</v>
      </c>
    </row>
    <row r="350" spans="1:2" x14ac:dyDescent="0.25">
      <c r="A350" s="1" t="s">
        <v>3041</v>
      </c>
      <c r="B350" t="s">
        <v>3291</v>
      </c>
    </row>
    <row r="351" spans="1:2" x14ac:dyDescent="0.25">
      <c r="A351" s="1" t="s">
        <v>3042</v>
      </c>
      <c r="B351" t="s">
        <v>3291</v>
      </c>
    </row>
    <row r="352" spans="1:2" x14ac:dyDescent="0.25">
      <c r="A352" s="1" t="s">
        <v>3044</v>
      </c>
      <c r="B352" t="s">
        <v>3291</v>
      </c>
    </row>
    <row r="353" spans="1:2" x14ac:dyDescent="0.25">
      <c r="A353" s="1" t="s">
        <v>3256</v>
      </c>
      <c r="B353" t="s">
        <v>3291</v>
      </c>
    </row>
    <row r="354" spans="1:2" x14ac:dyDescent="0.25">
      <c r="A354" s="1" t="s">
        <v>3043</v>
      </c>
      <c r="B354" t="s">
        <v>3291</v>
      </c>
    </row>
    <row r="355" spans="1:2" x14ac:dyDescent="0.25">
      <c r="A355" s="1" t="s">
        <v>3257</v>
      </c>
      <c r="B355" t="s">
        <v>3291</v>
      </c>
    </row>
    <row r="356" spans="1:2" x14ac:dyDescent="0.25">
      <c r="A356" s="1" t="s">
        <v>3045</v>
      </c>
      <c r="B356" t="s">
        <v>3291</v>
      </c>
    </row>
    <row r="357" spans="1:2" x14ac:dyDescent="0.25">
      <c r="A357" s="1" t="s">
        <v>3046</v>
      </c>
      <c r="B357" t="s">
        <v>3291</v>
      </c>
    </row>
    <row r="358" spans="1:2" x14ac:dyDescent="0.25">
      <c r="A358" s="1" t="s">
        <v>3047</v>
      </c>
      <c r="B358" t="s">
        <v>3291</v>
      </c>
    </row>
    <row r="359" spans="1:2" x14ac:dyDescent="0.25">
      <c r="A359" s="1" t="s">
        <v>3048</v>
      </c>
      <c r="B359" t="s">
        <v>3291</v>
      </c>
    </row>
    <row r="360" spans="1:2" x14ac:dyDescent="0.25">
      <c r="A360" s="1" t="s">
        <v>3049</v>
      </c>
      <c r="B360" t="s">
        <v>3291</v>
      </c>
    </row>
    <row r="361" spans="1:2" x14ac:dyDescent="0.25">
      <c r="A361" s="1" t="s">
        <v>3050</v>
      </c>
      <c r="B361" t="s">
        <v>3291</v>
      </c>
    </row>
    <row r="362" spans="1:2" x14ac:dyDescent="0.25">
      <c r="A362" s="1" t="s">
        <v>3051</v>
      </c>
      <c r="B362" t="s">
        <v>3291</v>
      </c>
    </row>
    <row r="363" spans="1:2" x14ac:dyDescent="0.25">
      <c r="A363" s="1" t="s">
        <v>3258</v>
      </c>
      <c r="B363" t="s">
        <v>3291</v>
      </c>
    </row>
    <row r="364" spans="1:2" x14ac:dyDescent="0.25">
      <c r="A364" s="1" t="s">
        <v>3259</v>
      </c>
      <c r="B364" t="s">
        <v>3291</v>
      </c>
    </row>
    <row r="365" spans="1:2" x14ac:dyDescent="0.25">
      <c r="A365" s="1" t="s">
        <v>3052</v>
      </c>
      <c r="B365" t="s">
        <v>3291</v>
      </c>
    </row>
    <row r="366" spans="1:2" x14ac:dyDescent="0.25">
      <c r="A366" s="1" t="s">
        <v>3260</v>
      </c>
      <c r="B366" t="s">
        <v>3291</v>
      </c>
    </row>
    <row r="367" spans="1:2" x14ac:dyDescent="0.25">
      <c r="A367" s="1" t="s">
        <v>3261</v>
      </c>
      <c r="B367" t="s">
        <v>3291</v>
      </c>
    </row>
    <row r="368" spans="1:2" x14ac:dyDescent="0.25">
      <c r="A368" s="1" t="s">
        <v>3262</v>
      </c>
      <c r="B368" t="s">
        <v>3291</v>
      </c>
    </row>
    <row r="369" spans="1:2" x14ac:dyDescent="0.25">
      <c r="A369" s="1" t="s">
        <v>3053</v>
      </c>
      <c r="B369" t="s">
        <v>3291</v>
      </c>
    </row>
    <row r="370" spans="1:2" x14ac:dyDescent="0.25">
      <c r="A370" s="1" t="s">
        <v>3058</v>
      </c>
      <c r="B370" t="s">
        <v>3291</v>
      </c>
    </row>
    <row r="371" spans="1:2" x14ac:dyDescent="0.25">
      <c r="A371" s="1" t="s">
        <v>3059</v>
      </c>
      <c r="B371" t="s">
        <v>3291</v>
      </c>
    </row>
    <row r="372" spans="1:2" x14ac:dyDescent="0.25">
      <c r="A372" s="1" t="s">
        <v>3054</v>
      </c>
      <c r="B372" t="s">
        <v>3291</v>
      </c>
    </row>
    <row r="373" spans="1:2" x14ac:dyDescent="0.25">
      <c r="A373" s="1" t="s">
        <v>3055</v>
      </c>
      <c r="B373" t="s">
        <v>3291</v>
      </c>
    </row>
    <row r="374" spans="1:2" x14ac:dyDescent="0.25">
      <c r="A374" s="1" t="s">
        <v>3056</v>
      </c>
      <c r="B374" t="s">
        <v>3291</v>
      </c>
    </row>
    <row r="375" spans="1:2" x14ac:dyDescent="0.25">
      <c r="A375" s="1" t="s">
        <v>3056</v>
      </c>
      <c r="B375" t="s">
        <v>3291</v>
      </c>
    </row>
    <row r="376" spans="1:2" x14ac:dyDescent="0.25">
      <c r="A376" s="1" t="s">
        <v>3057</v>
      </c>
      <c r="B376" t="s">
        <v>3291</v>
      </c>
    </row>
    <row r="377" spans="1:2" x14ac:dyDescent="0.25">
      <c r="A377" s="1" t="s">
        <v>3057</v>
      </c>
      <c r="B377" t="s">
        <v>3291</v>
      </c>
    </row>
    <row r="378" spans="1:2" x14ac:dyDescent="0.25">
      <c r="A378" s="1" t="s">
        <v>3263</v>
      </c>
      <c r="B378" t="s">
        <v>3291</v>
      </c>
    </row>
    <row r="379" spans="1:2" x14ac:dyDescent="0.25">
      <c r="A379" s="1" t="s">
        <v>3264</v>
      </c>
      <c r="B379" t="s">
        <v>3291</v>
      </c>
    </row>
    <row r="380" spans="1:2" x14ac:dyDescent="0.25">
      <c r="A380" s="1" t="s">
        <v>3265</v>
      </c>
      <c r="B380" t="s">
        <v>3291</v>
      </c>
    </row>
    <row r="381" spans="1:2" x14ac:dyDescent="0.25">
      <c r="A381" s="1" t="s">
        <v>3266</v>
      </c>
      <c r="B381" t="s">
        <v>3291</v>
      </c>
    </row>
    <row r="382" spans="1:2" x14ac:dyDescent="0.25">
      <c r="A382" s="1" t="s">
        <v>3060</v>
      </c>
      <c r="B382" t="s">
        <v>3291</v>
      </c>
    </row>
    <row r="383" spans="1:2" x14ac:dyDescent="0.25">
      <c r="A383" s="1" t="s">
        <v>3267</v>
      </c>
      <c r="B383" t="s">
        <v>3291</v>
      </c>
    </row>
    <row r="384" spans="1:2" x14ac:dyDescent="0.25">
      <c r="A384" s="1" t="s">
        <v>3061</v>
      </c>
      <c r="B384" t="s">
        <v>3291</v>
      </c>
    </row>
    <row r="385" spans="1:2" x14ac:dyDescent="0.25">
      <c r="A385" s="1" t="s">
        <v>3062</v>
      </c>
      <c r="B385" t="s">
        <v>3291</v>
      </c>
    </row>
    <row r="386" spans="1:2" x14ac:dyDescent="0.25">
      <c r="A386" s="1" t="s">
        <v>3063</v>
      </c>
      <c r="B386" t="s">
        <v>3291</v>
      </c>
    </row>
    <row r="387" spans="1:2" x14ac:dyDescent="0.25">
      <c r="A387" s="1" t="s">
        <v>3064</v>
      </c>
      <c r="B387" t="s">
        <v>3291</v>
      </c>
    </row>
    <row r="388" spans="1:2" x14ac:dyDescent="0.25">
      <c r="A388" s="1" t="s">
        <v>3065</v>
      </c>
      <c r="B388" t="s">
        <v>3291</v>
      </c>
    </row>
    <row r="389" spans="1:2" x14ac:dyDescent="0.25">
      <c r="A389" s="1" t="s">
        <v>3268</v>
      </c>
      <c r="B389" t="s">
        <v>3291</v>
      </c>
    </row>
    <row r="390" spans="1:2" x14ac:dyDescent="0.25">
      <c r="A390" s="1" t="s">
        <v>3066</v>
      </c>
      <c r="B390" t="s">
        <v>3291</v>
      </c>
    </row>
    <row r="391" spans="1:2" x14ac:dyDescent="0.25">
      <c r="A391" s="1" t="s">
        <v>3269</v>
      </c>
      <c r="B391" t="s">
        <v>3291</v>
      </c>
    </row>
    <row r="392" spans="1:2" x14ac:dyDescent="0.25">
      <c r="A392" s="1" t="s">
        <v>3270</v>
      </c>
      <c r="B392" t="s">
        <v>3291</v>
      </c>
    </row>
    <row r="393" spans="1:2" x14ac:dyDescent="0.25">
      <c r="A393" s="1" t="s">
        <v>3067</v>
      </c>
      <c r="B393" t="s">
        <v>3291</v>
      </c>
    </row>
    <row r="394" spans="1:2" x14ac:dyDescent="0.25">
      <c r="A394" s="1" t="s">
        <v>3271</v>
      </c>
      <c r="B394" t="s">
        <v>3291</v>
      </c>
    </row>
    <row r="395" spans="1:2" x14ac:dyDescent="0.25">
      <c r="A395" s="1" t="s">
        <v>3272</v>
      </c>
      <c r="B395" t="s">
        <v>3291</v>
      </c>
    </row>
    <row r="396" spans="1:2" x14ac:dyDescent="0.25">
      <c r="A396" s="1" t="s">
        <v>3273</v>
      </c>
      <c r="B396" t="s">
        <v>3291</v>
      </c>
    </row>
    <row r="397" spans="1:2" x14ac:dyDescent="0.25">
      <c r="A397" s="1" t="s">
        <v>3068</v>
      </c>
      <c r="B397" t="s">
        <v>3291</v>
      </c>
    </row>
    <row r="398" spans="1:2" x14ac:dyDescent="0.25">
      <c r="A398" s="1" t="s">
        <v>3274</v>
      </c>
      <c r="B398" t="s">
        <v>3291</v>
      </c>
    </row>
    <row r="399" spans="1:2" x14ac:dyDescent="0.25">
      <c r="A399" s="1" t="s">
        <v>3275</v>
      </c>
      <c r="B399" t="s">
        <v>3291</v>
      </c>
    </row>
    <row r="400" spans="1:2" x14ac:dyDescent="0.25">
      <c r="A400" s="1" t="s">
        <v>3069</v>
      </c>
      <c r="B400" t="s">
        <v>3291</v>
      </c>
    </row>
    <row r="401" spans="1:2" x14ac:dyDescent="0.25">
      <c r="A401" s="1" t="s">
        <v>3276</v>
      </c>
      <c r="B401" t="s">
        <v>3291</v>
      </c>
    </row>
    <row r="402" spans="1:2" x14ac:dyDescent="0.25">
      <c r="A402" s="1" t="s">
        <v>3277</v>
      </c>
      <c r="B402" t="s">
        <v>3291</v>
      </c>
    </row>
    <row r="403" spans="1:2" x14ac:dyDescent="0.25">
      <c r="A403" s="1" t="s">
        <v>3070</v>
      </c>
      <c r="B403" t="s">
        <v>3291</v>
      </c>
    </row>
    <row r="404" spans="1:2" x14ac:dyDescent="0.25">
      <c r="A404" s="1" t="s">
        <v>3070</v>
      </c>
      <c r="B404" t="s">
        <v>3291</v>
      </c>
    </row>
    <row r="405" spans="1:2" x14ac:dyDescent="0.25">
      <c r="A405" s="1" t="s">
        <v>3071</v>
      </c>
      <c r="B405" t="s">
        <v>3291</v>
      </c>
    </row>
    <row r="406" spans="1:2" x14ac:dyDescent="0.25">
      <c r="A406" s="1" t="s">
        <v>3071</v>
      </c>
      <c r="B406" t="s">
        <v>3291</v>
      </c>
    </row>
    <row r="407" spans="1:2" x14ac:dyDescent="0.25">
      <c r="A407" s="1" t="s">
        <v>3072</v>
      </c>
      <c r="B407" t="s">
        <v>3291</v>
      </c>
    </row>
    <row r="408" spans="1:2" x14ac:dyDescent="0.25">
      <c r="A408" s="1" t="s">
        <v>3072</v>
      </c>
      <c r="B408" t="s">
        <v>3291</v>
      </c>
    </row>
    <row r="409" spans="1:2" x14ac:dyDescent="0.25">
      <c r="A409" s="1" t="s">
        <v>3073</v>
      </c>
      <c r="B409" t="s">
        <v>3291</v>
      </c>
    </row>
    <row r="410" spans="1:2" x14ac:dyDescent="0.25">
      <c r="A410" s="1" t="s">
        <v>3278</v>
      </c>
      <c r="B410" t="s">
        <v>3291</v>
      </c>
    </row>
    <row r="411" spans="1:2" x14ac:dyDescent="0.25">
      <c r="A411" s="1" t="s">
        <v>3074</v>
      </c>
      <c r="B411" t="s">
        <v>3291</v>
      </c>
    </row>
    <row r="412" spans="1:2" x14ac:dyDescent="0.25">
      <c r="A412" s="1" t="s">
        <v>3075</v>
      </c>
      <c r="B412" t="s">
        <v>3291</v>
      </c>
    </row>
    <row r="413" spans="1:2" x14ac:dyDescent="0.25">
      <c r="A413" s="1" t="s">
        <v>3279</v>
      </c>
      <c r="B413" t="s">
        <v>3291</v>
      </c>
    </row>
    <row r="414" spans="1:2" x14ac:dyDescent="0.25">
      <c r="A414" s="1" t="s">
        <v>3280</v>
      </c>
      <c r="B414" t="s">
        <v>3291</v>
      </c>
    </row>
    <row r="415" spans="1:2" x14ac:dyDescent="0.25">
      <c r="A415" s="1" t="s">
        <v>3281</v>
      </c>
      <c r="B415" t="s">
        <v>3291</v>
      </c>
    </row>
    <row r="416" spans="1:2" x14ac:dyDescent="0.25">
      <c r="A416" s="1" t="s">
        <v>3076</v>
      </c>
      <c r="B416" t="s">
        <v>3291</v>
      </c>
    </row>
    <row r="417" spans="1:2" x14ac:dyDescent="0.25">
      <c r="A417" s="1" t="s">
        <v>3282</v>
      </c>
      <c r="B417" t="s">
        <v>3291</v>
      </c>
    </row>
    <row r="418" spans="1:2" x14ac:dyDescent="0.25">
      <c r="A418" s="1" t="s">
        <v>3077</v>
      </c>
      <c r="B418" t="s">
        <v>3291</v>
      </c>
    </row>
    <row r="419" spans="1:2" x14ac:dyDescent="0.25">
      <c r="A419" s="1" t="s">
        <v>3078</v>
      </c>
      <c r="B419" t="s">
        <v>3291</v>
      </c>
    </row>
    <row r="420" spans="1:2" x14ac:dyDescent="0.25">
      <c r="A420" s="1" t="s">
        <v>3079</v>
      </c>
      <c r="B420" t="s">
        <v>3291</v>
      </c>
    </row>
    <row r="421" spans="1:2" x14ac:dyDescent="0.25">
      <c r="A421" s="1" t="s">
        <v>3080</v>
      </c>
      <c r="B421" t="s">
        <v>3291</v>
      </c>
    </row>
    <row r="422" spans="1:2" x14ac:dyDescent="0.25">
      <c r="A422" s="1" t="s">
        <v>3283</v>
      </c>
      <c r="B422" t="s">
        <v>3291</v>
      </c>
    </row>
    <row r="423" spans="1:2" x14ac:dyDescent="0.25">
      <c r="A423" s="1" t="s">
        <v>3284</v>
      </c>
      <c r="B423" t="s">
        <v>3291</v>
      </c>
    </row>
    <row r="424" spans="1:2" x14ac:dyDescent="0.25">
      <c r="A424" s="1" t="s">
        <v>3285</v>
      </c>
      <c r="B424" t="s">
        <v>3291</v>
      </c>
    </row>
    <row r="425" spans="1:2" x14ac:dyDescent="0.25">
      <c r="A425" s="1" t="s">
        <v>3286</v>
      </c>
      <c r="B425" t="s">
        <v>3291</v>
      </c>
    </row>
    <row r="426" spans="1:2" x14ac:dyDescent="0.25">
      <c r="A426" s="1" t="s">
        <v>3287</v>
      </c>
      <c r="B426" t="s">
        <v>3291</v>
      </c>
    </row>
    <row r="427" spans="1:2" x14ac:dyDescent="0.25">
      <c r="A427" s="1" t="s">
        <v>3288</v>
      </c>
      <c r="B427" t="s">
        <v>3291</v>
      </c>
    </row>
    <row r="428" spans="1:2" x14ac:dyDescent="0.25">
      <c r="A428" s="1" t="s">
        <v>3081</v>
      </c>
      <c r="B428" t="s">
        <v>3291</v>
      </c>
    </row>
    <row r="429" spans="1:2" x14ac:dyDescent="0.25">
      <c r="A429" s="1" t="s">
        <v>3289</v>
      </c>
      <c r="B429" t="s">
        <v>3291</v>
      </c>
    </row>
    <row r="430" spans="1:2" x14ac:dyDescent="0.25">
      <c r="A430" s="1" t="s">
        <v>3082</v>
      </c>
      <c r="B430" t="s">
        <v>3291</v>
      </c>
    </row>
    <row r="431" spans="1:2" x14ac:dyDescent="0.25">
      <c r="A431" t="s">
        <v>3290</v>
      </c>
      <c r="B431" t="s">
        <v>3291</v>
      </c>
    </row>
  </sheetData>
  <sortState xmlns:xlrd2="http://schemas.microsoft.com/office/spreadsheetml/2017/richdata2" ref="A2:A431">
    <sortCondition ref="A2:A4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7099E-B060-4FB1-8C2E-93FDEBE888D0}">
  <dimension ref="A2:B198"/>
  <sheetViews>
    <sheetView topLeftCell="A35" workbookViewId="0">
      <selection activeCell="H20" sqref="H20"/>
    </sheetView>
  </sheetViews>
  <sheetFormatPr defaultRowHeight="15" x14ac:dyDescent="0.25"/>
  <cols>
    <col min="1" max="1" width="23.85546875" bestFit="1" customWidth="1"/>
    <col min="2" max="2" width="24.7109375" customWidth="1"/>
  </cols>
  <sheetData>
    <row r="2" spans="1:2" x14ac:dyDescent="0.25">
      <c r="A2" s="1" t="s">
        <v>2884</v>
      </c>
      <c r="B2" t="s">
        <v>3303</v>
      </c>
    </row>
    <row r="3" spans="1:2" x14ac:dyDescent="0.25">
      <c r="A3" s="1" t="s">
        <v>2885</v>
      </c>
      <c r="B3" t="s">
        <v>3303</v>
      </c>
    </row>
    <row r="4" spans="1:2" x14ac:dyDescent="0.25">
      <c r="A4" s="1" t="s">
        <v>2886</v>
      </c>
      <c r="B4" t="s">
        <v>3303</v>
      </c>
    </row>
    <row r="5" spans="1:2" x14ac:dyDescent="0.25">
      <c r="A5" s="1" t="s">
        <v>2887</v>
      </c>
      <c r="B5" t="s">
        <v>3303</v>
      </c>
    </row>
    <row r="6" spans="1:2" x14ac:dyDescent="0.25">
      <c r="A6" s="1" t="s">
        <v>2889</v>
      </c>
      <c r="B6" t="s">
        <v>3303</v>
      </c>
    </row>
    <row r="7" spans="1:2" x14ac:dyDescent="0.25">
      <c r="A7" s="1" t="s">
        <v>2888</v>
      </c>
      <c r="B7" t="s">
        <v>3303</v>
      </c>
    </row>
    <row r="8" spans="1:2" x14ac:dyDescent="0.25">
      <c r="A8" s="1" t="s">
        <v>2890</v>
      </c>
      <c r="B8" t="s">
        <v>3303</v>
      </c>
    </row>
    <row r="9" spans="1:2" x14ac:dyDescent="0.25">
      <c r="A9" s="1" t="s">
        <v>2891</v>
      </c>
      <c r="B9" t="s">
        <v>3303</v>
      </c>
    </row>
    <row r="10" spans="1:2" x14ac:dyDescent="0.25">
      <c r="A10" s="1" t="s">
        <v>2892</v>
      </c>
      <c r="B10" t="s">
        <v>3303</v>
      </c>
    </row>
    <row r="11" spans="1:2" x14ac:dyDescent="0.25">
      <c r="A11" s="1" t="s">
        <v>2893</v>
      </c>
      <c r="B11" t="s">
        <v>3303</v>
      </c>
    </row>
    <row r="12" spans="1:2" x14ac:dyDescent="0.25">
      <c r="A12" s="1" t="s">
        <v>2894</v>
      </c>
      <c r="B12" t="s">
        <v>3303</v>
      </c>
    </row>
    <row r="13" spans="1:2" x14ac:dyDescent="0.25">
      <c r="A13" s="1" t="s">
        <v>2895</v>
      </c>
      <c r="B13" t="s">
        <v>3303</v>
      </c>
    </row>
    <row r="14" spans="1:2" x14ac:dyDescent="0.25">
      <c r="A14" s="1" t="s">
        <v>2896</v>
      </c>
      <c r="B14" t="s">
        <v>3303</v>
      </c>
    </row>
    <row r="15" spans="1:2" x14ac:dyDescent="0.25">
      <c r="A15" s="1" t="s">
        <v>2897</v>
      </c>
      <c r="B15" t="s">
        <v>3303</v>
      </c>
    </row>
    <row r="16" spans="1:2" x14ac:dyDescent="0.25">
      <c r="A16" s="1" t="s">
        <v>2898</v>
      </c>
      <c r="B16" t="s">
        <v>3303</v>
      </c>
    </row>
    <row r="17" spans="1:2" x14ac:dyDescent="0.25">
      <c r="A17" s="1" t="s">
        <v>2899</v>
      </c>
      <c r="B17" t="s">
        <v>3303</v>
      </c>
    </row>
    <row r="18" spans="1:2" x14ac:dyDescent="0.25">
      <c r="A18" s="1" t="s">
        <v>2900</v>
      </c>
      <c r="B18" t="s">
        <v>3303</v>
      </c>
    </row>
    <row r="19" spans="1:2" x14ac:dyDescent="0.25">
      <c r="A19" s="1" t="s">
        <v>2901</v>
      </c>
      <c r="B19" t="s">
        <v>3303</v>
      </c>
    </row>
    <row r="20" spans="1:2" x14ac:dyDescent="0.25">
      <c r="A20" s="1" t="s">
        <v>2902</v>
      </c>
      <c r="B20" t="s">
        <v>3303</v>
      </c>
    </row>
    <row r="21" spans="1:2" x14ac:dyDescent="0.25">
      <c r="A21" s="1" t="s">
        <v>2903</v>
      </c>
      <c r="B21" t="s">
        <v>3303</v>
      </c>
    </row>
    <row r="22" spans="1:2" x14ac:dyDescent="0.25">
      <c r="A22" s="1" t="s">
        <v>2904</v>
      </c>
      <c r="B22" t="s">
        <v>3303</v>
      </c>
    </row>
    <row r="23" spans="1:2" x14ac:dyDescent="0.25">
      <c r="A23" s="1" t="s">
        <v>2905</v>
      </c>
      <c r="B23" t="s">
        <v>3303</v>
      </c>
    </row>
    <row r="24" spans="1:2" x14ac:dyDescent="0.25">
      <c r="A24" s="1" t="s">
        <v>2906</v>
      </c>
      <c r="B24" t="s">
        <v>3303</v>
      </c>
    </row>
    <row r="25" spans="1:2" x14ac:dyDescent="0.25">
      <c r="A25" s="1" t="s">
        <v>2907</v>
      </c>
      <c r="B25" t="s">
        <v>3303</v>
      </c>
    </row>
    <row r="26" spans="1:2" x14ac:dyDescent="0.25">
      <c r="A26" s="1" t="s">
        <v>2908</v>
      </c>
      <c r="B26" t="s">
        <v>3303</v>
      </c>
    </row>
    <row r="27" spans="1:2" x14ac:dyDescent="0.25">
      <c r="A27" s="1" t="s">
        <v>2909</v>
      </c>
      <c r="B27" t="s">
        <v>3303</v>
      </c>
    </row>
    <row r="28" spans="1:2" x14ac:dyDescent="0.25">
      <c r="A28" s="1" t="s">
        <v>2910</v>
      </c>
      <c r="B28" t="s">
        <v>3303</v>
      </c>
    </row>
    <row r="29" spans="1:2" x14ac:dyDescent="0.25">
      <c r="A29" s="1" t="s">
        <v>2911</v>
      </c>
      <c r="B29" t="s">
        <v>3303</v>
      </c>
    </row>
    <row r="30" spans="1:2" x14ac:dyDescent="0.25">
      <c r="A30" s="1" t="s">
        <v>2912</v>
      </c>
      <c r="B30" t="s">
        <v>3303</v>
      </c>
    </row>
    <row r="31" spans="1:2" x14ac:dyDescent="0.25">
      <c r="A31" s="1" t="s">
        <v>2913</v>
      </c>
      <c r="B31" t="s">
        <v>3303</v>
      </c>
    </row>
    <row r="32" spans="1:2" x14ac:dyDescent="0.25">
      <c r="A32" s="1" t="s">
        <v>2914</v>
      </c>
      <c r="B32" t="s">
        <v>3303</v>
      </c>
    </row>
    <row r="33" spans="1:2" x14ac:dyDescent="0.25">
      <c r="A33" s="1" t="s">
        <v>2915</v>
      </c>
      <c r="B33" t="s">
        <v>3303</v>
      </c>
    </row>
    <row r="34" spans="1:2" x14ac:dyDescent="0.25">
      <c r="A34" s="1" t="s">
        <v>2916</v>
      </c>
      <c r="B34" t="s">
        <v>3303</v>
      </c>
    </row>
    <row r="35" spans="1:2" x14ac:dyDescent="0.25">
      <c r="A35" s="1" t="s">
        <v>2917</v>
      </c>
      <c r="B35" t="s">
        <v>3303</v>
      </c>
    </row>
    <row r="36" spans="1:2" x14ac:dyDescent="0.25">
      <c r="A36" s="1" t="s">
        <v>2918</v>
      </c>
      <c r="B36" t="s">
        <v>3303</v>
      </c>
    </row>
    <row r="37" spans="1:2" x14ac:dyDescent="0.25">
      <c r="A37" s="1" t="s">
        <v>2919</v>
      </c>
      <c r="B37" t="s">
        <v>3303</v>
      </c>
    </row>
    <row r="38" spans="1:2" x14ac:dyDescent="0.25">
      <c r="A38" s="1" t="s">
        <v>2920</v>
      </c>
      <c r="B38" t="s">
        <v>3303</v>
      </c>
    </row>
    <row r="39" spans="1:2" x14ac:dyDescent="0.25">
      <c r="A39" s="1" t="s">
        <v>2921</v>
      </c>
      <c r="B39" t="s">
        <v>3303</v>
      </c>
    </row>
    <row r="40" spans="1:2" x14ac:dyDescent="0.25">
      <c r="A40" s="1" t="s">
        <v>2922</v>
      </c>
      <c r="B40" t="s">
        <v>3303</v>
      </c>
    </row>
    <row r="41" spans="1:2" x14ac:dyDescent="0.25">
      <c r="A41" s="1" t="s">
        <v>2923</v>
      </c>
      <c r="B41" t="s">
        <v>3303</v>
      </c>
    </row>
    <row r="42" spans="1:2" x14ac:dyDescent="0.25">
      <c r="A42" s="1" t="s">
        <v>2924</v>
      </c>
      <c r="B42" t="s">
        <v>3303</v>
      </c>
    </row>
    <row r="43" spans="1:2" x14ac:dyDescent="0.25">
      <c r="A43" s="1" t="s">
        <v>2925</v>
      </c>
      <c r="B43" t="s">
        <v>3303</v>
      </c>
    </row>
    <row r="44" spans="1:2" x14ac:dyDescent="0.25">
      <c r="A44" s="1" t="s">
        <v>2928</v>
      </c>
      <c r="B44" t="s">
        <v>3303</v>
      </c>
    </row>
    <row r="45" spans="1:2" x14ac:dyDescent="0.25">
      <c r="A45" s="1" t="s">
        <v>2929</v>
      </c>
      <c r="B45" t="s">
        <v>3303</v>
      </c>
    </row>
    <row r="46" spans="1:2" x14ac:dyDescent="0.25">
      <c r="A46" s="1" t="s">
        <v>2930</v>
      </c>
      <c r="B46" t="s">
        <v>3303</v>
      </c>
    </row>
    <row r="47" spans="1:2" x14ac:dyDescent="0.25">
      <c r="A47" s="1" t="s">
        <v>2931</v>
      </c>
      <c r="B47" t="s">
        <v>3303</v>
      </c>
    </row>
    <row r="48" spans="1:2" x14ac:dyDescent="0.25">
      <c r="A48" s="1" t="s">
        <v>2932</v>
      </c>
      <c r="B48" t="s">
        <v>3303</v>
      </c>
    </row>
    <row r="49" spans="1:2" x14ac:dyDescent="0.25">
      <c r="A49" s="1" t="s">
        <v>2933</v>
      </c>
      <c r="B49" t="s">
        <v>3303</v>
      </c>
    </row>
    <row r="50" spans="1:2" x14ac:dyDescent="0.25">
      <c r="A50" s="1" t="s">
        <v>2934</v>
      </c>
      <c r="B50" t="s">
        <v>3303</v>
      </c>
    </row>
    <row r="51" spans="1:2" x14ac:dyDescent="0.25">
      <c r="A51" s="1" t="s">
        <v>2935</v>
      </c>
      <c r="B51" t="s">
        <v>3303</v>
      </c>
    </row>
    <row r="52" spans="1:2" x14ac:dyDescent="0.25">
      <c r="A52" s="1" t="s">
        <v>2936</v>
      </c>
      <c r="B52" t="s">
        <v>3303</v>
      </c>
    </row>
    <row r="53" spans="1:2" x14ac:dyDescent="0.25">
      <c r="A53" s="1" t="s">
        <v>2937</v>
      </c>
      <c r="B53" t="s">
        <v>3303</v>
      </c>
    </row>
    <row r="54" spans="1:2" x14ac:dyDescent="0.25">
      <c r="A54" s="1" t="s">
        <v>2938</v>
      </c>
      <c r="B54" t="s">
        <v>3303</v>
      </c>
    </row>
    <row r="55" spans="1:2" x14ac:dyDescent="0.25">
      <c r="A55" s="1" t="s">
        <v>2939</v>
      </c>
      <c r="B55" t="s">
        <v>3303</v>
      </c>
    </row>
    <row r="56" spans="1:2" x14ac:dyDescent="0.25">
      <c r="A56" s="1" t="s">
        <v>2940</v>
      </c>
      <c r="B56" t="s">
        <v>3303</v>
      </c>
    </row>
    <row r="57" spans="1:2" x14ac:dyDescent="0.25">
      <c r="A57" s="1" t="s">
        <v>2941</v>
      </c>
      <c r="B57" t="s">
        <v>3303</v>
      </c>
    </row>
    <row r="58" spans="1:2" x14ac:dyDescent="0.25">
      <c r="A58" s="1" t="s">
        <v>2942</v>
      </c>
      <c r="B58" t="s">
        <v>3303</v>
      </c>
    </row>
    <row r="59" spans="1:2" x14ac:dyDescent="0.25">
      <c r="A59" s="1" t="s">
        <v>2943</v>
      </c>
      <c r="B59" t="s">
        <v>3303</v>
      </c>
    </row>
    <row r="60" spans="1:2" x14ac:dyDescent="0.25">
      <c r="A60" s="1" t="s">
        <v>2944</v>
      </c>
      <c r="B60" t="s">
        <v>3303</v>
      </c>
    </row>
    <row r="61" spans="1:2" x14ac:dyDescent="0.25">
      <c r="A61" s="1" t="s">
        <v>2946</v>
      </c>
      <c r="B61" t="s">
        <v>3303</v>
      </c>
    </row>
    <row r="62" spans="1:2" x14ac:dyDescent="0.25">
      <c r="A62" s="1" t="s">
        <v>2947</v>
      </c>
      <c r="B62" t="s">
        <v>3303</v>
      </c>
    </row>
    <row r="63" spans="1:2" x14ac:dyDescent="0.25">
      <c r="A63" s="1" t="s">
        <v>2948</v>
      </c>
      <c r="B63" t="s">
        <v>3303</v>
      </c>
    </row>
    <row r="64" spans="1:2" x14ac:dyDescent="0.25">
      <c r="A64" s="1" t="s">
        <v>2949</v>
      </c>
      <c r="B64" t="s">
        <v>3303</v>
      </c>
    </row>
    <row r="65" spans="1:2" x14ac:dyDescent="0.25">
      <c r="A65" s="1" t="s">
        <v>2950</v>
      </c>
      <c r="B65" t="s">
        <v>3303</v>
      </c>
    </row>
    <row r="66" spans="1:2" x14ac:dyDescent="0.25">
      <c r="A66" s="1" t="s">
        <v>2951</v>
      </c>
      <c r="B66" t="s">
        <v>3303</v>
      </c>
    </row>
    <row r="67" spans="1:2" x14ac:dyDescent="0.25">
      <c r="A67" s="1" t="s">
        <v>2952</v>
      </c>
      <c r="B67" t="s">
        <v>3303</v>
      </c>
    </row>
    <row r="68" spans="1:2" x14ac:dyDescent="0.25">
      <c r="A68" s="1" t="s">
        <v>2953</v>
      </c>
      <c r="B68" t="s">
        <v>3303</v>
      </c>
    </row>
    <row r="69" spans="1:2" x14ac:dyDescent="0.25">
      <c r="A69" s="1" t="s">
        <v>2954</v>
      </c>
      <c r="B69" t="s">
        <v>3303</v>
      </c>
    </row>
    <row r="70" spans="1:2" x14ac:dyDescent="0.25">
      <c r="A70" s="1" t="s">
        <v>2955</v>
      </c>
      <c r="B70" t="s">
        <v>3303</v>
      </c>
    </row>
    <row r="71" spans="1:2" x14ac:dyDescent="0.25">
      <c r="A71" s="1" t="s">
        <v>2956</v>
      </c>
      <c r="B71" t="s">
        <v>3303</v>
      </c>
    </row>
    <row r="72" spans="1:2" x14ac:dyDescent="0.25">
      <c r="A72" s="1" t="s">
        <v>2957</v>
      </c>
      <c r="B72" t="s">
        <v>3303</v>
      </c>
    </row>
    <row r="73" spans="1:2" x14ac:dyDescent="0.25">
      <c r="A73" s="1" t="s">
        <v>2959</v>
      </c>
      <c r="B73" t="s">
        <v>3303</v>
      </c>
    </row>
    <row r="74" spans="1:2" x14ac:dyDescent="0.25">
      <c r="A74" s="1" t="s">
        <v>2958</v>
      </c>
      <c r="B74" t="s">
        <v>3303</v>
      </c>
    </row>
    <row r="75" spans="1:2" x14ac:dyDescent="0.25">
      <c r="A75" s="1" t="s">
        <v>2960</v>
      </c>
      <c r="B75" t="s">
        <v>3303</v>
      </c>
    </row>
    <row r="76" spans="1:2" x14ac:dyDescent="0.25">
      <c r="A76" s="1" t="s">
        <v>2961</v>
      </c>
      <c r="B76" t="s">
        <v>3303</v>
      </c>
    </row>
    <row r="77" spans="1:2" x14ac:dyDescent="0.25">
      <c r="A77" s="1" t="s">
        <v>2962</v>
      </c>
      <c r="B77" t="s">
        <v>3303</v>
      </c>
    </row>
    <row r="78" spans="1:2" x14ac:dyDescent="0.25">
      <c r="A78" s="1" t="s">
        <v>2963</v>
      </c>
      <c r="B78" t="s">
        <v>3303</v>
      </c>
    </row>
    <row r="79" spans="1:2" x14ac:dyDescent="0.25">
      <c r="A79" s="1" t="s">
        <v>2964</v>
      </c>
      <c r="B79" t="s">
        <v>3303</v>
      </c>
    </row>
    <row r="80" spans="1:2" x14ac:dyDescent="0.25">
      <c r="A80" s="1" t="s">
        <v>2965</v>
      </c>
      <c r="B80" t="s">
        <v>3303</v>
      </c>
    </row>
    <row r="81" spans="1:2" x14ac:dyDescent="0.25">
      <c r="A81" s="1" t="s">
        <v>2966</v>
      </c>
      <c r="B81" t="s">
        <v>3303</v>
      </c>
    </row>
    <row r="82" spans="1:2" x14ac:dyDescent="0.25">
      <c r="A82" s="1" t="s">
        <v>2967</v>
      </c>
      <c r="B82" t="s">
        <v>3303</v>
      </c>
    </row>
    <row r="83" spans="1:2" x14ac:dyDescent="0.25">
      <c r="A83" s="1" t="s">
        <v>2968</v>
      </c>
      <c r="B83" t="s">
        <v>3303</v>
      </c>
    </row>
    <row r="84" spans="1:2" x14ac:dyDescent="0.25">
      <c r="A84" s="1" t="s">
        <v>2969</v>
      </c>
      <c r="B84" t="s">
        <v>3303</v>
      </c>
    </row>
    <row r="85" spans="1:2" x14ac:dyDescent="0.25">
      <c r="A85" s="1" t="s">
        <v>2970</v>
      </c>
      <c r="B85" t="s">
        <v>3303</v>
      </c>
    </row>
    <row r="86" spans="1:2" x14ac:dyDescent="0.25">
      <c r="A86" s="1" t="s">
        <v>2971</v>
      </c>
      <c r="B86" t="s">
        <v>3303</v>
      </c>
    </row>
    <row r="87" spans="1:2" x14ac:dyDescent="0.25">
      <c r="A87" s="1" t="s">
        <v>2972</v>
      </c>
      <c r="B87" t="s">
        <v>3303</v>
      </c>
    </row>
    <row r="88" spans="1:2" x14ac:dyDescent="0.25">
      <c r="A88" s="1" t="s">
        <v>2973</v>
      </c>
      <c r="B88" t="s">
        <v>3303</v>
      </c>
    </row>
    <row r="89" spans="1:2" x14ac:dyDescent="0.25">
      <c r="A89" s="1" t="s">
        <v>2974</v>
      </c>
      <c r="B89" t="s">
        <v>3303</v>
      </c>
    </row>
    <row r="90" spans="1:2" x14ac:dyDescent="0.25">
      <c r="A90" s="1" t="s">
        <v>2975</v>
      </c>
      <c r="B90" t="s">
        <v>3303</v>
      </c>
    </row>
    <row r="91" spans="1:2" x14ac:dyDescent="0.25">
      <c r="A91" s="1" t="s">
        <v>2976</v>
      </c>
      <c r="B91" t="s">
        <v>3303</v>
      </c>
    </row>
    <row r="92" spans="1:2" x14ac:dyDescent="0.25">
      <c r="A92" s="1" t="s">
        <v>2977</v>
      </c>
      <c r="B92" t="s">
        <v>3303</v>
      </c>
    </row>
    <row r="93" spans="1:2" x14ac:dyDescent="0.25">
      <c r="A93" s="1" t="s">
        <v>2978</v>
      </c>
      <c r="B93" t="s">
        <v>3303</v>
      </c>
    </row>
    <row r="94" spans="1:2" x14ac:dyDescent="0.25">
      <c r="A94" s="1" t="s">
        <v>2979</v>
      </c>
      <c r="B94" t="s">
        <v>3303</v>
      </c>
    </row>
    <row r="95" spans="1:2" x14ac:dyDescent="0.25">
      <c r="A95" s="1" t="s">
        <v>2980</v>
      </c>
      <c r="B95" t="s">
        <v>3303</v>
      </c>
    </row>
    <row r="96" spans="1:2" x14ac:dyDescent="0.25">
      <c r="A96" s="1" t="s">
        <v>2981</v>
      </c>
      <c r="B96" t="s">
        <v>3303</v>
      </c>
    </row>
    <row r="97" spans="1:2" x14ac:dyDescent="0.25">
      <c r="A97" s="1" t="s">
        <v>2982</v>
      </c>
      <c r="B97" t="s">
        <v>3303</v>
      </c>
    </row>
    <row r="98" spans="1:2" x14ac:dyDescent="0.25">
      <c r="A98" s="1" t="s">
        <v>2983</v>
      </c>
      <c r="B98" t="s">
        <v>3303</v>
      </c>
    </row>
    <row r="99" spans="1:2" x14ac:dyDescent="0.25">
      <c r="A99" s="1" t="s">
        <v>2985</v>
      </c>
      <c r="B99" t="s">
        <v>3303</v>
      </c>
    </row>
    <row r="100" spans="1:2" x14ac:dyDescent="0.25">
      <c r="A100" s="1" t="s">
        <v>2984</v>
      </c>
      <c r="B100" t="s">
        <v>3303</v>
      </c>
    </row>
    <row r="101" spans="1:2" x14ac:dyDescent="0.25">
      <c r="A101" s="1" t="s">
        <v>2986</v>
      </c>
      <c r="B101" t="s">
        <v>3303</v>
      </c>
    </row>
    <row r="102" spans="1:2" x14ac:dyDescent="0.25">
      <c r="A102" s="1" t="s">
        <v>2987</v>
      </c>
      <c r="B102" t="s">
        <v>3303</v>
      </c>
    </row>
    <row r="103" spans="1:2" x14ac:dyDescent="0.25">
      <c r="A103" s="1" t="s">
        <v>2988</v>
      </c>
      <c r="B103" t="s">
        <v>3303</v>
      </c>
    </row>
    <row r="104" spans="1:2" x14ac:dyDescent="0.25">
      <c r="A104" s="1" t="s">
        <v>2989</v>
      </c>
      <c r="B104" t="s">
        <v>3303</v>
      </c>
    </row>
    <row r="105" spans="1:2" x14ac:dyDescent="0.25">
      <c r="A105" s="1" t="s">
        <v>2990</v>
      </c>
      <c r="B105" t="s">
        <v>3303</v>
      </c>
    </row>
    <row r="106" spans="1:2" x14ac:dyDescent="0.25">
      <c r="A106" s="1" t="s">
        <v>2991</v>
      </c>
      <c r="B106" t="s">
        <v>3303</v>
      </c>
    </row>
    <row r="107" spans="1:2" x14ac:dyDescent="0.25">
      <c r="A107" s="1" t="s">
        <v>2992</v>
      </c>
      <c r="B107" t="s">
        <v>3303</v>
      </c>
    </row>
    <row r="108" spans="1:2" x14ac:dyDescent="0.25">
      <c r="A108" s="1" t="s">
        <v>2993</v>
      </c>
      <c r="B108" t="s">
        <v>3303</v>
      </c>
    </row>
    <row r="109" spans="1:2" x14ac:dyDescent="0.25">
      <c r="A109" s="1" t="s">
        <v>2994</v>
      </c>
      <c r="B109" t="s">
        <v>3303</v>
      </c>
    </row>
    <row r="110" spans="1:2" x14ac:dyDescent="0.25">
      <c r="A110" s="1" t="s">
        <v>2995</v>
      </c>
      <c r="B110" t="s">
        <v>3303</v>
      </c>
    </row>
    <row r="111" spans="1:2" x14ac:dyDescent="0.25">
      <c r="A111" s="1" t="s">
        <v>2996</v>
      </c>
      <c r="B111" t="s">
        <v>3303</v>
      </c>
    </row>
    <row r="112" spans="1:2" x14ac:dyDescent="0.25">
      <c r="A112" s="1" t="s">
        <v>2997</v>
      </c>
      <c r="B112" t="s">
        <v>3303</v>
      </c>
    </row>
    <row r="113" spans="1:2" x14ac:dyDescent="0.25">
      <c r="A113" s="1" t="s">
        <v>2998</v>
      </c>
      <c r="B113" t="s">
        <v>3303</v>
      </c>
    </row>
    <row r="114" spans="1:2" x14ac:dyDescent="0.25">
      <c r="A114" s="1" t="s">
        <v>2999</v>
      </c>
      <c r="B114" t="s">
        <v>3303</v>
      </c>
    </row>
    <row r="115" spans="1:2" x14ac:dyDescent="0.25">
      <c r="A115" s="1" t="s">
        <v>3000</v>
      </c>
      <c r="B115" t="s">
        <v>3303</v>
      </c>
    </row>
    <row r="116" spans="1:2" x14ac:dyDescent="0.25">
      <c r="A116" s="1" t="s">
        <v>3001</v>
      </c>
      <c r="B116" t="s">
        <v>3303</v>
      </c>
    </row>
    <row r="117" spans="1:2" x14ac:dyDescent="0.25">
      <c r="A117" s="1" t="s">
        <v>3002</v>
      </c>
      <c r="B117" t="s">
        <v>3303</v>
      </c>
    </row>
    <row r="118" spans="1:2" x14ac:dyDescent="0.25">
      <c r="A118" s="1" t="s">
        <v>3003</v>
      </c>
      <c r="B118" t="s">
        <v>3303</v>
      </c>
    </row>
    <row r="119" spans="1:2" x14ac:dyDescent="0.25">
      <c r="A119" s="1" t="s">
        <v>3004</v>
      </c>
      <c r="B119" t="s">
        <v>3303</v>
      </c>
    </row>
    <row r="120" spans="1:2" x14ac:dyDescent="0.25">
      <c r="A120" s="1" t="s">
        <v>3005</v>
      </c>
      <c r="B120" t="s">
        <v>3303</v>
      </c>
    </row>
    <row r="121" spans="1:2" x14ac:dyDescent="0.25">
      <c r="A121" s="1" t="s">
        <v>3006</v>
      </c>
      <c r="B121" t="s">
        <v>3303</v>
      </c>
    </row>
    <row r="122" spans="1:2" x14ac:dyDescent="0.25">
      <c r="A122" s="1" t="s">
        <v>3007</v>
      </c>
      <c r="B122" t="s">
        <v>3303</v>
      </c>
    </row>
    <row r="123" spans="1:2" x14ac:dyDescent="0.25">
      <c r="A123" s="1" t="s">
        <v>3008</v>
      </c>
      <c r="B123" t="s">
        <v>3303</v>
      </c>
    </row>
    <row r="124" spans="1:2" x14ac:dyDescent="0.25">
      <c r="A124" s="1" t="s">
        <v>3009</v>
      </c>
      <c r="B124" t="s">
        <v>3303</v>
      </c>
    </row>
    <row r="125" spans="1:2" x14ac:dyDescent="0.25">
      <c r="A125" s="1" t="s">
        <v>3010</v>
      </c>
      <c r="B125" t="s">
        <v>3303</v>
      </c>
    </row>
    <row r="126" spans="1:2" x14ac:dyDescent="0.25">
      <c r="A126" s="1" t="s">
        <v>3011</v>
      </c>
      <c r="B126" t="s">
        <v>3303</v>
      </c>
    </row>
    <row r="127" spans="1:2" x14ac:dyDescent="0.25">
      <c r="A127" s="1" t="s">
        <v>3012</v>
      </c>
      <c r="B127" t="s">
        <v>3303</v>
      </c>
    </row>
    <row r="128" spans="1:2" x14ac:dyDescent="0.25">
      <c r="A128" s="1" t="s">
        <v>3013</v>
      </c>
      <c r="B128" t="s">
        <v>3303</v>
      </c>
    </row>
    <row r="129" spans="1:2" x14ac:dyDescent="0.25">
      <c r="A129" s="1" t="s">
        <v>3014</v>
      </c>
      <c r="B129" t="s">
        <v>3303</v>
      </c>
    </row>
    <row r="130" spans="1:2" x14ac:dyDescent="0.25">
      <c r="A130" s="1" t="s">
        <v>3015</v>
      </c>
      <c r="B130" t="s">
        <v>3303</v>
      </c>
    </row>
    <row r="131" spans="1:2" x14ac:dyDescent="0.25">
      <c r="A131" s="1" t="s">
        <v>3016</v>
      </c>
      <c r="B131" t="s">
        <v>3303</v>
      </c>
    </row>
    <row r="132" spans="1:2" x14ac:dyDescent="0.25">
      <c r="A132" s="1" t="s">
        <v>3017</v>
      </c>
      <c r="B132" t="s">
        <v>3303</v>
      </c>
    </row>
    <row r="133" spans="1:2" x14ac:dyDescent="0.25">
      <c r="A133" s="1" t="s">
        <v>3018</v>
      </c>
      <c r="B133" t="s">
        <v>3303</v>
      </c>
    </row>
    <row r="134" spans="1:2" x14ac:dyDescent="0.25">
      <c r="A134" s="1" t="s">
        <v>3019</v>
      </c>
      <c r="B134" t="s">
        <v>3303</v>
      </c>
    </row>
    <row r="135" spans="1:2" x14ac:dyDescent="0.25">
      <c r="A135" s="1" t="s">
        <v>3020</v>
      </c>
      <c r="B135" t="s">
        <v>3303</v>
      </c>
    </row>
    <row r="136" spans="1:2" x14ac:dyDescent="0.25">
      <c r="A136" s="1" t="s">
        <v>3021</v>
      </c>
      <c r="B136" t="s">
        <v>3303</v>
      </c>
    </row>
    <row r="137" spans="1:2" x14ac:dyDescent="0.25">
      <c r="A137" s="1" t="s">
        <v>3022</v>
      </c>
      <c r="B137" t="s">
        <v>3303</v>
      </c>
    </row>
    <row r="138" spans="1:2" x14ac:dyDescent="0.25">
      <c r="A138" s="1" t="s">
        <v>3023</v>
      </c>
      <c r="B138" t="s">
        <v>3303</v>
      </c>
    </row>
    <row r="139" spans="1:2" x14ac:dyDescent="0.25">
      <c r="A139" s="1" t="s">
        <v>3024</v>
      </c>
      <c r="B139" t="s">
        <v>3303</v>
      </c>
    </row>
    <row r="140" spans="1:2" x14ac:dyDescent="0.25">
      <c r="A140" s="1" t="s">
        <v>3025</v>
      </c>
      <c r="B140" t="s">
        <v>3303</v>
      </c>
    </row>
    <row r="141" spans="1:2" x14ac:dyDescent="0.25">
      <c r="A141" s="1" t="s">
        <v>3026</v>
      </c>
      <c r="B141" t="s">
        <v>3303</v>
      </c>
    </row>
    <row r="142" spans="1:2" x14ac:dyDescent="0.25">
      <c r="A142" s="1" t="s">
        <v>3027</v>
      </c>
      <c r="B142" t="s">
        <v>3303</v>
      </c>
    </row>
    <row r="143" spans="1:2" x14ac:dyDescent="0.25">
      <c r="A143" s="1" t="s">
        <v>3028</v>
      </c>
      <c r="B143" t="s">
        <v>3303</v>
      </c>
    </row>
    <row r="144" spans="1:2" x14ac:dyDescent="0.25">
      <c r="A144" s="1" t="s">
        <v>3029</v>
      </c>
      <c r="B144" t="s">
        <v>3303</v>
      </c>
    </row>
    <row r="145" spans="1:2" x14ac:dyDescent="0.25">
      <c r="A145" s="1" t="s">
        <v>2926</v>
      </c>
      <c r="B145" t="s">
        <v>3303</v>
      </c>
    </row>
    <row r="146" spans="1:2" x14ac:dyDescent="0.25">
      <c r="A146" s="1" t="s">
        <v>3030</v>
      </c>
      <c r="B146" t="s">
        <v>3303</v>
      </c>
    </row>
    <row r="147" spans="1:2" x14ac:dyDescent="0.25">
      <c r="A147" s="1" t="s">
        <v>3031</v>
      </c>
      <c r="B147" t="s">
        <v>3303</v>
      </c>
    </row>
    <row r="148" spans="1:2" x14ac:dyDescent="0.25">
      <c r="A148" s="1" t="s">
        <v>3032</v>
      </c>
      <c r="B148" t="s">
        <v>3303</v>
      </c>
    </row>
    <row r="149" spans="1:2" x14ac:dyDescent="0.25">
      <c r="A149" s="1" t="s">
        <v>3033</v>
      </c>
      <c r="B149" t="s">
        <v>3303</v>
      </c>
    </row>
    <row r="150" spans="1:2" x14ac:dyDescent="0.25">
      <c r="A150" s="1" t="s">
        <v>3034</v>
      </c>
      <c r="B150" t="s">
        <v>3303</v>
      </c>
    </row>
    <row r="151" spans="1:2" x14ac:dyDescent="0.25">
      <c r="A151" s="1" t="s">
        <v>3035</v>
      </c>
      <c r="B151" t="s">
        <v>3303</v>
      </c>
    </row>
    <row r="152" spans="1:2" x14ac:dyDescent="0.25">
      <c r="A152" s="1" t="s">
        <v>3036</v>
      </c>
      <c r="B152" t="s">
        <v>3303</v>
      </c>
    </row>
    <row r="153" spans="1:2" x14ac:dyDescent="0.25">
      <c r="A153" s="1" t="s">
        <v>3037</v>
      </c>
      <c r="B153" t="s">
        <v>3303</v>
      </c>
    </row>
    <row r="154" spans="1:2" x14ac:dyDescent="0.25">
      <c r="A154" s="1" t="s">
        <v>3038</v>
      </c>
      <c r="B154" t="s">
        <v>3303</v>
      </c>
    </row>
    <row r="155" spans="1:2" x14ac:dyDescent="0.25">
      <c r="A155" s="1" t="s">
        <v>3039</v>
      </c>
      <c r="B155" t="s">
        <v>3303</v>
      </c>
    </row>
    <row r="156" spans="1:2" x14ac:dyDescent="0.25">
      <c r="A156" s="1" t="s">
        <v>3040</v>
      </c>
      <c r="B156" t="s">
        <v>3303</v>
      </c>
    </row>
    <row r="157" spans="1:2" x14ac:dyDescent="0.25">
      <c r="A157" s="1" t="s">
        <v>3041</v>
      </c>
      <c r="B157" t="s">
        <v>3303</v>
      </c>
    </row>
    <row r="158" spans="1:2" x14ac:dyDescent="0.25">
      <c r="A158" s="1" t="s">
        <v>3042</v>
      </c>
      <c r="B158" t="s">
        <v>3303</v>
      </c>
    </row>
    <row r="159" spans="1:2" x14ac:dyDescent="0.25">
      <c r="A159" s="1" t="s">
        <v>3044</v>
      </c>
      <c r="B159" t="s">
        <v>3303</v>
      </c>
    </row>
    <row r="160" spans="1:2" x14ac:dyDescent="0.25">
      <c r="A160" s="1" t="s">
        <v>3043</v>
      </c>
      <c r="B160" t="s">
        <v>3303</v>
      </c>
    </row>
    <row r="161" spans="1:2" x14ac:dyDescent="0.25">
      <c r="A161" s="1" t="s">
        <v>3045</v>
      </c>
      <c r="B161" t="s">
        <v>3303</v>
      </c>
    </row>
    <row r="162" spans="1:2" x14ac:dyDescent="0.25">
      <c r="A162" s="1" t="s">
        <v>3046</v>
      </c>
      <c r="B162" t="s">
        <v>3303</v>
      </c>
    </row>
    <row r="163" spans="1:2" x14ac:dyDescent="0.25">
      <c r="A163" s="1" t="s">
        <v>3047</v>
      </c>
      <c r="B163" t="s">
        <v>3303</v>
      </c>
    </row>
    <row r="164" spans="1:2" x14ac:dyDescent="0.25">
      <c r="A164" s="1" t="s">
        <v>3048</v>
      </c>
      <c r="B164" t="s">
        <v>3303</v>
      </c>
    </row>
    <row r="165" spans="1:2" x14ac:dyDescent="0.25">
      <c r="A165" s="1" t="s">
        <v>3049</v>
      </c>
      <c r="B165" t="s">
        <v>3303</v>
      </c>
    </row>
    <row r="166" spans="1:2" x14ac:dyDescent="0.25">
      <c r="A166" s="1" t="s">
        <v>3050</v>
      </c>
      <c r="B166" t="s">
        <v>3303</v>
      </c>
    </row>
    <row r="167" spans="1:2" x14ac:dyDescent="0.25">
      <c r="A167" s="1" t="s">
        <v>3051</v>
      </c>
      <c r="B167" t="s">
        <v>3303</v>
      </c>
    </row>
    <row r="168" spans="1:2" x14ac:dyDescent="0.25">
      <c r="A168" s="1" t="s">
        <v>3052</v>
      </c>
      <c r="B168" t="s">
        <v>3303</v>
      </c>
    </row>
    <row r="169" spans="1:2" x14ac:dyDescent="0.25">
      <c r="A169" s="1" t="s">
        <v>3053</v>
      </c>
      <c r="B169" t="s">
        <v>3303</v>
      </c>
    </row>
    <row r="170" spans="1:2" x14ac:dyDescent="0.25">
      <c r="A170" s="1" t="s">
        <v>3058</v>
      </c>
      <c r="B170" t="s">
        <v>3303</v>
      </c>
    </row>
    <row r="171" spans="1:2" x14ac:dyDescent="0.25">
      <c r="A171" s="1" t="s">
        <v>3059</v>
      </c>
      <c r="B171" t="s">
        <v>3303</v>
      </c>
    </row>
    <row r="172" spans="1:2" x14ac:dyDescent="0.25">
      <c r="A172" s="1" t="s">
        <v>3054</v>
      </c>
      <c r="B172" t="s">
        <v>3303</v>
      </c>
    </row>
    <row r="173" spans="1:2" x14ac:dyDescent="0.25">
      <c r="A173" s="1" t="s">
        <v>3055</v>
      </c>
      <c r="B173" t="s">
        <v>3303</v>
      </c>
    </row>
    <row r="174" spans="1:2" x14ac:dyDescent="0.25">
      <c r="A174" s="1" t="s">
        <v>3056</v>
      </c>
      <c r="B174" t="s">
        <v>3303</v>
      </c>
    </row>
    <row r="175" spans="1:2" x14ac:dyDescent="0.25">
      <c r="A175" s="1" t="s">
        <v>3057</v>
      </c>
      <c r="B175" t="s">
        <v>3303</v>
      </c>
    </row>
    <row r="176" spans="1:2" x14ac:dyDescent="0.25">
      <c r="A176" s="1" t="s">
        <v>3060</v>
      </c>
      <c r="B176" t="s">
        <v>3303</v>
      </c>
    </row>
    <row r="177" spans="1:2" x14ac:dyDescent="0.25">
      <c r="A177" s="1" t="s">
        <v>3061</v>
      </c>
      <c r="B177" t="s">
        <v>3303</v>
      </c>
    </row>
    <row r="178" spans="1:2" x14ac:dyDescent="0.25">
      <c r="A178" s="1" t="s">
        <v>3062</v>
      </c>
      <c r="B178" t="s">
        <v>3303</v>
      </c>
    </row>
    <row r="179" spans="1:2" x14ac:dyDescent="0.25">
      <c r="A179" s="1" t="s">
        <v>3063</v>
      </c>
      <c r="B179" t="s">
        <v>3303</v>
      </c>
    </row>
    <row r="180" spans="1:2" x14ac:dyDescent="0.25">
      <c r="A180" s="1" t="s">
        <v>3064</v>
      </c>
      <c r="B180" t="s">
        <v>3303</v>
      </c>
    </row>
    <row r="181" spans="1:2" x14ac:dyDescent="0.25">
      <c r="A181" s="1" t="s">
        <v>3065</v>
      </c>
      <c r="B181" t="s">
        <v>3303</v>
      </c>
    </row>
    <row r="182" spans="1:2" x14ac:dyDescent="0.25">
      <c r="A182" s="1" t="s">
        <v>3066</v>
      </c>
      <c r="B182" t="s">
        <v>3303</v>
      </c>
    </row>
    <row r="183" spans="1:2" x14ac:dyDescent="0.25">
      <c r="A183" s="1" t="s">
        <v>3067</v>
      </c>
      <c r="B183" t="s">
        <v>3303</v>
      </c>
    </row>
    <row r="184" spans="1:2" x14ac:dyDescent="0.25">
      <c r="A184" s="1" t="s">
        <v>3068</v>
      </c>
      <c r="B184" t="s">
        <v>3303</v>
      </c>
    </row>
    <row r="185" spans="1:2" x14ac:dyDescent="0.25">
      <c r="A185" s="1" t="s">
        <v>3069</v>
      </c>
      <c r="B185" t="s">
        <v>3303</v>
      </c>
    </row>
    <row r="186" spans="1:2" x14ac:dyDescent="0.25">
      <c r="A186" s="1" t="s">
        <v>3070</v>
      </c>
      <c r="B186" t="s">
        <v>3303</v>
      </c>
    </row>
    <row r="187" spans="1:2" x14ac:dyDescent="0.25">
      <c r="A187" s="1" t="s">
        <v>3071</v>
      </c>
      <c r="B187" t="s">
        <v>3303</v>
      </c>
    </row>
    <row r="188" spans="1:2" x14ac:dyDescent="0.25">
      <c r="A188" s="1" t="s">
        <v>3072</v>
      </c>
      <c r="B188" t="s">
        <v>3303</v>
      </c>
    </row>
    <row r="189" spans="1:2" x14ac:dyDescent="0.25">
      <c r="A189" s="1" t="s">
        <v>3073</v>
      </c>
      <c r="B189" t="s">
        <v>3303</v>
      </c>
    </row>
    <row r="190" spans="1:2" x14ac:dyDescent="0.25">
      <c r="A190" s="1" t="s">
        <v>3074</v>
      </c>
      <c r="B190" t="s">
        <v>3303</v>
      </c>
    </row>
    <row r="191" spans="1:2" x14ac:dyDescent="0.25">
      <c r="A191" s="1" t="s">
        <v>3075</v>
      </c>
      <c r="B191" t="s">
        <v>3303</v>
      </c>
    </row>
    <row r="192" spans="1:2" x14ac:dyDescent="0.25">
      <c r="A192" s="1" t="s">
        <v>3076</v>
      </c>
      <c r="B192" t="s">
        <v>3303</v>
      </c>
    </row>
    <row r="193" spans="1:2" x14ac:dyDescent="0.25">
      <c r="A193" s="1" t="s">
        <v>3077</v>
      </c>
      <c r="B193" t="s">
        <v>3303</v>
      </c>
    </row>
    <row r="194" spans="1:2" x14ac:dyDescent="0.25">
      <c r="A194" s="1" t="s">
        <v>3078</v>
      </c>
      <c r="B194" t="s">
        <v>3303</v>
      </c>
    </row>
    <row r="195" spans="1:2" x14ac:dyDescent="0.25">
      <c r="A195" s="1" t="s">
        <v>3079</v>
      </c>
      <c r="B195" t="s">
        <v>3303</v>
      </c>
    </row>
    <row r="196" spans="1:2" x14ac:dyDescent="0.25">
      <c r="A196" s="1" t="s">
        <v>3080</v>
      </c>
      <c r="B196" t="s">
        <v>3303</v>
      </c>
    </row>
    <row r="197" spans="1:2" x14ac:dyDescent="0.25">
      <c r="A197" s="1" t="s">
        <v>3081</v>
      </c>
      <c r="B197" t="s">
        <v>3303</v>
      </c>
    </row>
    <row r="198" spans="1:2" x14ac:dyDescent="0.25">
      <c r="A198" t="s">
        <v>3082</v>
      </c>
      <c r="B198" t="s">
        <v>3303</v>
      </c>
    </row>
  </sheetData>
  <sortState xmlns:xlrd2="http://schemas.microsoft.com/office/spreadsheetml/2017/richdata2" ref="A2:A198">
    <sortCondition ref="A2:A19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1550-1830-4522-9BD1-77B298CBC31F}">
  <dimension ref="A2:B174"/>
  <sheetViews>
    <sheetView topLeftCell="A37" workbookViewId="0">
      <selection activeCell="F3" sqref="F3"/>
    </sheetView>
  </sheetViews>
  <sheetFormatPr defaultRowHeight="15" x14ac:dyDescent="0.25"/>
  <cols>
    <col min="1" max="1" width="25.28515625" bestFit="1" customWidth="1"/>
    <col min="2" max="2" width="18.140625" bestFit="1" customWidth="1"/>
  </cols>
  <sheetData>
    <row r="2" spans="1:2" x14ac:dyDescent="0.25">
      <c r="A2" s="1" t="s">
        <v>2885</v>
      </c>
      <c r="B2" t="s">
        <v>3308</v>
      </c>
    </row>
    <row r="3" spans="1:2" x14ac:dyDescent="0.25">
      <c r="A3" s="1" t="s">
        <v>2886</v>
      </c>
      <c r="B3" t="s">
        <v>3308</v>
      </c>
    </row>
    <row r="4" spans="1:2" x14ac:dyDescent="0.25">
      <c r="A4" s="1" t="s">
        <v>2887</v>
      </c>
      <c r="B4" t="s">
        <v>3308</v>
      </c>
    </row>
    <row r="5" spans="1:2" x14ac:dyDescent="0.25">
      <c r="A5" s="1" t="s">
        <v>2889</v>
      </c>
      <c r="B5" t="s">
        <v>3308</v>
      </c>
    </row>
    <row r="6" spans="1:2" x14ac:dyDescent="0.25">
      <c r="A6" s="1" t="s">
        <v>2888</v>
      </c>
      <c r="B6" t="s">
        <v>3308</v>
      </c>
    </row>
    <row r="7" spans="1:2" x14ac:dyDescent="0.25">
      <c r="A7" s="1" t="s">
        <v>2890</v>
      </c>
      <c r="B7" t="s">
        <v>3308</v>
      </c>
    </row>
    <row r="8" spans="1:2" x14ac:dyDescent="0.25">
      <c r="A8" s="1" t="s">
        <v>2891</v>
      </c>
      <c r="B8" t="s">
        <v>3308</v>
      </c>
    </row>
    <row r="9" spans="1:2" x14ac:dyDescent="0.25">
      <c r="A9" s="1" t="s">
        <v>2892</v>
      </c>
      <c r="B9" t="s">
        <v>3308</v>
      </c>
    </row>
    <row r="10" spans="1:2" x14ac:dyDescent="0.25">
      <c r="A10" s="1" t="s">
        <v>2893</v>
      </c>
      <c r="B10" t="s">
        <v>3308</v>
      </c>
    </row>
    <row r="11" spans="1:2" x14ac:dyDescent="0.25">
      <c r="A11" s="1" t="s">
        <v>2894</v>
      </c>
      <c r="B11" t="s">
        <v>3308</v>
      </c>
    </row>
    <row r="12" spans="1:2" x14ac:dyDescent="0.25">
      <c r="A12" s="1" t="s">
        <v>2895</v>
      </c>
      <c r="B12" t="s">
        <v>3308</v>
      </c>
    </row>
    <row r="13" spans="1:2" x14ac:dyDescent="0.25">
      <c r="A13" s="1" t="s">
        <v>2896</v>
      </c>
      <c r="B13" t="s">
        <v>3308</v>
      </c>
    </row>
    <row r="14" spans="1:2" x14ac:dyDescent="0.25">
      <c r="A14" s="1" t="s">
        <v>2897</v>
      </c>
      <c r="B14" t="s">
        <v>3308</v>
      </c>
    </row>
    <row r="15" spans="1:2" x14ac:dyDescent="0.25">
      <c r="A15" s="1" t="s">
        <v>2898</v>
      </c>
      <c r="B15" t="s">
        <v>3308</v>
      </c>
    </row>
    <row r="16" spans="1:2" x14ac:dyDescent="0.25">
      <c r="A16" s="1" t="s">
        <v>2899</v>
      </c>
      <c r="B16" t="s">
        <v>3308</v>
      </c>
    </row>
    <row r="17" spans="1:2" x14ac:dyDescent="0.25">
      <c r="A17" s="1" t="s">
        <v>2900</v>
      </c>
      <c r="B17" t="s">
        <v>3308</v>
      </c>
    </row>
    <row r="18" spans="1:2" x14ac:dyDescent="0.25">
      <c r="A18" s="1" t="s">
        <v>2901</v>
      </c>
      <c r="B18" t="s">
        <v>3308</v>
      </c>
    </row>
    <row r="19" spans="1:2" x14ac:dyDescent="0.25">
      <c r="A19" s="1" t="s">
        <v>2902</v>
      </c>
      <c r="B19" t="s">
        <v>3308</v>
      </c>
    </row>
    <row r="20" spans="1:2" x14ac:dyDescent="0.25">
      <c r="A20" s="1" t="s">
        <v>2903</v>
      </c>
      <c r="B20" t="s">
        <v>3308</v>
      </c>
    </row>
    <row r="21" spans="1:2" x14ac:dyDescent="0.25">
      <c r="A21" s="1" t="s">
        <v>2904</v>
      </c>
      <c r="B21" t="s">
        <v>3308</v>
      </c>
    </row>
    <row r="22" spans="1:2" x14ac:dyDescent="0.25">
      <c r="A22" s="1" t="s">
        <v>2905</v>
      </c>
      <c r="B22" t="s">
        <v>3308</v>
      </c>
    </row>
    <row r="23" spans="1:2" x14ac:dyDescent="0.25">
      <c r="A23" s="1" t="s">
        <v>2906</v>
      </c>
      <c r="B23" t="s">
        <v>3308</v>
      </c>
    </row>
    <row r="24" spans="1:2" x14ac:dyDescent="0.25">
      <c r="A24" s="1" t="s">
        <v>2907</v>
      </c>
      <c r="B24" t="s">
        <v>3308</v>
      </c>
    </row>
    <row r="25" spans="1:2" x14ac:dyDescent="0.25">
      <c r="A25" s="1" t="s">
        <v>2908</v>
      </c>
      <c r="B25" t="s">
        <v>3308</v>
      </c>
    </row>
    <row r="26" spans="1:2" x14ac:dyDescent="0.25">
      <c r="A26" s="1" t="s">
        <v>2909</v>
      </c>
      <c r="B26" t="s">
        <v>3308</v>
      </c>
    </row>
    <row r="27" spans="1:2" x14ac:dyDescent="0.25">
      <c r="A27" s="1" t="s">
        <v>2910</v>
      </c>
      <c r="B27" t="s">
        <v>3308</v>
      </c>
    </row>
    <row r="28" spans="1:2" x14ac:dyDescent="0.25">
      <c r="A28" s="1" t="s">
        <v>2911</v>
      </c>
      <c r="B28" t="s">
        <v>3308</v>
      </c>
    </row>
    <row r="29" spans="1:2" x14ac:dyDescent="0.25">
      <c r="A29" s="1" t="s">
        <v>2912</v>
      </c>
      <c r="B29" t="s">
        <v>3308</v>
      </c>
    </row>
    <row r="30" spans="1:2" x14ac:dyDescent="0.25">
      <c r="A30" s="1" t="s">
        <v>2914</v>
      </c>
      <c r="B30" t="s">
        <v>3308</v>
      </c>
    </row>
    <row r="31" spans="1:2" x14ac:dyDescent="0.25">
      <c r="A31" s="1" t="s">
        <v>2915</v>
      </c>
      <c r="B31" t="s">
        <v>3308</v>
      </c>
    </row>
    <row r="32" spans="1:2" x14ac:dyDescent="0.25">
      <c r="A32" s="1" t="s">
        <v>2916</v>
      </c>
      <c r="B32" t="s">
        <v>3308</v>
      </c>
    </row>
    <row r="33" spans="1:2" x14ac:dyDescent="0.25">
      <c r="A33" s="1" t="s">
        <v>2917</v>
      </c>
      <c r="B33" t="s">
        <v>3308</v>
      </c>
    </row>
    <row r="34" spans="1:2" x14ac:dyDescent="0.25">
      <c r="A34" s="1" t="s">
        <v>2918</v>
      </c>
      <c r="B34" t="s">
        <v>3308</v>
      </c>
    </row>
    <row r="35" spans="1:2" x14ac:dyDescent="0.25">
      <c r="A35" s="1" t="s">
        <v>2919</v>
      </c>
      <c r="B35" t="s">
        <v>3308</v>
      </c>
    </row>
    <row r="36" spans="1:2" x14ac:dyDescent="0.25">
      <c r="A36" s="1" t="s">
        <v>2920</v>
      </c>
      <c r="B36" t="s">
        <v>3308</v>
      </c>
    </row>
    <row r="37" spans="1:2" x14ac:dyDescent="0.25">
      <c r="A37" s="1" t="s">
        <v>2923</v>
      </c>
      <c r="B37" t="s">
        <v>3308</v>
      </c>
    </row>
    <row r="38" spans="1:2" x14ac:dyDescent="0.25">
      <c r="A38" s="1" t="s">
        <v>2928</v>
      </c>
      <c r="B38" t="s">
        <v>3308</v>
      </c>
    </row>
    <row r="39" spans="1:2" x14ac:dyDescent="0.25">
      <c r="A39" s="1" t="s">
        <v>2929</v>
      </c>
      <c r="B39" t="s">
        <v>3308</v>
      </c>
    </row>
    <row r="40" spans="1:2" x14ac:dyDescent="0.25">
      <c r="A40" s="1" t="s">
        <v>2930</v>
      </c>
      <c r="B40" t="s">
        <v>3308</v>
      </c>
    </row>
    <row r="41" spans="1:2" x14ac:dyDescent="0.25">
      <c r="A41" s="1" t="s">
        <v>2931</v>
      </c>
      <c r="B41" t="s">
        <v>3308</v>
      </c>
    </row>
    <row r="42" spans="1:2" x14ac:dyDescent="0.25">
      <c r="A42" s="1" t="s">
        <v>2932</v>
      </c>
      <c r="B42" t="s">
        <v>3308</v>
      </c>
    </row>
    <row r="43" spans="1:2" x14ac:dyDescent="0.25">
      <c r="A43" s="1" t="s">
        <v>2933</v>
      </c>
      <c r="B43" t="s">
        <v>3308</v>
      </c>
    </row>
    <row r="44" spans="1:2" x14ac:dyDescent="0.25">
      <c r="A44" s="1" t="s">
        <v>2934</v>
      </c>
      <c r="B44" t="s">
        <v>3308</v>
      </c>
    </row>
    <row r="45" spans="1:2" x14ac:dyDescent="0.25">
      <c r="A45" s="1" t="s">
        <v>2935</v>
      </c>
      <c r="B45" t="s">
        <v>3308</v>
      </c>
    </row>
    <row r="46" spans="1:2" x14ac:dyDescent="0.25">
      <c r="A46" s="1" t="s">
        <v>2936</v>
      </c>
      <c r="B46" t="s">
        <v>3308</v>
      </c>
    </row>
    <row r="47" spans="1:2" x14ac:dyDescent="0.25">
      <c r="A47" s="1" t="s">
        <v>2937</v>
      </c>
      <c r="B47" t="s">
        <v>3308</v>
      </c>
    </row>
    <row r="48" spans="1:2" x14ac:dyDescent="0.25">
      <c r="A48" s="1" t="s">
        <v>2938</v>
      </c>
      <c r="B48" t="s">
        <v>3308</v>
      </c>
    </row>
    <row r="49" spans="1:2" x14ac:dyDescent="0.25">
      <c r="A49" s="1" t="s">
        <v>2939</v>
      </c>
      <c r="B49" t="s">
        <v>3308</v>
      </c>
    </row>
    <row r="50" spans="1:2" x14ac:dyDescent="0.25">
      <c r="A50" s="1" t="s">
        <v>2940</v>
      </c>
      <c r="B50" t="s">
        <v>3308</v>
      </c>
    </row>
    <row r="51" spans="1:2" x14ac:dyDescent="0.25">
      <c r="A51" s="1" t="s">
        <v>2941</v>
      </c>
      <c r="B51" t="s">
        <v>3308</v>
      </c>
    </row>
    <row r="52" spans="1:2" x14ac:dyDescent="0.25">
      <c r="A52" s="1" t="s">
        <v>2942</v>
      </c>
      <c r="B52" t="s">
        <v>3308</v>
      </c>
    </row>
    <row r="53" spans="1:2" x14ac:dyDescent="0.25">
      <c r="A53" s="1" t="s">
        <v>2943</v>
      </c>
      <c r="B53" t="s">
        <v>3308</v>
      </c>
    </row>
    <row r="54" spans="1:2" x14ac:dyDescent="0.25">
      <c r="A54" s="1" t="s">
        <v>2944</v>
      </c>
      <c r="B54" t="s">
        <v>3308</v>
      </c>
    </row>
    <row r="55" spans="1:2" x14ac:dyDescent="0.25">
      <c r="A55" s="1" t="s">
        <v>2946</v>
      </c>
      <c r="B55" t="s">
        <v>3308</v>
      </c>
    </row>
    <row r="56" spans="1:2" x14ac:dyDescent="0.25">
      <c r="A56" s="1" t="s">
        <v>2947</v>
      </c>
      <c r="B56" t="s">
        <v>3308</v>
      </c>
    </row>
    <row r="57" spans="1:2" x14ac:dyDescent="0.25">
      <c r="A57" s="1" t="s">
        <v>2948</v>
      </c>
      <c r="B57" t="s">
        <v>3308</v>
      </c>
    </row>
    <row r="58" spans="1:2" x14ac:dyDescent="0.25">
      <c r="A58" s="1" t="s">
        <v>2949</v>
      </c>
      <c r="B58" t="s">
        <v>3308</v>
      </c>
    </row>
    <row r="59" spans="1:2" x14ac:dyDescent="0.25">
      <c r="A59" s="1" t="s">
        <v>2950</v>
      </c>
      <c r="B59" t="s">
        <v>3308</v>
      </c>
    </row>
    <row r="60" spans="1:2" x14ac:dyDescent="0.25">
      <c r="A60" s="1" t="s">
        <v>2951</v>
      </c>
      <c r="B60" t="s">
        <v>3308</v>
      </c>
    </row>
    <row r="61" spans="1:2" x14ac:dyDescent="0.25">
      <c r="A61" s="1" t="s">
        <v>2952</v>
      </c>
      <c r="B61" t="s">
        <v>3308</v>
      </c>
    </row>
    <row r="62" spans="1:2" x14ac:dyDescent="0.25">
      <c r="A62" s="1" t="s">
        <v>2954</v>
      </c>
      <c r="B62" t="s">
        <v>3308</v>
      </c>
    </row>
    <row r="63" spans="1:2" x14ac:dyDescent="0.25">
      <c r="A63" s="1" t="s">
        <v>2955</v>
      </c>
      <c r="B63" t="s">
        <v>3308</v>
      </c>
    </row>
    <row r="64" spans="1:2" x14ac:dyDescent="0.25">
      <c r="A64" s="1" t="s">
        <v>2956</v>
      </c>
      <c r="B64" t="s">
        <v>3308</v>
      </c>
    </row>
    <row r="65" spans="1:2" x14ac:dyDescent="0.25">
      <c r="A65" s="1" t="s">
        <v>2957</v>
      </c>
      <c r="B65" t="s">
        <v>3308</v>
      </c>
    </row>
    <row r="66" spans="1:2" x14ac:dyDescent="0.25">
      <c r="A66" s="1" t="s">
        <v>2959</v>
      </c>
      <c r="B66" t="s">
        <v>3308</v>
      </c>
    </row>
    <row r="67" spans="1:2" x14ac:dyDescent="0.25">
      <c r="A67" s="1" t="s">
        <v>2958</v>
      </c>
      <c r="B67" t="s">
        <v>3308</v>
      </c>
    </row>
    <row r="68" spans="1:2" x14ac:dyDescent="0.25">
      <c r="A68" s="1" t="s">
        <v>2960</v>
      </c>
      <c r="B68" t="s">
        <v>3308</v>
      </c>
    </row>
    <row r="69" spans="1:2" x14ac:dyDescent="0.25">
      <c r="A69" s="1" t="s">
        <v>2961</v>
      </c>
      <c r="B69" t="s">
        <v>3308</v>
      </c>
    </row>
    <row r="70" spans="1:2" x14ac:dyDescent="0.25">
      <c r="A70" s="1" t="s">
        <v>2962</v>
      </c>
      <c r="B70" t="s">
        <v>3308</v>
      </c>
    </row>
    <row r="71" spans="1:2" x14ac:dyDescent="0.25">
      <c r="A71" s="1" t="s">
        <v>2963</v>
      </c>
      <c r="B71" t="s">
        <v>3308</v>
      </c>
    </row>
    <row r="72" spans="1:2" x14ac:dyDescent="0.25">
      <c r="A72" s="1" t="s">
        <v>2964</v>
      </c>
      <c r="B72" t="s">
        <v>3308</v>
      </c>
    </row>
    <row r="73" spans="1:2" x14ac:dyDescent="0.25">
      <c r="A73" s="1" t="s">
        <v>2965</v>
      </c>
      <c r="B73" t="s">
        <v>3308</v>
      </c>
    </row>
    <row r="74" spans="1:2" x14ac:dyDescent="0.25">
      <c r="A74" s="1" t="s">
        <v>2966</v>
      </c>
      <c r="B74" t="s">
        <v>3308</v>
      </c>
    </row>
    <row r="75" spans="1:2" x14ac:dyDescent="0.25">
      <c r="A75" s="1" t="s">
        <v>2967</v>
      </c>
      <c r="B75" t="s">
        <v>3308</v>
      </c>
    </row>
    <row r="76" spans="1:2" x14ac:dyDescent="0.25">
      <c r="A76" s="1" t="s">
        <v>2968</v>
      </c>
      <c r="B76" t="s">
        <v>3308</v>
      </c>
    </row>
    <row r="77" spans="1:2" x14ac:dyDescent="0.25">
      <c r="A77" s="1" t="s">
        <v>2969</v>
      </c>
      <c r="B77" t="s">
        <v>3308</v>
      </c>
    </row>
    <row r="78" spans="1:2" x14ac:dyDescent="0.25">
      <c r="A78" s="1" t="s">
        <v>2970</v>
      </c>
      <c r="B78" t="s">
        <v>3308</v>
      </c>
    </row>
    <row r="79" spans="1:2" x14ac:dyDescent="0.25">
      <c r="A79" s="1" t="s">
        <v>2971</v>
      </c>
      <c r="B79" t="s">
        <v>3308</v>
      </c>
    </row>
    <row r="80" spans="1:2" x14ac:dyDescent="0.25">
      <c r="A80" s="1" t="s">
        <v>2972</v>
      </c>
      <c r="B80" t="s">
        <v>3308</v>
      </c>
    </row>
    <row r="81" spans="1:2" x14ac:dyDescent="0.25">
      <c r="A81" s="1" t="s">
        <v>2974</v>
      </c>
      <c r="B81" t="s">
        <v>3308</v>
      </c>
    </row>
    <row r="82" spans="1:2" x14ac:dyDescent="0.25">
      <c r="A82" s="1" t="s">
        <v>2975</v>
      </c>
      <c r="B82" t="s">
        <v>3308</v>
      </c>
    </row>
    <row r="83" spans="1:2" x14ac:dyDescent="0.25">
      <c r="A83" s="1" t="s">
        <v>2976</v>
      </c>
      <c r="B83" t="s">
        <v>3308</v>
      </c>
    </row>
    <row r="84" spans="1:2" x14ac:dyDescent="0.25">
      <c r="A84" s="1" t="s">
        <v>2977</v>
      </c>
      <c r="B84" t="s">
        <v>3308</v>
      </c>
    </row>
    <row r="85" spans="1:2" x14ac:dyDescent="0.25">
      <c r="A85" s="1" t="s">
        <v>2978</v>
      </c>
      <c r="B85" t="s">
        <v>3308</v>
      </c>
    </row>
    <row r="86" spans="1:2" x14ac:dyDescent="0.25">
      <c r="A86" s="1" t="s">
        <v>2979</v>
      </c>
      <c r="B86" t="s">
        <v>3308</v>
      </c>
    </row>
    <row r="87" spans="1:2" x14ac:dyDescent="0.25">
      <c r="A87" s="1" t="s">
        <v>2982</v>
      </c>
      <c r="B87" t="s">
        <v>3308</v>
      </c>
    </row>
    <row r="88" spans="1:2" x14ac:dyDescent="0.25">
      <c r="A88" s="1" t="s">
        <v>2983</v>
      </c>
      <c r="B88" t="s">
        <v>3308</v>
      </c>
    </row>
    <row r="89" spans="1:2" x14ac:dyDescent="0.25">
      <c r="A89" s="1" t="s">
        <v>2985</v>
      </c>
      <c r="B89" t="s">
        <v>3308</v>
      </c>
    </row>
    <row r="90" spans="1:2" x14ac:dyDescent="0.25">
      <c r="A90" s="1" t="s">
        <v>2984</v>
      </c>
      <c r="B90" t="s">
        <v>3308</v>
      </c>
    </row>
    <row r="91" spans="1:2" x14ac:dyDescent="0.25">
      <c r="A91" s="1" t="s">
        <v>2986</v>
      </c>
      <c r="B91" t="s">
        <v>3308</v>
      </c>
    </row>
    <row r="92" spans="1:2" x14ac:dyDescent="0.25">
      <c r="A92" s="1" t="s">
        <v>2987</v>
      </c>
      <c r="B92" t="s">
        <v>3308</v>
      </c>
    </row>
    <row r="93" spans="1:2" x14ac:dyDescent="0.25">
      <c r="A93" s="1" t="s">
        <v>2988</v>
      </c>
      <c r="B93" t="s">
        <v>3308</v>
      </c>
    </row>
    <row r="94" spans="1:2" x14ac:dyDescent="0.25">
      <c r="A94" s="1" t="s">
        <v>2989</v>
      </c>
      <c r="B94" t="s">
        <v>3308</v>
      </c>
    </row>
    <row r="95" spans="1:2" x14ac:dyDescent="0.25">
      <c r="A95" s="1" t="s">
        <v>2990</v>
      </c>
      <c r="B95" t="s">
        <v>3308</v>
      </c>
    </row>
    <row r="96" spans="1:2" x14ac:dyDescent="0.25">
      <c r="A96" s="1" t="s">
        <v>2991</v>
      </c>
      <c r="B96" t="s">
        <v>3308</v>
      </c>
    </row>
    <row r="97" spans="1:2" x14ac:dyDescent="0.25">
      <c r="A97" s="1" t="s">
        <v>2992</v>
      </c>
      <c r="B97" t="s">
        <v>3308</v>
      </c>
    </row>
    <row r="98" spans="1:2" x14ac:dyDescent="0.25">
      <c r="A98" s="1" t="s">
        <v>2993</v>
      </c>
      <c r="B98" t="s">
        <v>3308</v>
      </c>
    </row>
    <row r="99" spans="1:2" x14ac:dyDescent="0.25">
      <c r="A99" s="1" t="s">
        <v>2994</v>
      </c>
      <c r="B99" t="s">
        <v>3308</v>
      </c>
    </row>
    <row r="100" spans="1:2" x14ac:dyDescent="0.25">
      <c r="A100" s="1" t="s">
        <v>2995</v>
      </c>
      <c r="B100" t="s">
        <v>3308</v>
      </c>
    </row>
    <row r="101" spans="1:2" x14ac:dyDescent="0.25">
      <c r="A101" s="1" t="s">
        <v>2996</v>
      </c>
      <c r="B101" t="s">
        <v>3308</v>
      </c>
    </row>
    <row r="102" spans="1:2" x14ac:dyDescent="0.25">
      <c r="A102" s="1" t="s">
        <v>2997</v>
      </c>
      <c r="B102" t="s">
        <v>3308</v>
      </c>
    </row>
    <row r="103" spans="1:2" x14ac:dyDescent="0.25">
      <c r="A103" s="1" t="s">
        <v>2998</v>
      </c>
      <c r="B103" t="s">
        <v>3308</v>
      </c>
    </row>
    <row r="104" spans="1:2" x14ac:dyDescent="0.25">
      <c r="A104" s="1" t="s">
        <v>2999</v>
      </c>
      <c r="B104" t="s">
        <v>3308</v>
      </c>
    </row>
    <row r="105" spans="1:2" x14ac:dyDescent="0.25">
      <c r="A105" s="1" t="s">
        <v>3000</v>
      </c>
      <c r="B105" t="s">
        <v>3308</v>
      </c>
    </row>
    <row r="106" spans="1:2" x14ac:dyDescent="0.25">
      <c r="A106" s="1" t="s">
        <v>3001</v>
      </c>
      <c r="B106" t="s">
        <v>3308</v>
      </c>
    </row>
    <row r="107" spans="1:2" x14ac:dyDescent="0.25">
      <c r="A107" s="1" t="s">
        <v>3002</v>
      </c>
      <c r="B107" t="s">
        <v>3308</v>
      </c>
    </row>
    <row r="108" spans="1:2" x14ac:dyDescent="0.25">
      <c r="A108" s="1" t="s">
        <v>3003</v>
      </c>
      <c r="B108" t="s">
        <v>3308</v>
      </c>
    </row>
    <row r="109" spans="1:2" x14ac:dyDescent="0.25">
      <c r="A109" s="1" t="s">
        <v>3005</v>
      </c>
      <c r="B109" t="s">
        <v>3308</v>
      </c>
    </row>
    <row r="110" spans="1:2" x14ac:dyDescent="0.25">
      <c r="A110" s="1" t="s">
        <v>3006</v>
      </c>
      <c r="B110" t="s">
        <v>3308</v>
      </c>
    </row>
    <row r="111" spans="1:2" x14ac:dyDescent="0.25">
      <c r="A111" s="1" t="s">
        <v>3007</v>
      </c>
      <c r="B111" t="s">
        <v>3308</v>
      </c>
    </row>
    <row r="112" spans="1:2" x14ac:dyDescent="0.25">
      <c r="A112" s="1" t="s">
        <v>3008</v>
      </c>
      <c r="B112" t="s">
        <v>3308</v>
      </c>
    </row>
    <row r="113" spans="1:2" x14ac:dyDescent="0.25">
      <c r="A113" s="1" t="s">
        <v>3009</v>
      </c>
      <c r="B113" t="s">
        <v>3308</v>
      </c>
    </row>
    <row r="114" spans="1:2" x14ac:dyDescent="0.25">
      <c r="A114" s="1" t="s">
        <v>3010</v>
      </c>
      <c r="B114" t="s">
        <v>3308</v>
      </c>
    </row>
    <row r="115" spans="1:2" x14ac:dyDescent="0.25">
      <c r="A115" s="1" t="s">
        <v>3011</v>
      </c>
      <c r="B115" t="s">
        <v>3308</v>
      </c>
    </row>
    <row r="116" spans="1:2" x14ac:dyDescent="0.25">
      <c r="A116" s="1" t="s">
        <v>3012</v>
      </c>
      <c r="B116" t="s">
        <v>3308</v>
      </c>
    </row>
    <row r="117" spans="1:2" x14ac:dyDescent="0.25">
      <c r="A117" s="1" t="s">
        <v>3013</v>
      </c>
      <c r="B117" t="s">
        <v>3308</v>
      </c>
    </row>
    <row r="118" spans="1:2" x14ac:dyDescent="0.25">
      <c r="A118" s="1" t="s">
        <v>3014</v>
      </c>
      <c r="B118" t="s">
        <v>3308</v>
      </c>
    </row>
    <row r="119" spans="1:2" x14ac:dyDescent="0.25">
      <c r="A119" s="1" t="s">
        <v>3015</v>
      </c>
      <c r="B119" t="s">
        <v>3308</v>
      </c>
    </row>
    <row r="120" spans="1:2" x14ac:dyDescent="0.25">
      <c r="A120" s="1" t="s">
        <v>3016</v>
      </c>
      <c r="B120" t="s">
        <v>3308</v>
      </c>
    </row>
    <row r="121" spans="1:2" x14ac:dyDescent="0.25">
      <c r="A121" s="1" t="s">
        <v>3017</v>
      </c>
      <c r="B121" t="s">
        <v>3308</v>
      </c>
    </row>
    <row r="122" spans="1:2" x14ac:dyDescent="0.25">
      <c r="A122" s="1" t="s">
        <v>3018</v>
      </c>
      <c r="B122" t="s">
        <v>3308</v>
      </c>
    </row>
    <row r="123" spans="1:2" x14ac:dyDescent="0.25">
      <c r="A123" s="1" t="s">
        <v>3019</v>
      </c>
      <c r="B123" t="s">
        <v>3308</v>
      </c>
    </row>
    <row r="124" spans="1:2" x14ac:dyDescent="0.25">
      <c r="A124" s="1" t="s">
        <v>3021</v>
      </c>
      <c r="B124" t="s">
        <v>3308</v>
      </c>
    </row>
    <row r="125" spans="1:2" x14ac:dyDescent="0.25">
      <c r="A125" s="1" t="s">
        <v>3022</v>
      </c>
      <c r="B125" t="s">
        <v>3308</v>
      </c>
    </row>
    <row r="126" spans="1:2" x14ac:dyDescent="0.25">
      <c r="A126" s="1" t="s">
        <v>3023</v>
      </c>
      <c r="B126" t="s">
        <v>3308</v>
      </c>
    </row>
    <row r="127" spans="1:2" x14ac:dyDescent="0.25">
      <c r="A127" s="1" t="s">
        <v>3024</v>
      </c>
      <c r="B127" t="s">
        <v>3308</v>
      </c>
    </row>
    <row r="128" spans="1:2" x14ac:dyDescent="0.25">
      <c r="A128" s="1" t="s">
        <v>3025</v>
      </c>
      <c r="B128" t="s">
        <v>3308</v>
      </c>
    </row>
    <row r="129" spans="1:2" x14ac:dyDescent="0.25">
      <c r="A129" s="1" t="s">
        <v>3026</v>
      </c>
      <c r="B129" t="s">
        <v>3308</v>
      </c>
    </row>
    <row r="130" spans="1:2" x14ac:dyDescent="0.25">
      <c r="A130" s="1" t="s">
        <v>3028</v>
      </c>
      <c r="B130" t="s">
        <v>3308</v>
      </c>
    </row>
    <row r="131" spans="1:2" x14ac:dyDescent="0.25">
      <c r="A131" s="1" t="s">
        <v>3029</v>
      </c>
      <c r="B131" t="s">
        <v>3308</v>
      </c>
    </row>
    <row r="132" spans="1:2" x14ac:dyDescent="0.25">
      <c r="A132" s="1" t="s">
        <v>3030</v>
      </c>
      <c r="B132" t="s">
        <v>3308</v>
      </c>
    </row>
    <row r="133" spans="1:2" x14ac:dyDescent="0.25">
      <c r="A133" s="1" t="s">
        <v>3031</v>
      </c>
      <c r="B133" t="s">
        <v>3308</v>
      </c>
    </row>
    <row r="134" spans="1:2" x14ac:dyDescent="0.25">
      <c r="A134" s="1" t="s">
        <v>3033</v>
      </c>
      <c r="B134" t="s">
        <v>3308</v>
      </c>
    </row>
    <row r="135" spans="1:2" x14ac:dyDescent="0.25">
      <c r="A135" s="1" t="s">
        <v>3034</v>
      </c>
      <c r="B135" t="s">
        <v>3308</v>
      </c>
    </row>
    <row r="136" spans="1:2" x14ac:dyDescent="0.25">
      <c r="A136" s="1" t="s">
        <v>3035</v>
      </c>
      <c r="B136" t="s">
        <v>3308</v>
      </c>
    </row>
    <row r="137" spans="1:2" x14ac:dyDescent="0.25">
      <c r="A137" s="1" t="s">
        <v>3036</v>
      </c>
      <c r="B137" t="s">
        <v>3308</v>
      </c>
    </row>
    <row r="138" spans="1:2" x14ac:dyDescent="0.25">
      <c r="A138" s="1" t="s">
        <v>3037</v>
      </c>
      <c r="B138" t="s">
        <v>3308</v>
      </c>
    </row>
    <row r="139" spans="1:2" x14ac:dyDescent="0.25">
      <c r="A139" s="1" t="s">
        <v>3038</v>
      </c>
      <c r="B139" t="s">
        <v>3308</v>
      </c>
    </row>
    <row r="140" spans="1:2" x14ac:dyDescent="0.25">
      <c r="A140" s="1" t="s">
        <v>3039</v>
      </c>
      <c r="B140" t="s">
        <v>3308</v>
      </c>
    </row>
    <row r="141" spans="1:2" x14ac:dyDescent="0.25">
      <c r="A141" s="1" t="s">
        <v>3040</v>
      </c>
      <c r="B141" t="s">
        <v>3308</v>
      </c>
    </row>
    <row r="142" spans="1:2" x14ac:dyDescent="0.25">
      <c r="A142" s="1" t="s">
        <v>3041</v>
      </c>
      <c r="B142" t="s">
        <v>3308</v>
      </c>
    </row>
    <row r="143" spans="1:2" x14ac:dyDescent="0.25">
      <c r="A143" s="1" t="s">
        <v>3042</v>
      </c>
      <c r="B143" t="s">
        <v>3308</v>
      </c>
    </row>
    <row r="144" spans="1:2" x14ac:dyDescent="0.25">
      <c r="A144" s="1" t="s">
        <v>3044</v>
      </c>
      <c r="B144" t="s">
        <v>3308</v>
      </c>
    </row>
    <row r="145" spans="1:2" x14ac:dyDescent="0.25">
      <c r="A145" s="1" t="s">
        <v>3043</v>
      </c>
      <c r="B145" t="s">
        <v>3308</v>
      </c>
    </row>
    <row r="146" spans="1:2" x14ac:dyDescent="0.25">
      <c r="A146" s="1" t="s">
        <v>3045</v>
      </c>
      <c r="B146" t="s">
        <v>3308</v>
      </c>
    </row>
    <row r="147" spans="1:2" x14ac:dyDescent="0.25">
      <c r="A147" s="1" t="s">
        <v>3046</v>
      </c>
      <c r="B147" t="s">
        <v>3308</v>
      </c>
    </row>
    <row r="148" spans="1:2" x14ac:dyDescent="0.25">
      <c r="A148" s="1" t="s">
        <v>3047</v>
      </c>
      <c r="B148" t="s">
        <v>3308</v>
      </c>
    </row>
    <row r="149" spans="1:2" x14ac:dyDescent="0.25">
      <c r="A149" s="1" t="s">
        <v>3048</v>
      </c>
      <c r="B149" t="s">
        <v>3308</v>
      </c>
    </row>
    <row r="150" spans="1:2" x14ac:dyDescent="0.25">
      <c r="A150" s="1" t="s">
        <v>3049</v>
      </c>
      <c r="B150" t="s">
        <v>3308</v>
      </c>
    </row>
    <row r="151" spans="1:2" x14ac:dyDescent="0.25">
      <c r="A151" s="1" t="s">
        <v>3052</v>
      </c>
      <c r="B151" t="s">
        <v>3308</v>
      </c>
    </row>
    <row r="152" spans="1:2" x14ac:dyDescent="0.25">
      <c r="A152" s="1" t="s">
        <v>3053</v>
      </c>
      <c r="B152" t="s">
        <v>3308</v>
      </c>
    </row>
    <row r="153" spans="1:2" x14ac:dyDescent="0.25">
      <c r="A153" s="1" t="s">
        <v>3058</v>
      </c>
      <c r="B153" t="s">
        <v>3308</v>
      </c>
    </row>
    <row r="154" spans="1:2" x14ac:dyDescent="0.25">
      <c r="A154" s="1" t="s">
        <v>3059</v>
      </c>
      <c r="B154" t="s">
        <v>3308</v>
      </c>
    </row>
    <row r="155" spans="1:2" x14ac:dyDescent="0.25">
      <c r="A155" s="1" t="s">
        <v>3054</v>
      </c>
      <c r="B155" t="s">
        <v>3308</v>
      </c>
    </row>
    <row r="156" spans="1:2" x14ac:dyDescent="0.25">
      <c r="A156" s="1" t="s">
        <v>3055</v>
      </c>
      <c r="B156" t="s">
        <v>3308</v>
      </c>
    </row>
    <row r="157" spans="1:2" x14ac:dyDescent="0.25">
      <c r="A157" s="1" t="s">
        <v>3056</v>
      </c>
      <c r="B157" t="s">
        <v>3308</v>
      </c>
    </row>
    <row r="158" spans="1:2" x14ac:dyDescent="0.25">
      <c r="A158" s="1" t="s">
        <v>3057</v>
      </c>
      <c r="B158" t="s">
        <v>3308</v>
      </c>
    </row>
    <row r="159" spans="1:2" x14ac:dyDescent="0.25">
      <c r="A159" s="1" t="s">
        <v>3060</v>
      </c>
      <c r="B159" t="s">
        <v>3308</v>
      </c>
    </row>
    <row r="160" spans="1:2" x14ac:dyDescent="0.25">
      <c r="A160" s="1" t="s">
        <v>3061</v>
      </c>
      <c r="B160" t="s">
        <v>3308</v>
      </c>
    </row>
    <row r="161" spans="1:2" x14ac:dyDescent="0.25">
      <c r="A161" s="1" t="s">
        <v>3062</v>
      </c>
      <c r="B161" t="s">
        <v>3308</v>
      </c>
    </row>
    <row r="162" spans="1:2" x14ac:dyDescent="0.25">
      <c r="A162" s="1" t="s">
        <v>3063</v>
      </c>
      <c r="B162" t="s">
        <v>3308</v>
      </c>
    </row>
    <row r="163" spans="1:2" x14ac:dyDescent="0.25">
      <c r="A163" s="1" t="s">
        <v>3064</v>
      </c>
      <c r="B163" t="s">
        <v>3308</v>
      </c>
    </row>
    <row r="164" spans="1:2" x14ac:dyDescent="0.25">
      <c r="A164" s="1" t="s">
        <v>3065</v>
      </c>
      <c r="B164" t="s">
        <v>3308</v>
      </c>
    </row>
    <row r="165" spans="1:2" x14ac:dyDescent="0.25">
      <c r="A165" s="1" t="s">
        <v>3066</v>
      </c>
      <c r="B165" t="s">
        <v>3308</v>
      </c>
    </row>
    <row r="166" spans="1:2" x14ac:dyDescent="0.25">
      <c r="A166" s="1" t="s">
        <v>3068</v>
      </c>
      <c r="B166" t="s">
        <v>3308</v>
      </c>
    </row>
    <row r="167" spans="1:2" x14ac:dyDescent="0.25">
      <c r="A167" s="1" t="s">
        <v>3074</v>
      </c>
      <c r="B167" t="s">
        <v>3308</v>
      </c>
    </row>
    <row r="168" spans="1:2" x14ac:dyDescent="0.25">
      <c r="A168" s="1" t="s">
        <v>3075</v>
      </c>
      <c r="B168" t="s">
        <v>3308</v>
      </c>
    </row>
    <row r="169" spans="1:2" x14ac:dyDescent="0.25">
      <c r="A169" s="1" t="s">
        <v>3076</v>
      </c>
      <c r="B169" t="s">
        <v>3308</v>
      </c>
    </row>
    <row r="170" spans="1:2" x14ac:dyDescent="0.25">
      <c r="A170" s="1" t="s">
        <v>3078</v>
      </c>
      <c r="B170" t="s">
        <v>3308</v>
      </c>
    </row>
    <row r="171" spans="1:2" x14ac:dyDescent="0.25">
      <c r="A171" s="1" t="s">
        <v>3079</v>
      </c>
      <c r="B171" t="s">
        <v>3308</v>
      </c>
    </row>
    <row r="172" spans="1:2" x14ac:dyDescent="0.25">
      <c r="A172" s="1" t="s">
        <v>3080</v>
      </c>
      <c r="B172" t="s">
        <v>3308</v>
      </c>
    </row>
    <row r="173" spans="1:2" x14ac:dyDescent="0.25">
      <c r="A173" s="1" t="s">
        <v>3081</v>
      </c>
      <c r="B173" t="s">
        <v>3308</v>
      </c>
    </row>
    <row r="174" spans="1:2" x14ac:dyDescent="0.25">
      <c r="A174" t="s">
        <v>3082</v>
      </c>
      <c r="B174" t="s">
        <v>3308</v>
      </c>
    </row>
  </sheetData>
  <sortState xmlns:xlrd2="http://schemas.microsoft.com/office/spreadsheetml/2017/richdata2" ref="A2:A174">
    <sortCondition ref="A2:A17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189ED-5ABB-4C99-864C-142B4906DFD2}">
  <dimension ref="A2:B17"/>
  <sheetViews>
    <sheetView workbookViewId="0">
      <selection activeCell="I38" sqref="I38"/>
    </sheetView>
  </sheetViews>
  <sheetFormatPr defaultRowHeight="15" x14ac:dyDescent="0.25"/>
  <cols>
    <col min="1" max="1" width="15.85546875" bestFit="1" customWidth="1"/>
    <col min="2" max="2" width="16.42578125" bestFit="1" customWidth="1"/>
  </cols>
  <sheetData>
    <row r="2" spans="1:2" x14ac:dyDescent="0.25">
      <c r="A2" s="1" t="s">
        <v>2894</v>
      </c>
      <c r="B2" t="s">
        <v>3311</v>
      </c>
    </row>
    <row r="3" spans="1:2" x14ac:dyDescent="0.25">
      <c r="A3" s="1" t="s">
        <v>2897</v>
      </c>
      <c r="B3" t="s">
        <v>3311</v>
      </c>
    </row>
    <row r="4" spans="1:2" x14ac:dyDescent="0.25">
      <c r="A4" s="1" t="s">
        <v>2898</v>
      </c>
      <c r="B4" t="s">
        <v>3311</v>
      </c>
    </row>
    <row r="5" spans="1:2" x14ac:dyDescent="0.25">
      <c r="A5" t="s">
        <v>3849</v>
      </c>
      <c r="B5" t="s">
        <v>3311</v>
      </c>
    </row>
    <row r="6" spans="1:2" x14ac:dyDescent="0.25">
      <c r="A6" s="1" t="s">
        <v>2919</v>
      </c>
      <c r="B6" t="s">
        <v>3311</v>
      </c>
    </row>
    <row r="7" spans="1:2" x14ac:dyDescent="0.25">
      <c r="A7" s="1" t="s">
        <v>2958</v>
      </c>
      <c r="B7" t="s">
        <v>3311</v>
      </c>
    </row>
    <row r="8" spans="1:2" x14ac:dyDescent="0.25">
      <c r="A8" s="1" t="s">
        <v>2994</v>
      </c>
      <c r="B8" t="s">
        <v>3311</v>
      </c>
    </row>
    <row r="9" spans="1:2" x14ac:dyDescent="0.25">
      <c r="A9" s="1" t="s">
        <v>2998</v>
      </c>
      <c r="B9" t="s">
        <v>3311</v>
      </c>
    </row>
    <row r="10" spans="1:2" x14ac:dyDescent="0.25">
      <c r="A10" s="1" t="s">
        <v>3039</v>
      </c>
      <c r="B10" t="s">
        <v>3311</v>
      </c>
    </row>
    <row r="11" spans="1:2" x14ac:dyDescent="0.25">
      <c r="A11" s="1" t="s">
        <v>3040</v>
      </c>
      <c r="B11" t="s">
        <v>3311</v>
      </c>
    </row>
    <row r="12" spans="1:2" x14ac:dyDescent="0.25">
      <c r="A12" s="1" t="s">
        <v>3041</v>
      </c>
      <c r="B12" t="s">
        <v>3311</v>
      </c>
    </row>
    <row r="13" spans="1:2" x14ac:dyDescent="0.25">
      <c r="A13" s="1" t="s">
        <v>3042</v>
      </c>
      <c r="B13" t="s">
        <v>3311</v>
      </c>
    </row>
    <row r="14" spans="1:2" x14ac:dyDescent="0.25">
      <c r="A14" s="1" t="s">
        <v>3049</v>
      </c>
      <c r="B14" t="s">
        <v>3311</v>
      </c>
    </row>
    <row r="15" spans="1:2" x14ac:dyDescent="0.25">
      <c r="A15" s="1" t="s">
        <v>3074</v>
      </c>
      <c r="B15" t="s">
        <v>3311</v>
      </c>
    </row>
    <row r="16" spans="1:2" x14ac:dyDescent="0.25">
      <c r="A16" s="1" t="s">
        <v>3075</v>
      </c>
      <c r="B16" t="s">
        <v>3311</v>
      </c>
    </row>
    <row r="17" spans="1:2" x14ac:dyDescent="0.25">
      <c r="A17" s="1" t="s">
        <v>3076</v>
      </c>
      <c r="B17" t="s">
        <v>3311</v>
      </c>
    </row>
  </sheetData>
  <sortState xmlns:xlrd2="http://schemas.microsoft.com/office/spreadsheetml/2017/richdata2" ref="A2:A17">
    <sortCondition ref="A2: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Final</vt:lpstr>
      <vt:lpstr>PgSqlRaw</vt:lpstr>
      <vt:lpstr>FirebirdRaw</vt:lpstr>
      <vt:lpstr>PhpReserved</vt:lpstr>
      <vt:lpstr>PhpFunctions</vt:lpstr>
      <vt:lpstr>PhpParamFunc</vt:lpstr>
      <vt:lpstr>PhpAggrFunc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Christos</dc:creator>
  <cp:lastModifiedBy>Greg Christos</cp:lastModifiedBy>
  <dcterms:created xsi:type="dcterms:W3CDTF">2023-03-21T11:36:57Z</dcterms:created>
  <dcterms:modified xsi:type="dcterms:W3CDTF">2023-03-22T11:32:04Z</dcterms:modified>
</cp:coreProperties>
</file>